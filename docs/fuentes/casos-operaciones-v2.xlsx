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erencia\Downloads\"/>
    </mc:Choice>
  </mc:AlternateContent>
  <xr:revisionPtr revIDLastSave="0" documentId="13_ncr:1_{E4B954A5-984B-453A-A290-B7201322225C}" xr6:coauthVersionLast="47" xr6:coauthVersionMax="47" xr10:uidLastSave="{00000000-0000-0000-0000-000000000000}"/>
  <bookViews>
    <workbookView xWindow="-108" yWindow="-108" windowWidth="23256" windowHeight="13896" tabRatio="913" activeTab="1" xr2:uid="{00000000-000D-0000-FFFF-FFFF00000000}"/>
  </bookViews>
  <sheets>
    <sheet name="Casos" sheetId="1" r:id="rId1"/>
    <sheet name="Inputs" sheetId="2" r:id="rId2"/>
    <sheet name="Caso1_Normal" sheetId="3" r:id="rId3"/>
    <sheet name="Caso2_CambioTasa" sheetId="4" r:id="rId4"/>
    <sheet name="Caso3_Dacion" sheetId="5" r:id="rId5"/>
    <sheet name="Caso4_Retoma" sheetId="6" r:id="rId6"/>
    <sheet name="Caso5_Prepago" sheetId="7" r:id="rId7"/>
    <sheet name="Caso6_MenorPlazo" sheetId="8" r:id="rId8"/>
    <sheet name="Caso7_MenorCuota" sheetId="9" r:id="rId9"/>
    <sheet name="Caso8_PagoInferior" sheetId="10" r:id="rId10"/>
    <sheet name="Caso9_Cobranza" sheetId="11" r:id="rId11"/>
    <sheet name="Validaciones" sheetId="12" r:id="rId12"/>
  </sheets>
  <definedNames>
    <definedName name="Abono7">#REF!</definedName>
    <definedName name="Abono8">#REF!</definedName>
    <definedName name="Asis_Cuota">#REF!</definedName>
    <definedName name="Asist_Mes">#REF!</definedName>
    <definedName name="CasoActivo">#REF!</definedName>
    <definedName name="CasoIdx">#REF!</definedName>
    <definedName name="Dacion3">#REF!</definedName>
    <definedName name="Dacion4">#REF!</definedName>
    <definedName name="Dacion5">#REF!</definedName>
    <definedName name="DiasPer">#REF!</definedName>
    <definedName name="EtqPer">#REF!</definedName>
    <definedName name="FG_Cuota">#REF!</definedName>
    <definedName name="FG_Pct">#REF!</definedName>
    <definedName name="IVA_Asis_Cuota">#REF!</definedName>
    <definedName name="IVA_FG_Cuota">#REF!</definedName>
    <definedName name="IVA_Serv">#REF!</definedName>
    <definedName name="MesAb7">#REF!</definedName>
    <definedName name="MesAb8">#REF!</definedName>
    <definedName name="MesCambio">#REF!</definedName>
    <definedName name="MesInc5">#REF!</definedName>
    <definedName name="MesMen9">#REF!</definedName>
    <definedName name="MesPre6">#REF!</definedName>
    <definedName name="MesRet5">#REF!</definedName>
    <definedName name="MesSin3">#REF!</definedName>
    <definedName name="MesSin4">#REF!</definedName>
    <definedName name="Monto">#REF!</definedName>
    <definedName name="nCuotas">#REF!</definedName>
    <definedName name="PctMen9">#REF!</definedName>
    <definedName name="PerAb7">#REF!</definedName>
    <definedName name="PerAb8">#REF!</definedName>
    <definedName name="PerCambio">#REF!</definedName>
    <definedName name="Periodicidad">#REF!</definedName>
    <definedName name="PerMen9">#REF!</definedName>
    <definedName name="PerPre6">#REF!</definedName>
    <definedName name="PerSin3">#REF!</definedName>
    <definedName name="PerSin4">#REF!</definedName>
    <definedName name="PerSin5">#REF!</definedName>
    <definedName name="PerUlt3">#REF!</definedName>
    <definedName name="PerUlt4">#REF!</definedName>
    <definedName name="PerUlt5">#REF!</definedName>
    <definedName name="PlazoMeses">#REF!</definedName>
    <definedName name="PPM">#REF!</definedName>
    <definedName name="Seg_Cuota">#REF!</definedName>
    <definedName name="Seg_Pct">#REF!</definedName>
    <definedName name="TasaNMV">#REF!</definedName>
    <definedName name="TasaNMV2">#REF!</definedName>
    <definedName name="TasaPer">#REF!</definedName>
    <definedName name="TasaPer2">#REF!</definedName>
    <definedName name="Toleranci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1" l="1"/>
  <c r="C4" i="10"/>
  <c r="S4" i="10"/>
  <c r="U53" i="6"/>
  <c r="T53" i="6"/>
  <c r="S53" i="6"/>
  <c r="R53" i="6"/>
  <c r="Q53" i="6"/>
  <c r="U52" i="6"/>
  <c r="T52" i="6"/>
  <c r="S52" i="6"/>
  <c r="R52" i="6"/>
  <c r="Q52" i="6"/>
  <c r="U51" i="6"/>
  <c r="T51" i="6"/>
  <c r="S51" i="6"/>
  <c r="R51" i="6"/>
  <c r="Q51" i="6"/>
  <c r="U50" i="6"/>
  <c r="T50" i="6"/>
  <c r="S50" i="6"/>
  <c r="R50" i="6"/>
  <c r="Q50" i="6"/>
  <c r="U49" i="6"/>
  <c r="T49" i="6"/>
  <c r="S49" i="6"/>
  <c r="R49" i="6"/>
  <c r="Q49" i="6"/>
  <c r="U48" i="6"/>
  <c r="T48" i="6"/>
  <c r="S48" i="6"/>
  <c r="R48" i="6"/>
  <c r="Q48" i="6"/>
  <c r="U47" i="6"/>
  <c r="T47" i="6"/>
  <c r="S47" i="6"/>
  <c r="R47" i="6"/>
  <c r="Q47" i="6"/>
  <c r="U46" i="6"/>
  <c r="T46" i="6"/>
  <c r="S46" i="6"/>
  <c r="R46" i="6"/>
  <c r="Q46" i="6"/>
  <c r="U45" i="6"/>
  <c r="T45" i="6"/>
  <c r="S45" i="6"/>
  <c r="R45" i="6"/>
  <c r="Q45" i="6"/>
  <c r="U44" i="6"/>
  <c r="T44" i="6"/>
  <c r="S44" i="6"/>
  <c r="R44" i="6"/>
  <c r="Q44" i="6"/>
  <c r="U43" i="6"/>
  <c r="T43" i="6"/>
  <c r="S43" i="6"/>
  <c r="R43" i="6"/>
  <c r="Q43" i="6"/>
  <c r="U42" i="6"/>
  <c r="T42" i="6"/>
  <c r="S42" i="6"/>
  <c r="R42" i="6"/>
  <c r="Q42" i="6"/>
  <c r="U41" i="6"/>
  <c r="T41" i="6"/>
  <c r="S41" i="6"/>
  <c r="R41" i="6"/>
  <c r="Q41" i="6"/>
  <c r="U40" i="6"/>
  <c r="T40" i="6"/>
  <c r="S40" i="6"/>
  <c r="R40" i="6"/>
  <c r="Q40" i="6"/>
  <c r="U39" i="6"/>
  <c r="T39" i="6"/>
  <c r="S39" i="6"/>
  <c r="R39" i="6"/>
  <c r="Q39" i="6"/>
  <c r="U38" i="6"/>
  <c r="T38" i="6"/>
  <c r="S38" i="6"/>
  <c r="R38" i="6"/>
  <c r="Q38" i="6"/>
  <c r="U37" i="6"/>
  <c r="T37" i="6"/>
  <c r="S37" i="6"/>
  <c r="R37" i="6"/>
  <c r="Q37" i="6"/>
  <c r="U36" i="6"/>
  <c r="T36" i="6"/>
  <c r="S36" i="6"/>
  <c r="R36" i="6"/>
  <c r="Q36" i="6"/>
  <c r="U35" i="6"/>
  <c r="T35" i="6"/>
  <c r="S35" i="6"/>
  <c r="R35" i="6"/>
  <c r="Q35" i="6"/>
  <c r="U34" i="6"/>
  <c r="T34" i="6"/>
  <c r="S34" i="6"/>
  <c r="R34" i="6"/>
  <c r="Q34" i="6"/>
  <c r="U33" i="6"/>
  <c r="T33" i="6"/>
  <c r="S33" i="6"/>
  <c r="R33" i="6"/>
  <c r="Q33" i="6"/>
  <c r="U32" i="6"/>
  <c r="T32" i="6"/>
  <c r="S32" i="6"/>
  <c r="R32" i="6"/>
  <c r="Q32" i="6"/>
  <c r="U31" i="6"/>
  <c r="T31" i="6"/>
  <c r="S31" i="6"/>
  <c r="R31" i="6"/>
  <c r="Q31" i="6"/>
  <c r="U30" i="6"/>
  <c r="T30" i="6"/>
  <c r="S30" i="6"/>
  <c r="R30" i="6"/>
  <c r="Q30" i="6"/>
  <c r="U29" i="6"/>
  <c r="T29" i="6"/>
  <c r="S29" i="6"/>
  <c r="R29" i="6"/>
  <c r="Q29" i="6"/>
  <c r="U28" i="6"/>
  <c r="T28" i="6"/>
  <c r="S28" i="6"/>
  <c r="R28" i="6"/>
  <c r="Q28" i="6"/>
  <c r="U27" i="6"/>
  <c r="T27" i="6"/>
  <c r="S27" i="6"/>
  <c r="R27" i="6"/>
  <c r="Q27" i="6"/>
  <c r="U26" i="6"/>
  <c r="T26" i="6"/>
  <c r="S26" i="6"/>
  <c r="R26" i="6"/>
  <c r="Q26" i="6"/>
  <c r="U25" i="6"/>
  <c r="T25" i="6"/>
  <c r="S25" i="6"/>
  <c r="R25" i="6"/>
  <c r="Q25" i="6"/>
  <c r="U24" i="6"/>
  <c r="T24" i="6"/>
  <c r="S24" i="6"/>
  <c r="R24" i="6"/>
  <c r="Q24" i="6"/>
  <c r="U23" i="6"/>
  <c r="T23" i="6"/>
  <c r="S23" i="6"/>
  <c r="R23" i="6"/>
  <c r="Q23" i="6"/>
  <c r="U22" i="6"/>
  <c r="T22" i="6"/>
  <c r="S22" i="6"/>
  <c r="R22" i="6"/>
  <c r="Q22" i="6"/>
  <c r="U21" i="6"/>
  <c r="T21" i="6"/>
  <c r="S21" i="6"/>
  <c r="R21" i="6"/>
  <c r="Q21" i="6"/>
  <c r="S20" i="6"/>
  <c r="R20" i="6"/>
  <c r="Q20" i="6"/>
  <c r="T20" i="6" s="1"/>
  <c r="S19" i="6"/>
  <c r="R19" i="6"/>
  <c r="Q19" i="6"/>
  <c r="T19" i="6" s="1"/>
  <c r="S18" i="6"/>
  <c r="R18" i="6"/>
  <c r="Q18" i="6"/>
  <c r="T18" i="6" s="1"/>
  <c r="S17" i="6"/>
  <c r="R17" i="6"/>
  <c r="Q17" i="6"/>
  <c r="T17" i="6" s="1"/>
  <c r="R16" i="6"/>
  <c r="R15" i="6"/>
  <c r="R14" i="6"/>
  <c r="R13" i="6"/>
  <c r="R12" i="6"/>
  <c r="R11" i="6"/>
  <c r="R10" i="6"/>
  <c r="R9" i="6"/>
  <c r="R8" i="6"/>
  <c r="R7" i="6"/>
  <c r="R6" i="6"/>
  <c r="R5" i="6"/>
  <c r="R4" i="6"/>
  <c r="U53" i="5"/>
  <c r="T53" i="5"/>
  <c r="S53" i="5"/>
  <c r="R53" i="5"/>
  <c r="Q53" i="5"/>
  <c r="U52" i="5"/>
  <c r="T52" i="5"/>
  <c r="S52" i="5"/>
  <c r="R52" i="5"/>
  <c r="Q52" i="5"/>
  <c r="U51" i="5"/>
  <c r="T51" i="5"/>
  <c r="S51" i="5"/>
  <c r="R51" i="5"/>
  <c r="Q51" i="5"/>
  <c r="U50" i="5"/>
  <c r="T50" i="5"/>
  <c r="S50" i="5"/>
  <c r="R50" i="5"/>
  <c r="Q50" i="5"/>
  <c r="U49" i="5"/>
  <c r="T49" i="5"/>
  <c r="S49" i="5"/>
  <c r="R49" i="5"/>
  <c r="Q49" i="5"/>
  <c r="U48" i="5"/>
  <c r="T48" i="5"/>
  <c r="S48" i="5"/>
  <c r="R48" i="5"/>
  <c r="Q48" i="5"/>
  <c r="U47" i="5"/>
  <c r="T47" i="5"/>
  <c r="S47" i="5"/>
  <c r="R47" i="5"/>
  <c r="Q47" i="5"/>
  <c r="U46" i="5"/>
  <c r="T46" i="5"/>
  <c r="S46" i="5"/>
  <c r="R46" i="5"/>
  <c r="Q46" i="5"/>
  <c r="U45" i="5"/>
  <c r="T45" i="5"/>
  <c r="S45" i="5"/>
  <c r="R45" i="5"/>
  <c r="Q45" i="5"/>
  <c r="U44" i="5"/>
  <c r="T44" i="5"/>
  <c r="S44" i="5"/>
  <c r="R44" i="5"/>
  <c r="Q44" i="5"/>
  <c r="U43" i="5"/>
  <c r="T43" i="5"/>
  <c r="S43" i="5"/>
  <c r="R43" i="5"/>
  <c r="Q43" i="5"/>
  <c r="U42" i="5"/>
  <c r="T42" i="5"/>
  <c r="S42" i="5"/>
  <c r="R42" i="5"/>
  <c r="Q42" i="5"/>
  <c r="U41" i="5"/>
  <c r="T41" i="5"/>
  <c r="S41" i="5"/>
  <c r="R41" i="5"/>
  <c r="Q41" i="5"/>
  <c r="U40" i="5"/>
  <c r="T40" i="5"/>
  <c r="S40" i="5"/>
  <c r="R40" i="5"/>
  <c r="Q40" i="5"/>
  <c r="U39" i="5"/>
  <c r="T39" i="5"/>
  <c r="S39" i="5"/>
  <c r="R39" i="5"/>
  <c r="Q39" i="5"/>
  <c r="U38" i="5"/>
  <c r="T38" i="5"/>
  <c r="S38" i="5"/>
  <c r="R38" i="5"/>
  <c r="Q38" i="5"/>
  <c r="S37" i="5"/>
  <c r="R37" i="5"/>
  <c r="Q37" i="5"/>
  <c r="T37" i="5" s="1"/>
  <c r="S36" i="5"/>
  <c r="R36" i="5"/>
  <c r="Q36" i="5"/>
  <c r="T36" i="5" s="1"/>
  <c r="S35" i="5"/>
  <c r="R35" i="5"/>
  <c r="Q35" i="5"/>
  <c r="T35" i="5" s="1"/>
  <c r="S34" i="5"/>
  <c r="R34" i="5"/>
  <c r="Q34" i="5"/>
  <c r="T34" i="5" s="1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M89" i="9"/>
  <c r="M88" i="9"/>
  <c r="M87" i="9"/>
  <c r="M86" i="9"/>
  <c r="M85" i="9"/>
  <c r="M84" i="9"/>
  <c r="M83" i="9"/>
  <c r="M82" i="9"/>
  <c r="M81" i="9"/>
  <c r="M80" i="9"/>
  <c r="M79" i="9"/>
  <c r="M78" i="9"/>
  <c r="M77" i="9"/>
  <c r="M76" i="9"/>
  <c r="M75" i="9"/>
  <c r="M74" i="9"/>
  <c r="M73" i="9"/>
  <c r="M72" i="9"/>
  <c r="M71" i="9"/>
  <c r="M70" i="9"/>
  <c r="M69" i="9"/>
  <c r="M68" i="9"/>
  <c r="M67" i="9"/>
  <c r="M66" i="9"/>
  <c r="M65" i="9"/>
  <c r="M64" i="9"/>
  <c r="M63" i="9"/>
  <c r="M62" i="9"/>
  <c r="M61" i="9"/>
  <c r="M60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M4" i="8"/>
  <c r="O53" i="7"/>
  <c r="N53" i="7"/>
  <c r="M53" i="7"/>
  <c r="L53" i="7"/>
  <c r="K53" i="7"/>
  <c r="O52" i="7"/>
  <c r="N52" i="7"/>
  <c r="M52" i="7"/>
  <c r="L52" i="7"/>
  <c r="K52" i="7"/>
  <c r="O51" i="7"/>
  <c r="N51" i="7"/>
  <c r="M51" i="7"/>
  <c r="L51" i="7"/>
  <c r="K51" i="7"/>
  <c r="O50" i="7"/>
  <c r="N50" i="7"/>
  <c r="M50" i="7"/>
  <c r="L50" i="7"/>
  <c r="K50" i="7"/>
  <c r="O49" i="7"/>
  <c r="N49" i="7"/>
  <c r="M49" i="7"/>
  <c r="L49" i="7"/>
  <c r="K49" i="7"/>
  <c r="O48" i="7"/>
  <c r="N48" i="7"/>
  <c r="M48" i="7"/>
  <c r="L48" i="7"/>
  <c r="K48" i="7"/>
  <c r="O47" i="7"/>
  <c r="N47" i="7"/>
  <c r="M47" i="7"/>
  <c r="L47" i="7"/>
  <c r="K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B9" i="2"/>
  <c r="B5" i="2"/>
  <c r="B3" i="2" s="1"/>
  <c r="B28" i="2" s="1"/>
  <c r="G13" i="2"/>
  <c r="G16" i="2"/>
  <c r="G18" i="2"/>
  <c r="G19" i="2"/>
  <c r="C46" i="2"/>
  <c r="C38" i="2"/>
  <c r="B17" i="2"/>
  <c r="E36" i="3" s="1"/>
  <c r="I18" i="12"/>
  <c r="C41" i="2"/>
  <c r="B19" i="2"/>
  <c r="B18" i="2"/>
  <c r="G35" i="12"/>
  <c r="I34" i="12"/>
  <c r="G34" i="12"/>
  <c r="I33" i="12"/>
  <c r="G33" i="12"/>
  <c r="I32" i="12"/>
  <c r="G32" i="12"/>
  <c r="I31" i="12"/>
  <c r="G31" i="12"/>
  <c r="G30" i="12"/>
  <c r="G29" i="12"/>
  <c r="I28" i="12"/>
  <c r="G28" i="12"/>
  <c r="I27" i="12"/>
  <c r="G27" i="12"/>
  <c r="G26" i="12"/>
  <c r="G25" i="12"/>
  <c r="I24" i="12"/>
  <c r="G24" i="12"/>
  <c r="G23" i="12"/>
  <c r="G22" i="12"/>
  <c r="I21" i="12"/>
  <c r="G21" i="12"/>
  <c r="I20" i="12"/>
  <c r="G20" i="12"/>
  <c r="I19" i="12"/>
  <c r="G19" i="12"/>
  <c r="G18" i="12"/>
  <c r="G17" i="12"/>
  <c r="G16" i="12"/>
  <c r="G15" i="12"/>
  <c r="G14" i="12"/>
  <c r="G13" i="12"/>
  <c r="G12" i="12"/>
  <c r="G11" i="12"/>
  <c r="I10" i="12"/>
  <c r="G10" i="12"/>
  <c r="I9" i="12"/>
  <c r="G9" i="12"/>
  <c r="I8" i="12"/>
  <c r="G8" i="12"/>
  <c r="G7" i="12"/>
  <c r="G6" i="12"/>
  <c r="G5" i="12"/>
  <c r="G4" i="12"/>
  <c r="G3" i="12"/>
  <c r="AF4" i="11"/>
  <c r="W15" i="9"/>
  <c r="W16" i="9" s="1"/>
  <c r="V14" i="9"/>
  <c r="V16" i="9" s="1"/>
  <c r="V7" i="9"/>
  <c r="V3" i="9"/>
  <c r="W12" i="8"/>
  <c r="W13" i="8" s="1"/>
  <c r="V11" i="8"/>
  <c r="V13" i="8" s="1"/>
  <c r="V3" i="8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V10" i="4"/>
  <c r="U10" i="4"/>
  <c r="C65" i="2"/>
  <c r="AF5" i="11" s="1"/>
  <c r="B14" i="2"/>
  <c r="B33" i="3" s="1"/>
  <c r="Q4" i="5" l="1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L86" i="9"/>
  <c r="L87" i="9"/>
  <c r="L88" i="9"/>
  <c r="L89" i="9"/>
  <c r="Q4" i="6"/>
  <c r="L82" i="9"/>
  <c r="L83" i="9"/>
  <c r="L84" i="9"/>
  <c r="L85" i="9"/>
  <c r="Q5" i="6"/>
  <c r="Q6" i="6"/>
  <c r="Q7" i="6"/>
  <c r="Q8" i="6"/>
  <c r="Q9" i="6"/>
  <c r="Q10" i="6"/>
  <c r="Q11" i="6"/>
  <c r="Q12" i="6"/>
  <c r="Q13" i="6"/>
  <c r="Q14" i="6"/>
  <c r="Q15" i="6"/>
  <c r="Q16" i="6"/>
  <c r="R4" i="10"/>
  <c r="U4" i="11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8" i="9"/>
  <c r="L17" i="9"/>
  <c r="L19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4" i="8"/>
  <c r="D3" i="3"/>
  <c r="N3" i="3" s="1"/>
  <c r="D4" i="3" s="1"/>
  <c r="D3" i="7"/>
  <c r="I3" i="7" s="1"/>
  <c r="D3" i="8"/>
  <c r="J3" i="8" s="1"/>
  <c r="D4" i="8" s="1"/>
  <c r="E4" i="8" s="1"/>
  <c r="D3" i="9"/>
  <c r="J3" i="9" s="1"/>
  <c r="D4" i="9" s="1"/>
  <c r="E4" i="9" s="1"/>
  <c r="D3" i="10"/>
  <c r="P3" i="10" s="1"/>
  <c r="D3" i="11"/>
  <c r="S3" i="11" s="1"/>
  <c r="D3" i="5"/>
  <c r="J3" i="5" s="1"/>
  <c r="G15" i="2"/>
  <c r="G14" i="2"/>
  <c r="D3" i="6"/>
  <c r="J3" i="6" s="1"/>
  <c r="D3" i="4"/>
  <c r="N3" i="4" s="1"/>
  <c r="D4" i="4" s="1"/>
  <c r="I15" i="12"/>
  <c r="I14" i="12"/>
  <c r="I13" i="12"/>
  <c r="I12" i="12"/>
  <c r="W10" i="4"/>
  <c r="X13" i="8"/>
  <c r="I17" i="12"/>
  <c r="I16" i="12"/>
  <c r="B30" i="2"/>
  <c r="B14" i="3"/>
  <c r="C51" i="2"/>
  <c r="B20" i="3"/>
  <c r="C54" i="2"/>
  <c r="H21" i="12" s="1"/>
  <c r="B28" i="3"/>
  <c r="H4" i="8"/>
  <c r="C4" i="8"/>
  <c r="V2" i="8"/>
  <c r="E25" i="3"/>
  <c r="E8" i="3"/>
  <c r="F4" i="10"/>
  <c r="E85" i="3"/>
  <c r="E77" i="3"/>
  <c r="E69" i="3"/>
  <c r="E61" i="3"/>
  <c r="E53" i="3"/>
  <c r="E45" i="3"/>
  <c r="E37" i="3"/>
  <c r="E84" i="3"/>
  <c r="E76" i="3"/>
  <c r="E68" i="3"/>
  <c r="E82" i="3"/>
  <c r="E74" i="3"/>
  <c r="E66" i="3"/>
  <c r="E58" i="3"/>
  <c r="E86" i="3"/>
  <c r="E78" i="3"/>
  <c r="E51" i="3"/>
  <c r="E44" i="3"/>
  <c r="E24" i="3"/>
  <c r="E16" i="3"/>
  <c r="E7" i="3"/>
  <c r="E32" i="3"/>
  <c r="E21" i="3"/>
  <c r="E13" i="3"/>
  <c r="E10" i="3"/>
  <c r="E89" i="3"/>
  <c r="E63" i="3"/>
  <c r="E52" i="3"/>
  <c r="E23" i="3"/>
  <c r="E15" i="3"/>
  <c r="E11" i="3"/>
  <c r="E6" i="3"/>
  <c r="E5" i="3"/>
  <c r="E39" i="3"/>
  <c r="E29" i="3"/>
  <c r="E20" i="3"/>
  <c r="E4" i="3"/>
  <c r="E88" i="3"/>
  <c r="E80" i="3"/>
  <c r="E71" i="3"/>
  <c r="E38" i="3"/>
  <c r="E31" i="3"/>
  <c r="E30" i="3"/>
  <c r="E22" i="3"/>
  <c r="E14" i="3"/>
  <c r="E87" i="3"/>
  <c r="E46" i="3"/>
  <c r="E83" i="3"/>
  <c r="E73" i="3"/>
  <c r="E64" i="3"/>
  <c r="E59" i="3"/>
  <c r="E54" i="3"/>
  <c r="E47" i="3"/>
  <c r="E40" i="3"/>
  <c r="E33" i="3"/>
  <c r="E28" i="3"/>
  <c r="E79" i="3"/>
  <c r="E70" i="3"/>
  <c r="E55" i="3"/>
  <c r="E48" i="3"/>
  <c r="E41" i="3"/>
  <c r="E34" i="3"/>
  <c r="E27" i="3"/>
  <c r="E19" i="3"/>
  <c r="E67" i="3"/>
  <c r="E62" i="3"/>
  <c r="E56" i="3"/>
  <c r="E49" i="3"/>
  <c r="E42" i="3"/>
  <c r="E35" i="3"/>
  <c r="E26" i="3"/>
  <c r="E18" i="3"/>
  <c r="E81" i="3"/>
  <c r="E75" i="3"/>
  <c r="E72" i="3"/>
  <c r="E65" i="3"/>
  <c r="E60" i="3"/>
  <c r="E57" i="3"/>
  <c r="E50" i="3"/>
  <c r="E9" i="3"/>
  <c r="W3" i="3"/>
  <c r="E17" i="3"/>
  <c r="H7" i="12"/>
  <c r="B4" i="11"/>
  <c r="B89" i="9"/>
  <c r="B79" i="9"/>
  <c r="B78" i="9"/>
  <c r="B68" i="9"/>
  <c r="B7" i="9"/>
  <c r="B88" i="9"/>
  <c r="B77" i="9"/>
  <c r="B67" i="9"/>
  <c r="B66" i="9"/>
  <c r="B60" i="9"/>
  <c r="B56" i="9"/>
  <c r="B52" i="9"/>
  <c r="B48" i="9"/>
  <c r="B44" i="9"/>
  <c r="B40" i="9"/>
  <c r="B36" i="9"/>
  <c r="B32" i="9"/>
  <c r="B28" i="9"/>
  <c r="B24" i="9"/>
  <c r="B20" i="9"/>
  <c r="B16" i="9"/>
  <c r="B12" i="9"/>
  <c r="B10" i="9"/>
  <c r="B87" i="9"/>
  <c r="B86" i="9"/>
  <c r="B76" i="9"/>
  <c r="B65" i="9"/>
  <c r="B6" i="9"/>
  <c r="B85" i="9"/>
  <c r="B75" i="9"/>
  <c r="B74" i="9"/>
  <c r="B84" i="9"/>
  <c r="B73" i="9"/>
  <c r="B63" i="9"/>
  <c r="B83" i="9"/>
  <c r="B82" i="9"/>
  <c r="B72" i="9"/>
  <c r="B62" i="9"/>
  <c r="B58" i="9"/>
  <c r="B54" i="9"/>
  <c r="B50" i="9"/>
  <c r="B46" i="9"/>
  <c r="B81" i="9"/>
  <c r="B71" i="9"/>
  <c r="B70" i="9"/>
  <c r="B11" i="9"/>
  <c r="B4" i="10"/>
  <c r="B80" i="9"/>
  <c r="B69" i="9"/>
  <c r="B61" i="9"/>
  <c r="B57" i="9"/>
  <c r="B53" i="9"/>
  <c r="B49" i="9"/>
  <c r="B55" i="9"/>
  <c r="B41" i="9"/>
  <c r="B33" i="9"/>
  <c r="B25" i="9"/>
  <c r="B17" i="9"/>
  <c r="B39" i="9"/>
  <c r="B31" i="9"/>
  <c r="B23" i="9"/>
  <c r="B15" i="9"/>
  <c r="B47" i="9"/>
  <c r="B59" i="9"/>
  <c r="B42" i="9"/>
  <c r="B34" i="9"/>
  <c r="B26" i="9"/>
  <c r="B18" i="9"/>
  <c r="B37" i="9"/>
  <c r="B29" i="9"/>
  <c r="B21" i="9"/>
  <c r="B13" i="9"/>
  <c r="B8" i="9"/>
  <c r="B64" i="9"/>
  <c r="B51" i="9"/>
  <c r="B43" i="9"/>
  <c r="B35" i="9"/>
  <c r="B27" i="9"/>
  <c r="B19" i="9"/>
  <c r="B9" i="9"/>
  <c r="B45" i="9"/>
  <c r="B5" i="9"/>
  <c r="B4" i="9"/>
  <c r="B38" i="9"/>
  <c r="B30" i="9"/>
  <c r="B22" i="9"/>
  <c r="B14" i="9"/>
  <c r="B4" i="8"/>
  <c r="B87" i="4"/>
  <c r="B79" i="4"/>
  <c r="B71" i="4"/>
  <c r="B63" i="4"/>
  <c r="B55" i="4"/>
  <c r="B47" i="4"/>
  <c r="B39" i="4"/>
  <c r="B31" i="4"/>
  <c r="B23" i="4"/>
  <c r="B15" i="4"/>
  <c r="B8" i="4"/>
  <c r="B88" i="3"/>
  <c r="B80" i="3"/>
  <c r="B72" i="3"/>
  <c r="B64" i="3"/>
  <c r="B56" i="3"/>
  <c r="B48" i="3"/>
  <c r="B40" i="3"/>
  <c r="B32" i="3"/>
  <c r="B84" i="4"/>
  <c r="B76" i="4"/>
  <c r="B68" i="4"/>
  <c r="B60" i="4"/>
  <c r="B52" i="4"/>
  <c r="B44" i="4"/>
  <c r="B36" i="4"/>
  <c r="B28" i="4"/>
  <c r="B20" i="4"/>
  <c r="B12" i="4"/>
  <c r="B5" i="4"/>
  <c r="B87" i="3"/>
  <c r="B79" i="3"/>
  <c r="B71" i="3"/>
  <c r="B86" i="4"/>
  <c r="B78" i="4"/>
  <c r="B70" i="4"/>
  <c r="B62" i="4"/>
  <c r="B54" i="4"/>
  <c r="B46" i="4"/>
  <c r="B38" i="4"/>
  <c r="B30" i="4"/>
  <c r="B22" i="4"/>
  <c r="B14" i="4"/>
  <c r="B7" i="4"/>
  <c r="B85" i="3"/>
  <c r="B77" i="3"/>
  <c r="B69" i="3"/>
  <c r="B61" i="3"/>
  <c r="B83" i="4"/>
  <c r="B75" i="4"/>
  <c r="B67" i="4"/>
  <c r="B88" i="4"/>
  <c r="B80" i="4"/>
  <c r="B72" i="4"/>
  <c r="B85" i="4"/>
  <c r="B77" i="4"/>
  <c r="B69" i="4"/>
  <c r="B82" i="4"/>
  <c r="B74" i="4"/>
  <c r="B66" i="4"/>
  <c r="B58" i="4"/>
  <c r="B50" i="4"/>
  <c r="B42" i="4"/>
  <c r="B34" i="4"/>
  <c r="B26" i="4"/>
  <c r="B18" i="4"/>
  <c r="B10" i="4"/>
  <c r="B89" i="3"/>
  <c r="B49" i="4"/>
  <c r="B33" i="4"/>
  <c r="B17" i="4"/>
  <c r="B6" i="4"/>
  <c r="B67" i="3"/>
  <c r="B62" i="3"/>
  <c r="B41" i="3"/>
  <c r="B34" i="3"/>
  <c r="B27" i="3"/>
  <c r="B19" i="3"/>
  <c r="B9" i="3"/>
  <c r="C48" i="2"/>
  <c r="AA2" i="6" s="1"/>
  <c r="B29" i="2"/>
  <c r="B51" i="3"/>
  <c r="B37" i="3"/>
  <c r="B24" i="3"/>
  <c r="B16" i="3"/>
  <c r="C60" i="2"/>
  <c r="B89" i="4"/>
  <c r="B59" i="4"/>
  <c r="B43" i="4"/>
  <c r="B27" i="4"/>
  <c r="B11" i="4"/>
  <c r="B78" i="3"/>
  <c r="B75" i="3"/>
  <c r="B60" i="3"/>
  <c r="B49" i="3"/>
  <c r="B42" i="3"/>
  <c r="B35" i="3"/>
  <c r="B26" i="3"/>
  <c r="B18" i="3"/>
  <c r="C66" i="2"/>
  <c r="C44" i="2"/>
  <c r="C43" i="2"/>
  <c r="B44" i="3"/>
  <c r="B7" i="3"/>
  <c r="C39" i="2"/>
  <c r="B23" i="3"/>
  <c r="B11" i="3"/>
  <c r="B6" i="3"/>
  <c r="B56" i="4"/>
  <c r="B40" i="4"/>
  <c r="B24" i="4"/>
  <c r="B81" i="3"/>
  <c r="B65" i="3"/>
  <c r="B57" i="3"/>
  <c r="B50" i="3"/>
  <c r="B43" i="3"/>
  <c r="B36" i="3"/>
  <c r="B25" i="3"/>
  <c r="B17" i="3"/>
  <c r="B12" i="3"/>
  <c r="B8" i="3"/>
  <c r="B58" i="3"/>
  <c r="B65" i="4"/>
  <c r="B53" i="4"/>
  <c r="B37" i="4"/>
  <c r="B21" i="4"/>
  <c r="B68" i="3"/>
  <c r="B63" i="3"/>
  <c r="C57" i="2"/>
  <c r="B81" i="4"/>
  <c r="B57" i="4"/>
  <c r="B41" i="4"/>
  <c r="B25" i="4"/>
  <c r="B4" i="4"/>
  <c r="B86" i="3"/>
  <c r="B74" i="3"/>
  <c r="B52" i="3"/>
  <c r="B45" i="3"/>
  <c r="B38" i="3"/>
  <c r="B31" i="3"/>
  <c r="B15" i="3"/>
  <c r="B51" i="4"/>
  <c r="B35" i="4"/>
  <c r="B19" i="4"/>
  <c r="B84" i="3"/>
  <c r="B66" i="3"/>
  <c r="B53" i="3"/>
  <c r="B46" i="3"/>
  <c r="B39" i="3"/>
  <c r="B30" i="3"/>
  <c r="B22" i="3"/>
  <c r="B64" i="4"/>
  <c r="B48" i="4"/>
  <c r="B32" i="4"/>
  <c r="B16" i="4"/>
  <c r="B83" i="3"/>
  <c r="B76" i="3"/>
  <c r="B70" i="3"/>
  <c r="B59" i="3"/>
  <c r="B54" i="3"/>
  <c r="B47" i="3"/>
  <c r="B29" i="3"/>
  <c r="B21" i="3"/>
  <c r="B13" i="3"/>
  <c r="B10" i="3"/>
  <c r="B73" i="4"/>
  <c r="B61" i="4"/>
  <c r="B45" i="4"/>
  <c r="B29" i="4"/>
  <c r="B13" i="4"/>
  <c r="B9" i="4"/>
  <c r="B82" i="3"/>
  <c r="B73" i="3"/>
  <c r="B55" i="3"/>
  <c r="B15" i="2"/>
  <c r="C49" i="2"/>
  <c r="B4" i="3"/>
  <c r="B5" i="3"/>
  <c r="E12" i="3"/>
  <c r="E43" i="3"/>
  <c r="X16" i="9"/>
  <c r="W4" i="11" l="1"/>
  <c r="X4" i="11" s="1"/>
  <c r="T4" i="10"/>
  <c r="U4" i="10" s="1"/>
  <c r="S4" i="6"/>
  <c r="T4" i="6" s="1"/>
  <c r="N80" i="9"/>
  <c r="O80" i="9" s="1"/>
  <c r="N78" i="9"/>
  <c r="O78" i="9" s="1"/>
  <c r="N76" i="9"/>
  <c r="O76" i="9" s="1"/>
  <c r="N73" i="9"/>
  <c r="O73" i="9" s="1"/>
  <c r="N72" i="9"/>
  <c r="O72" i="9" s="1"/>
  <c r="N69" i="9"/>
  <c r="O69" i="9" s="1"/>
  <c r="N67" i="9"/>
  <c r="O67" i="9" s="1"/>
  <c r="N65" i="9"/>
  <c r="O65" i="9" s="1"/>
  <c r="N63" i="9"/>
  <c r="O63" i="9" s="1"/>
  <c r="N61" i="9"/>
  <c r="O61" i="9" s="1"/>
  <c r="N59" i="9"/>
  <c r="O59" i="9" s="1"/>
  <c r="N57" i="9"/>
  <c r="O57" i="9" s="1"/>
  <c r="N55" i="9"/>
  <c r="O55" i="9" s="1"/>
  <c r="N53" i="9"/>
  <c r="O53" i="9" s="1"/>
  <c r="N51" i="9"/>
  <c r="O51" i="9" s="1"/>
  <c r="N49" i="9"/>
  <c r="O49" i="9" s="1"/>
  <c r="N47" i="9"/>
  <c r="O47" i="9" s="1"/>
  <c r="N46" i="9"/>
  <c r="O46" i="9" s="1"/>
  <c r="N44" i="9"/>
  <c r="O44" i="9" s="1"/>
  <c r="N42" i="9"/>
  <c r="O42" i="9" s="1"/>
  <c r="N40" i="9"/>
  <c r="O40" i="9" s="1"/>
  <c r="N38" i="9"/>
  <c r="O38" i="9" s="1"/>
  <c r="N36" i="9"/>
  <c r="O36" i="9" s="1"/>
  <c r="N34" i="9"/>
  <c r="O34" i="9" s="1"/>
  <c r="N32" i="9"/>
  <c r="O32" i="9" s="1"/>
  <c r="N29" i="9"/>
  <c r="O29" i="9" s="1"/>
  <c r="N27" i="9"/>
  <c r="O27" i="9" s="1"/>
  <c r="N25" i="9"/>
  <c r="O25" i="9" s="1"/>
  <c r="N23" i="9"/>
  <c r="O23" i="9" s="1"/>
  <c r="N21" i="9"/>
  <c r="O21" i="9" s="1"/>
  <c r="N19" i="9"/>
  <c r="O19" i="9" s="1"/>
  <c r="N17" i="9"/>
  <c r="O17" i="9" s="1"/>
  <c r="M46" i="7"/>
  <c r="N46" i="7" s="1"/>
  <c r="M43" i="7"/>
  <c r="N43" i="7" s="1"/>
  <c r="M41" i="7"/>
  <c r="N41" i="7" s="1"/>
  <c r="M39" i="7"/>
  <c r="N39" i="7" s="1"/>
  <c r="M37" i="7"/>
  <c r="N37" i="7" s="1"/>
  <c r="M35" i="7"/>
  <c r="N35" i="7" s="1"/>
  <c r="M33" i="7"/>
  <c r="N33" i="7" s="1"/>
  <c r="S16" i="6"/>
  <c r="T16" i="6" s="1"/>
  <c r="S15" i="6"/>
  <c r="T15" i="6" s="1"/>
  <c r="S14" i="6"/>
  <c r="T14" i="6" s="1"/>
  <c r="S13" i="6"/>
  <c r="T13" i="6" s="1"/>
  <c r="S12" i="6"/>
  <c r="T12" i="6" s="1"/>
  <c r="S11" i="6"/>
  <c r="T11" i="6" s="1"/>
  <c r="S10" i="6"/>
  <c r="T10" i="6" s="1"/>
  <c r="S9" i="6"/>
  <c r="T9" i="6" s="1"/>
  <c r="S8" i="6"/>
  <c r="T8" i="6" s="1"/>
  <c r="S7" i="6"/>
  <c r="T7" i="6" s="1"/>
  <c r="S6" i="6"/>
  <c r="T6" i="6" s="1"/>
  <c r="S5" i="6"/>
  <c r="T5" i="6" s="1"/>
  <c r="N89" i="9"/>
  <c r="O89" i="9" s="1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9" i="9"/>
  <c r="O79" i="9" s="1"/>
  <c r="N77" i="9"/>
  <c r="O77" i="9" s="1"/>
  <c r="N75" i="9"/>
  <c r="O75" i="9" s="1"/>
  <c r="N74" i="9"/>
  <c r="O74" i="9" s="1"/>
  <c r="N71" i="9"/>
  <c r="O71" i="9" s="1"/>
  <c r="N70" i="9"/>
  <c r="O70" i="9" s="1"/>
  <c r="N68" i="9"/>
  <c r="O68" i="9" s="1"/>
  <c r="N66" i="9"/>
  <c r="O66" i="9" s="1"/>
  <c r="N64" i="9"/>
  <c r="O64" i="9" s="1"/>
  <c r="N62" i="9"/>
  <c r="O62" i="9" s="1"/>
  <c r="N60" i="9"/>
  <c r="O60" i="9" s="1"/>
  <c r="N58" i="9"/>
  <c r="O58" i="9" s="1"/>
  <c r="N56" i="9"/>
  <c r="O56" i="9" s="1"/>
  <c r="N54" i="9"/>
  <c r="O54" i="9" s="1"/>
  <c r="N52" i="9"/>
  <c r="O52" i="9" s="1"/>
  <c r="N50" i="9"/>
  <c r="O50" i="9" s="1"/>
  <c r="N48" i="9"/>
  <c r="O48" i="9" s="1"/>
  <c r="N45" i="9"/>
  <c r="O45" i="9" s="1"/>
  <c r="N43" i="9"/>
  <c r="O43" i="9" s="1"/>
  <c r="N41" i="9"/>
  <c r="O41" i="9" s="1"/>
  <c r="N39" i="9"/>
  <c r="O39" i="9" s="1"/>
  <c r="N37" i="9"/>
  <c r="O37" i="9" s="1"/>
  <c r="N35" i="9"/>
  <c r="O35" i="9" s="1"/>
  <c r="N33" i="9"/>
  <c r="O33" i="9" s="1"/>
  <c r="N31" i="9"/>
  <c r="O31" i="9" s="1"/>
  <c r="N30" i="9"/>
  <c r="O30" i="9" s="1"/>
  <c r="N28" i="9"/>
  <c r="O28" i="9" s="1"/>
  <c r="N26" i="9"/>
  <c r="O26" i="9" s="1"/>
  <c r="N24" i="9"/>
  <c r="O24" i="9" s="1"/>
  <c r="N22" i="9"/>
  <c r="O22" i="9" s="1"/>
  <c r="N20" i="9"/>
  <c r="O20" i="9" s="1"/>
  <c r="N18" i="9"/>
  <c r="O18" i="9" s="1"/>
  <c r="N16" i="9"/>
  <c r="O16" i="9" s="1"/>
  <c r="M45" i="7"/>
  <c r="N45" i="7" s="1"/>
  <c r="M44" i="7"/>
  <c r="N44" i="7" s="1"/>
  <c r="M42" i="7"/>
  <c r="N42" i="7" s="1"/>
  <c r="M40" i="7"/>
  <c r="N40" i="7" s="1"/>
  <c r="M38" i="7"/>
  <c r="N38" i="7" s="1"/>
  <c r="M36" i="7"/>
  <c r="N36" i="7" s="1"/>
  <c r="M34" i="7"/>
  <c r="N34" i="7" s="1"/>
  <c r="M32" i="7"/>
  <c r="N32" i="7" s="1"/>
  <c r="S33" i="5"/>
  <c r="T33" i="5" s="1"/>
  <c r="S32" i="5"/>
  <c r="T32" i="5" s="1"/>
  <c r="S31" i="5"/>
  <c r="T31" i="5" s="1"/>
  <c r="S30" i="5"/>
  <c r="T30" i="5" s="1"/>
  <c r="S29" i="5"/>
  <c r="T29" i="5" s="1"/>
  <c r="S28" i="5"/>
  <c r="T28" i="5" s="1"/>
  <c r="S27" i="5"/>
  <c r="T27" i="5" s="1"/>
  <c r="S26" i="5"/>
  <c r="T26" i="5" s="1"/>
  <c r="S25" i="5"/>
  <c r="T25" i="5" s="1"/>
  <c r="S24" i="5"/>
  <c r="T24" i="5" s="1"/>
  <c r="S23" i="5"/>
  <c r="T23" i="5" s="1"/>
  <c r="S22" i="5"/>
  <c r="T22" i="5" s="1"/>
  <c r="S21" i="5"/>
  <c r="T21" i="5" s="1"/>
  <c r="S20" i="5"/>
  <c r="T20" i="5" s="1"/>
  <c r="S19" i="5"/>
  <c r="T19" i="5" s="1"/>
  <c r="S18" i="5"/>
  <c r="T18" i="5" s="1"/>
  <c r="S17" i="5"/>
  <c r="T17" i="5" s="1"/>
  <c r="S16" i="5"/>
  <c r="T16" i="5" s="1"/>
  <c r="S15" i="5"/>
  <c r="T15" i="5" s="1"/>
  <c r="S14" i="5"/>
  <c r="T14" i="5" s="1"/>
  <c r="S13" i="5"/>
  <c r="T13" i="5" s="1"/>
  <c r="S12" i="5"/>
  <c r="T12" i="5" s="1"/>
  <c r="S11" i="5"/>
  <c r="T11" i="5" s="1"/>
  <c r="S10" i="5"/>
  <c r="T10" i="5" s="1"/>
  <c r="S9" i="5"/>
  <c r="T9" i="5" s="1"/>
  <c r="S8" i="5"/>
  <c r="T8" i="5" s="1"/>
  <c r="S7" i="5"/>
  <c r="T7" i="5" s="1"/>
  <c r="S6" i="5"/>
  <c r="T6" i="5" s="1"/>
  <c r="S5" i="5"/>
  <c r="T5" i="5" s="1"/>
  <c r="S4" i="5"/>
  <c r="T4" i="5" s="1"/>
  <c r="N15" i="9"/>
  <c r="O15" i="9" s="1"/>
  <c r="N14" i="9"/>
  <c r="O14" i="9" s="1"/>
  <c r="N13" i="9"/>
  <c r="O13" i="9" s="1"/>
  <c r="N12" i="9"/>
  <c r="O12" i="9" s="1"/>
  <c r="N11" i="9"/>
  <c r="O11" i="9" s="1"/>
  <c r="N10" i="9"/>
  <c r="O10" i="9" s="1"/>
  <c r="N9" i="9"/>
  <c r="O9" i="9" s="1"/>
  <c r="N8" i="9"/>
  <c r="O8" i="9" s="1"/>
  <c r="N7" i="9"/>
  <c r="O7" i="9" s="1"/>
  <c r="N6" i="9"/>
  <c r="O6" i="9" s="1"/>
  <c r="N5" i="9"/>
  <c r="O5" i="9" s="1"/>
  <c r="N4" i="9"/>
  <c r="O4" i="9" s="1"/>
  <c r="N4" i="8"/>
  <c r="O4" i="8" s="1"/>
  <c r="M31" i="7"/>
  <c r="N31" i="7" s="1"/>
  <c r="M30" i="7"/>
  <c r="N30" i="7" s="1"/>
  <c r="M29" i="7"/>
  <c r="N29" i="7" s="1"/>
  <c r="M28" i="7"/>
  <c r="N28" i="7" s="1"/>
  <c r="M27" i="7"/>
  <c r="N27" i="7" s="1"/>
  <c r="M26" i="7"/>
  <c r="N26" i="7" s="1"/>
  <c r="M25" i="7"/>
  <c r="N25" i="7" s="1"/>
  <c r="M24" i="7"/>
  <c r="N24" i="7" s="1"/>
  <c r="M23" i="7"/>
  <c r="N23" i="7" s="1"/>
  <c r="M22" i="7"/>
  <c r="N22" i="7" s="1"/>
  <c r="M21" i="7"/>
  <c r="N21" i="7" s="1"/>
  <c r="M20" i="7"/>
  <c r="N20" i="7" s="1"/>
  <c r="M19" i="7"/>
  <c r="N19" i="7" s="1"/>
  <c r="M18" i="7"/>
  <c r="N18" i="7" s="1"/>
  <c r="M17" i="7"/>
  <c r="N17" i="7" s="1"/>
  <c r="M16" i="7"/>
  <c r="N16" i="7" s="1"/>
  <c r="M15" i="7"/>
  <c r="N15" i="7" s="1"/>
  <c r="M14" i="7"/>
  <c r="N14" i="7" s="1"/>
  <c r="M13" i="7"/>
  <c r="N13" i="7" s="1"/>
  <c r="M12" i="7"/>
  <c r="N12" i="7" s="1"/>
  <c r="M11" i="7"/>
  <c r="N11" i="7" s="1"/>
  <c r="M10" i="7"/>
  <c r="N10" i="7" s="1"/>
  <c r="M9" i="7"/>
  <c r="N9" i="7" s="1"/>
  <c r="M8" i="7"/>
  <c r="N8" i="7" s="1"/>
  <c r="M7" i="7"/>
  <c r="N7" i="7" s="1"/>
  <c r="M6" i="7"/>
  <c r="N6" i="7" s="1"/>
  <c r="M5" i="7"/>
  <c r="N5" i="7" s="1"/>
  <c r="M4" i="7"/>
  <c r="N4" i="7" s="1"/>
  <c r="K89" i="4"/>
  <c r="L89" i="4" s="1"/>
  <c r="K88" i="4"/>
  <c r="L88" i="4" s="1"/>
  <c r="K87" i="4"/>
  <c r="L87" i="4" s="1"/>
  <c r="K86" i="4"/>
  <c r="L86" i="4" s="1"/>
  <c r="K85" i="4"/>
  <c r="L85" i="4" s="1"/>
  <c r="K84" i="4"/>
  <c r="L84" i="4" s="1"/>
  <c r="K83" i="4"/>
  <c r="L83" i="4" s="1"/>
  <c r="K82" i="4"/>
  <c r="L82" i="4" s="1"/>
  <c r="K81" i="4"/>
  <c r="L81" i="4" s="1"/>
  <c r="K80" i="4"/>
  <c r="L80" i="4" s="1"/>
  <c r="K79" i="4"/>
  <c r="L79" i="4" s="1"/>
  <c r="K78" i="4"/>
  <c r="L78" i="4" s="1"/>
  <c r="K77" i="4"/>
  <c r="L77" i="4" s="1"/>
  <c r="K76" i="4"/>
  <c r="L76" i="4" s="1"/>
  <c r="K75" i="4"/>
  <c r="L75" i="4" s="1"/>
  <c r="K74" i="4"/>
  <c r="L74" i="4" s="1"/>
  <c r="K73" i="4"/>
  <c r="L73" i="4" s="1"/>
  <c r="K72" i="4"/>
  <c r="L72" i="4" s="1"/>
  <c r="K71" i="4"/>
  <c r="L71" i="4" s="1"/>
  <c r="K70" i="4"/>
  <c r="L70" i="4" s="1"/>
  <c r="K69" i="4"/>
  <c r="L69" i="4" s="1"/>
  <c r="K68" i="4"/>
  <c r="L68" i="4" s="1"/>
  <c r="K67" i="4"/>
  <c r="L67" i="4" s="1"/>
  <c r="K66" i="4"/>
  <c r="L66" i="4" s="1"/>
  <c r="K65" i="4"/>
  <c r="L65" i="4" s="1"/>
  <c r="K64" i="4"/>
  <c r="L64" i="4" s="1"/>
  <c r="K63" i="4"/>
  <c r="L63" i="4" s="1"/>
  <c r="K62" i="4"/>
  <c r="L62" i="4" s="1"/>
  <c r="K61" i="4"/>
  <c r="L61" i="4" s="1"/>
  <c r="K60" i="4"/>
  <c r="L60" i="4" s="1"/>
  <c r="K59" i="4"/>
  <c r="L59" i="4" s="1"/>
  <c r="K58" i="4"/>
  <c r="L58" i="4" s="1"/>
  <c r="K57" i="4"/>
  <c r="L57" i="4" s="1"/>
  <c r="K56" i="4"/>
  <c r="L56" i="4" s="1"/>
  <c r="K55" i="4"/>
  <c r="L55" i="4" s="1"/>
  <c r="K54" i="4"/>
  <c r="L54" i="4" s="1"/>
  <c r="K53" i="4"/>
  <c r="L53" i="4" s="1"/>
  <c r="K52" i="4"/>
  <c r="L52" i="4" s="1"/>
  <c r="K51" i="4"/>
  <c r="L51" i="4" s="1"/>
  <c r="K50" i="4"/>
  <c r="L50" i="4" s="1"/>
  <c r="K49" i="4"/>
  <c r="L49" i="4" s="1"/>
  <c r="K48" i="4"/>
  <c r="L48" i="4" s="1"/>
  <c r="K47" i="4"/>
  <c r="L47" i="4" s="1"/>
  <c r="K46" i="4"/>
  <c r="L46" i="4" s="1"/>
  <c r="K45" i="4"/>
  <c r="L45" i="4" s="1"/>
  <c r="K44" i="4"/>
  <c r="L44" i="4" s="1"/>
  <c r="K43" i="4"/>
  <c r="L43" i="4" s="1"/>
  <c r="K42" i="4"/>
  <c r="L42" i="4" s="1"/>
  <c r="K41" i="4"/>
  <c r="L41" i="4" s="1"/>
  <c r="K40" i="4"/>
  <c r="L40" i="4" s="1"/>
  <c r="K39" i="4"/>
  <c r="L39" i="4" s="1"/>
  <c r="K38" i="4"/>
  <c r="L38" i="4" s="1"/>
  <c r="K37" i="4"/>
  <c r="L37" i="4" s="1"/>
  <c r="K36" i="4"/>
  <c r="L36" i="4" s="1"/>
  <c r="K35" i="4"/>
  <c r="L35" i="4" s="1"/>
  <c r="K34" i="4"/>
  <c r="L34" i="4" s="1"/>
  <c r="K33" i="4"/>
  <c r="L33" i="4" s="1"/>
  <c r="K32" i="4"/>
  <c r="L32" i="4" s="1"/>
  <c r="K31" i="4"/>
  <c r="L31" i="4" s="1"/>
  <c r="K30" i="4"/>
  <c r="L30" i="4" s="1"/>
  <c r="K29" i="4"/>
  <c r="L29" i="4" s="1"/>
  <c r="K28" i="4"/>
  <c r="L28" i="4" s="1"/>
  <c r="K27" i="4"/>
  <c r="L27" i="4" s="1"/>
  <c r="K26" i="4"/>
  <c r="L26" i="4" s="1"/>
  <c r="K25" i="4"/>
  <c r="L25" i="4" s="1"/>
  <c r="K24" i="4"/>
  <c r="L24" i="4" s="1"/>
  <c r="K23" i="4"/>
  <c r="L23" i="4" s="1"/>
  <c r="K22" i="4"/>
  <c r="L22" i="4" s="1"/>
  <c r="K21" i="4"/>
  <c r="L21" i="4" s="1"/>
  <c r="K20" i="4"/>
  <c r="L20" i="4" s="1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K13" i="4"/>
  <c r="L13" i="4" s="1"/>
  <c r="K12" i="4"/>
  <c r="L12" i="4" s="1"/>
  <c r="K11" i="4"/>
  <c r="L11" i="4" s="1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K4" i="4"/>
  <c r="L4" i="4" s="1"/>
  <c r="S89" i="9"/>
  <c r="R89" i="9"/>
  <c r="Q89" i="9"/>
  <c r="R79" i="9"/>
  <c r="S79" i="9"/>
  <c r="Q79" i="9"/>
  <c r="R78" i="9"/>
  <c r="S78" i="9"/>
  <c r="Q78" i="9"/>
  <c r="Q68" i="9"/>
  <c r="S68" i="9"/>
  <c r="R68" i="9"/>
  <c r="R7" i="9"/>
  <c r="S7" i="9"/>
  <c r="Q7" i="9"/>
  <c r="S88" i="9"/>
  <c r="R88" i="9"/>
  <c r="Q88" i="9"/>
  <c r="Q77" i="9"/>
  <c r="R77" i="9"/>
  <c r="S77" i="9"/>
  <c r="S67" i="9"/>
  <c r="R67" i="9"/>
  <c r="Q67" i="9"/>
  <c r="R66" i="9"/>
  <c r="Q66" i="9"/>
  <c r="S66" i="9"/>
  <c r="S60" i="9"/>
  <c r="R60" i="9"/>
  <c r="Q60" i="9"/>
  <c r="S56" i="9"/>
  <c r="R56" i="9"/>
  <c r="Q56" i="9"/>
  <c r="Q52" i="9"/>
  <c r="R52" i="9"/>
  <c r="S52" i="9"/>
  <c r="R48" i="9"/>
  <c r="Q48" i="9"/>
  <c r="S48" i="9"/>
  <c r="R44" i="9"/>
  <c r="S44" i="9"/>
  <c r="Q44" i="9"/>
  <c r="S40" i="9"/>
  <c r="R40" i="9"/>
  <c r="Q40" i="9"/>
  <c r="S36" i="9"/>
  <c r="R36" i="9"/>
  <c r="Q36" i="9"/>
  <c r="R32" i="9"/>
  <c r="Q32" i="9"/>
  <c r="S32" i="9"/>
  <c r="Q28" i="9"/>
  <c r="S28" i="9"/>
  <c r="R28" i="9"/>
  <c r="R24" i="9"/>
  <c r="Q24" i="9"/>
  <c r="S24" i="9"/>
  <c r="S20" i="9"/>
  <c r="Q20" i="9"/>
  <c r="R20" i="9"/>
  <c r="Q16" i="9"/>
  <c r="S16" i="9"/>
  <c r="R16" i="9"/>
  <c r="R12" i="9"/>
  <c r="S12" i="9"/>
  <c r="Q12" i="9"/>
  <c r="R10" i="9"/>
  <c r="S10" i="9"/>
  <c r="Q10" i="9"/>
  <c r="S87" i="9"/>
  <c r="R87" i="9"/>
  <c r="Q87" i="9"/>
  <c r="S86" i="9"/>
  <c r="R86" i="9"/>
  <c r="Q86" i="9"/>
  <c r="S76" i="9"/>
  <c r="Q76" i="9"/>
  <c r="R76" i="9"/>
  <c r="R65" i="9"/>
  <c r="Q65" i="9"/>
  <c r="S65" i="9"/>
  <c r="R6" i="9"/>
  <c r="Q6" i="9"/>
  <c r="S6" i="9"/>
  <c r="S85" i="9"/>
  <c r="R85" i="9"/>
  <c r="Q85" i="9"/>
  <c r="S75" i="9"/>
  <c r="Q75" i="9"/>
  <c r="R75" i="9"/>
  <c r="S74" i="9"/>
  <c r="R74" i="9"/>
  <c r="Q74" i="9"/>
  <c r="Q84" i="9"/>
  <c r="R84" i="9"/>
  <c r="S84" i="9"/>
  <c r="S73" i="9"/>
  <c r="R73" i="9"/>
  <c r="Q73" i="9"/>
  <c r="S63" i="9"/>
  <c r="Q63" i="9"/>
  <c r="R63" i="9"/>
  <c r="S83" i="9"/>
  <c r="Q83" i="9"/>
  <c r="R83" i="9"/>
  <c r="R82" i="9"/>
  <c r="S82" i="9"/>
  <c r="Q82" i="9"/>
  <c r="Q72" i="9"/>
  <c r="R72" i="9"/>
  <c r="S72" i="9"/>
  <c r="S62" i="9"/>
  <c r="Q62" i="9"/>
  <c r="R62" i="9"/>
  <c r="S58" i="9"/>
  <c r="Q58" i="9"/>
  <c r="R58" i="9"/>
  <c r="S54" i="9"/>
  <c r="R54" i="9"/>
  <c r="Q54" i="9"/>
  <c r="S50" i="9"/>
  <c r="R50" i="9"/>
  <c r="Q50" i="9"/>
  <c r="R46" i="9"/>
  <c r="S46" i="9"/>
  <c r="Q46" i="9"/>
  <c r="Q81" i="9"/>
  <c r="R81" i="9"/>
  <c r="S81" i="9"/>
  <c r="R71" i="9"/>
  <c r="S71" i="9"/>
  <c r="Q71" i="9"/>
  <c r="R70" i="9"/>
  <c r="Q70" i="9"/>
  <c r="S70" i="9"/>
  <c r="S11" i="9"/>
  <c r="R11" i="9"/>
  <c r="Q11" i="9"/>
  <c r="S80" i="9"/>
  <c r="Q80" i="9"/>
  <c r="R80" i="9"/>
  <c r="Q69" i="9"/>
  <c r="R69" i="9"/>
  <c r="S69" i="9"/>
  <c r="S61" i="9"/>
  <c r="R61" i="9"/>
  <c r="Q61" i="9"/>
  <c r="R57" i="9"/>
  <c r="Q57" i="9"/>
  <c r="S57" i="9"/>
  <c r="Q53" i="9"/>
  <c r="R53" i="9"/>
  <c r="S53" i="9"/>
  <c r="R49" i="9"/>
  <c r="Q49" i="9"/>
  <c r="S49" i="9"/>
  <c r="R55" i="9"/>
  <c r="S55" i="9"/>
  <c r="Q55" i="9"/>
  <c r="Q41" i="9"/>
  <c r="S41" i="9"/>
  <c r="R41" i="9"/>
  <c r="S33" i="9"/>
  <c r="R33" i="9"/>
  <c r="Q33" i="9"/>
  <c r="S25" i="9"/>
  <c r="R25" i="9"/>
  <c r="Q25" i="9"/>
  <c r="R17" i="9"/>
  <c r="Q17" i="9"/>
  <c r="S17" i="9"/>
  <c r="S39" i="9"/>
  <c r="R39" i="9"/>
  <c r="Q39" i="9"/>
  <c r="Q31" i="9"/>
  <c r="S31" i="9"/>
  <c r="R31" i="9"/>
  <c r="S23" i="9"/>
  <c r="Q23" i="9"/>
  <c r="R23" i="9"/>
  <c r="R15" i="9"/>
  <c r="Q15" i="9"/>
  <c r="S15" i="9"/>
  <c r="R47" i="9"/>
  <c r="S47" i="9"/>
  <c r="Q47" i="9"/>
  <c r="R59" i="9"/>
  <c r="S59" i="9"/>
  <c r="Q59" i="9"/>
  <c r="Q42" i="9"/>
  <c r="R42" i="9"/>
  <c r="S42" i="9"/>
  <c r="S34" i="9"/>
  <c r="R34" i="9"/>
  <c r="Q34" i="9"/>
  <c r="S26" i="9"/>
  <c r="R26" i="9"/>
  <c r="Q26" i="9"/>
  <c r="S18" i="9"/>
  <c r="R18" i="9"/>
  <c r="Q18" i="9"/>
  <c r="S37" i="9"/>
  <c r="R37" i="9"/>
  <c r="Q37" i="9"/>
  <c r="R29" i="9"/>
  <c r="Q29" i="9"/>
  <c r="S29" i="9"/>
  <c r="R21" i="9"/>
  <c r="S21" i="9"/>
  <c r="Q21" i="9"/>
  <c r="R13" i="9"/>
  <c r="S13" i="9"/>
  <c r="Q13" i="9"/>
  <c r="Q8" i="9"/>
  <c r="R8" i="9"/>
  <c r="S8" i="9"/>
  <c r="R64" i="9"/>
  <c r="Q64" i="9"/>
  <c r="S64" i="9"/>
  <c r="R51" i="9"/>
  <c r="S51" i="9"/>
  <c r="Q51" i="9"/>
  <c r="Q43" i="9"/>
  <c r="R43" i="9"/>
  <c r="S43" i="9"/>
  <c r="R35" i="9"/>
  <c r="S35" i="9"/>
  <c r="Q35" i="9"/>
  <c r="R27" i="9"/>
  <c r="Q27" i="9"/>
  <c r="S27" i="9"/>
  <c r="S19" i="9"/>
  <c r="Q19" i="9"/>
  <c r="R19" i="9"/>
  <c r="Q9" i="9"/>
  <c r="R9" i="9"/>
  <c r="S9" i="9"/>
  <c r="R45" i="9"/>
  <c r="S45" i="9"/>
  <c r="Q45" i="9"/>
  <c r="Q5" i="9"/>
  <c r="S5" i="9"/>
  <c r="R5" i="9"/>
  <c r="Q4" i="9"/>
  <c r="R4" i="9"/>
  <c r="S4" i="9"/>
  <c r="R38" i="9"/>
  <c r="Q38" i="9"/>
  <c r="S38" i="9"/>
  <c r="Q30" i="9"/>
  <c r="R30" i="9"/>
  <c r="S30" i="9"/>
  <c r="Q22" i="9"/>
  <c r="S22" i="9"/>
  <c r="R22" i="9"/>
  <c r="R14" i="9"/>
  <c r="S14" i="9"/>
  <c r="Q14" i="9"/>
  <c r="Q86" i="4"/>
  <c r="P86" i="4"/>
  <c r="O86" i="4"/>
  <c r="O78" i="4"/>
  <c r="P78" i="4"/>
  <c r="Q78" i="4"/>
  <c r="O70" i="4"/>
  <c r="P70" i="4"/>
  <c r="Q70" i="4"/>
  <c r="Q62" i="4"/>
  <c r="P62" i="4"/>
  <c r="O62" i="4"/>
  <c r="Q54" i="4"/>
  <c r="O54" i="4"/>
  <c r="P54" i="4"/>
  <c r="Q46" i="4"/>
  <c r="O46" i="4"/>
  <c r="P46" i="4"/>
  <c r="P38" i="4"/>
  <c r="Q38" i="4"/>
  <c r="O38" i="4"/>
  <c r="P30" i="4"/>
  <c r="Q30" i="4"/>
  <c r="O30" i="4"/>
  <c r="P22" i="4"/>
  <c r="O22" i="4"/>
  <c r="Q22" i="4"/>
  <c r="P14" i="4"/>
  <c r="O14" i="4"/>
  <c r="Q14" i="4"/>
  <c r="O7" i="4"/>
  <c r="Q7" i="4"/>
  <c r="P7" i="4"/>
  <c r="Q83" i="4"/>
  <c r="O83" i="4"/>
  <c r="P83" i="4"/>
  <c r="O75" i="4"/>
  <c r="P75" i="4"/>
  <c r="Q75" i="4"/>
  <c r="O67" i="4"/>
  <c r="P67" i="4"/>
  <c r="Q67" i="4"/>
  <c r="Q59" i="4"/>
  <c r="P59" i="4"/>
  <c r="O59" i="4"/>
  <c r="Q51" i="4"/>
  <c r="P51" i="4"/>
  <c r="O51" i="4"/>
  <c r="Q43" i="4"/>
  <c r="P43" i="4"/>
  <c r="O43" i="4"/>
  <c r="O35" i="4"/>
  <c r="P35" i="4"/>
  <c r="Q35" i="4"/>
  <c r="O27" i="4"/>
  <c r="P27" i="4"/>
  <c r="Q27" i="4"/>
  <c r="O19" i="4"/>
  <c r="P19" i="4"/>
  <c r="Q19" i="4"/>
  <c r="O11" i="4"/>
  <c r="P11" i="4"/>
  <c r="Q11" i="4"/>
  <c r="Q4" i="4"/>
  <c r="O4" i="4"/>
  <c r="P4" i="4"/>
  <c r="O85" i="4"/>
  <c r="P85" i="4"/>
  <c r="Q85" i="4"/>
  <c r="Q77" i="4"/>
  <c r="P77" i="4"/>
  <c r="O77" i="4"/>
  <c r="Q69" i="4"/>
  <c r="P69" i="4"/>
  <c r="O69" i="4"/>
  <c r="Q61" i="4"/>
  <c r="P61" i="4"/>
  <c r="O61" i="4"/>
  <c r="O53" i="4"/>
  <c r="P53" i="4"/>
  <c r="Q53" i="4"/>
  <c r="O45" i="4"/>
  <c r="P45" i="4"/>
  <c r="Q45" i="4"/>
  <c r="O37" i="4"/>
  <c r="P37" i="4"/>
  <c r="Q37" i="4"/>
  <c r="Q29" i="4"/>
  <c r="O29" i="4"/>
  <c r="P29" i="4"/>
  <c r="Q21" i="4"/>
  <c r="O21" i="4"/>
  <c r="P21" i="4"/>
  <c r="O13" i="4"/>
  <c r="P13" i="4"/>
  <c r="Q13" i="4"/>
  <c r="Q6" i="4"/>
  <c r="P6" i="4"/>
  <c r="O6" i="4"/>
  <c r="O82" i="4"/>
  <c r="P82" i="4"/>
  <c r="Q82" i="4"/>
  <c r="P74" i="4"/>
  <c r="O74" i="4"/>
  <c r="Q74" i="4"/>
  <c r="O66" i="4"/>
  <c r="Q66" i="4"/>
  <c r="P66" i="4"/>
  <c r="Q87" i="4"/>
  <c r="P87" i="4"/>
  <c r="O87" i="4"/>
  <c r="P79" i="4"/>
  <c r="O79" i="4"/>
  <c r="Q79" i="4"/>
  <c r="Q71" i="4"/>
  <c r="O71" i="4"/>
  <c r="P71" i="4"/>
  <c r="P84" i="4"/>
  <c r="Q84" i="4"/>
  <c r="O84" i="4"/>
  <c r="P76" i="4"/>
  <c r="Q76" i="4"/>
  <c r="O76" i="4"/>
  <c r="P68" i="4"/>
  <c r="Q68" i="4"/>
  <c r="O68" i="4"/>
  <c r="Q81" i="4"/>
  <c r="P81" i="4"/>
  <c r="O81" i="4"/>
  <c r="P73" i="4"/>
  <c r="O73" i="4"/>
  <c r="Q73" i="4"/>
  <c r="O65" i="4"/>
  <c r="P65" i="4"/>
  <c r="Q65" i="4"/>
  <c r="P57" i="4"/>
  <c r="Q57" i="4"/>
  <c r="O57" i="4"/>
  <c r="Q49" i="4"/>
  <c r="O49" i="4"/>
  <c r="P49" i="4"/>
  <c r="O41" i="4"/>
  <c r="Q41" i="4"/>
  <c r="P41" i="4"/>
  <c r="Q33" i="4"/>
  <c r="P33" i="4"/>
  <c r="O33" i="4"/>
  <c r="Q25" i="4"/>
  <c r="P25" i="4"/>
  <c r="O25" i="4"/>
  <c r="O17" i="4"/>
  <c r="Q17" i="4"/>
  <c r="P17" i="4"/>
  <c r="Q9" i="4"/>
  <c r="P9" i="4"/>
  <c r="O9" i="4"/>
  <c r="P48" i="4"/>
  <c r="O48" i="4"/>
  <c r="Q48" i="4"/>
  <c r="Q32" i="4"/>
  <c r="O32" i="4"/>
  <c r="P32" i="4"/>
  <c r="O16" i="4"/>
  <c r="Q16" i="4"/>
  <c r="P16" i="4"/>
  <c r="Q5" i="4"/>
  <c r="O5" i="4"/>
  <c r="P5" i="4"/>
  <c r="O89" i="4"/>
  <c r="Q88" i="4"/>
  <c r="P88" i="4"/>
  <c r="P89" i="4"/>
  <c r="Q89" i="4"/>
  <c r="O88" i="4"/>
  <c r="Q58" i="4"/>
  <c r="P58" i="4"/>
  <c r="O58" i="4"/>
  <c r="P42" i="4"/>
  <c r="O42" i="4"/>
  <c r="Q42" i="4"/>
  <c r="Q26" i="4"/>
  <c r="P26" i="4"/>
  <c r="O26" i="4"/>
  <c r="Q10" i="4"/>
  <c r="O10" i="4"/>
  <c r="P10" i="4"/>
  <c r="Q55" i="4"/>
  <c r="P55" i="4"/>
  <c r="O55" i="4"/>
  <c r="Q39" i="4"/>
  <c r="P39" i="4"/>
  <c r="O39" i="4"/>
  <c r="O23" i="4"/>
  <c r="Q23" i="4"/>
  <c r="P23" i="4"/>
  <c r="P64" i="4"/>
  <c r="O64" i="4"/>
  <c r="Q64" i="4"/>
  <c r="P52" i="4"/>
  <c r="Q52" i="4"/>
  <c r="O52" i="4"/>
  <c r="Q36" i="4"/>
  <c r="O36" i="4"/>
  <c r="P36" i="4"/>
  <c r="P20" i="4"/>
  <c r="O20" i="4"/>
  <c r="Q20" i="4"/>
  <c r="O80" i="4"/>
  <c r="P80" i="4"/>
  <c r="Q80" i="4"/>
  <c r="P56" i="4"/>
  <c r="Q56" i="4"/>
  <c r="O56" i="4"/>
  <c r="P40" i="4"/>
  <c r="O40" i="4"/>
  <c r="Q40" i="4"/>
  <c r="Q24" i="4"/>
  <c r="P24" i="4"/>
  <c r="O24" i="4"/>
  <c r="P50" i="4"/>
  <c r="Q50" i="4"/>
  <c r="O50" i="4"/>
  <c r="Q34" i="4"/>
  <c r="P34" i="4"/>
  <c r="O34" i="4"/>
  <c r="O18" i="4"/>
  <c r="P18" i="4"/>
  <c r="Q18" i="4"/>
  <c r="O63" i="4"/>
  <c r="Q63" i="4"/>
  <c r="P63" i="4"/>
  <c r="O47" i="4"/>
  <c r="Q47" i="4"/>
  <c r="P47" i="4"/>
  <c r="O31" i="4"/>
  <c r="Q31" i="4"/>
  <c r="P31" i="4"/>
  <c r="Q15" i="4"/>
  <c r="P15" i="4"/>
  <c r="O15" i="4"/>
  <c r="Q72" i="4"/>
  <c r="P72" i="4"/>
  <c r="O72" i="4"/>
  <c r="P60" i="4"/>
  <c r="O60" i="4"/>
  <c r="Q60" i="4"/>
  <c r="O44" i="4"/>
  <c r="P44" i="4"/>
  <c r="Q44" i="4"/>
  <c r="O28" i="4"/>
  <c r="P28" i="4"/>
  <c r="Q28" i="4"/>
  <c r="O12" i="4"/>
  <c r="P12" i="4"/>
  <c r="Q12" i="4"/>
  <c r="P8" i="4"/>
  <c r="O8" i="4"/>
  <c r="Q8" i="4"/>
  <c r="O3" i="10"/>
  <c r="D4" i="10"/>
  <c r="D4" i="11"/>
  <c r="R3" i="11"/>
  <c r="K85" i="3"/>
  <c r="K35" i="3"/>
  <c r="K25" i="3"/>
  <c r="K17" i="3"/>
  <c r="Q20" i="3" s="1"/>
  <c r="K12" i="3"/>
  <c r="K23" i="3"/>
  <c r="K15" i="3"/>
  <c r="K14" i="3"/>
  <c r="K82" i="3"/>
  <c r="K50" i="3"/>
  <c r="K36" i="3"/>
  <c r="K16" i="3"/>
  <c r="K44" i="3"/>
  <c r="K65" i="3"/>
  <c r="K51" i="3"/>
  <c r="K58" i="3"/>
  <c r="K45" i="3"/>
  <c r="K30" i="3"/>
  <c r="Q33" i="3" s="1"/>
  <c r="K53" i="3"/>
  <c r="K8" i="3"/>
  <c r="K29" i="3"/>
  <c r="K77" i="3"/>
  <c r="Q81" i="3" s="1"/>
  <c r="K66" i="3"/>
  <c r="K54" i="3"/>
  <c r="K28" i="3"/>
  <c r="K42" i="3"/>
  <c r="K11" i="3"/>
  <c r="K5" i="3"/>
  <c r="K57" i="3"/>
  <c r="K43" i="3"/>
  <c r="Q46" i="3" s="1"/>
  <c r="K24" i="3"/>
  <c r="K7" i="3"/>
  <c r="K75" i="3"/>
  <c r="K69" i="3"/>
  <c r="Q72" i="3" s="1"/>
  <c r="K81" i="3"/>
  <c r="K72" i="3"/>
  <c r="K52" i="3"/>
  <c r="K38" i="3"/>
  <c r="K46" i="3"/>
  <c r="K21" i="3"/>
  <c r="K74" i="3"/>
  <c r="K61" i="3"/>
  <c r="K32" i="3"/>
  <c r="K20" i="3"/>
  <c r="K89" i="3"/>
  <c r="K80" i="3"/>
  <c r="K59" i="3"/>
  <c r="K9" i="3"/>
  <c r="K33" i="3"/>
  <c r="K13" i="3"/>
  <c r="K64" i="3"/>
  <c r="K87" i="3"/>
  <c r="K79" i="3"/>
  <c r="K71" i="3"/>
  <c r="K63" i="3"/>
  <c r="K55" i="3"/>
  <c r="K47" i="3"/>
  <c r="Q50" i="3" s="1"/>
  <c r="K39" i="3"/>
  <c r="K31" i="3"/>
  <c r="K86" i="3"/>
  <c r="Q89" i="3" s="1"/>
  <c r="K78" i="3"/>
  <c r="K70" i="3"/>
  <c r="K84" i="3"/>
  <c r="K76" i="3"/>
  <c r="K68" i="3"/>
  <c r="K60" i="3"/>
  <c r="Q63" i="3" s="1"/>
  <c r="K88" i="3"/>
  <c r="K22" i="3"/>
  <c r="K48" i="3"/>
  <c r="K41" i="3"/>
  <c r="K34" i="3"/>
  <c r="Q37" i="3" s="1"/>
  <c r="K26" i="3"/>
  <c r="K18" i="3"/>
  <c r="K37" i="3"/>
  <c r="K6" i="3"/>
  <c r="K83" i="3"/>
  <c r="K73" i="3"/>
  <c r="Q76" i="3" s="1"/>
  <c r="K67" i="3"/>
  <c r="K62" i="3"/>
  <c r="K56" i="3"/>
  <c r="Q59" i="3" s="1"/>
  <c r="K49" i="3"/>
  <c r="H53" i="7"/>
  <c r="B51" i="7"/>
  <c r="C50" i="7"/>
  <c r="G50" i="7"/>
  <c r="G49" i="7"/>
  <c r="C30" i="7"/>
  <c r="H25" i="7"/>
  <c r="B4" i="7"/>
  <c r="F53" i="7"/>
  <c r="H40" i="7"/>
  <c r="B38" i="7"/>
  <c r="C21" i="7"/>
  <c r="H16" i="7"/>
  <c r="C52" i="7"/>
  <c r="C51" i="7"/>
  <c r="B44" i="7"/>
  <c r="B43" i="7"/>
  <c r="C26" i="7"/>
  <c r="H21" i="7"/>
  <c r="J53" i="7"/>
  <c r="H44" i="7"/>
  <c r="H43" i="7"/>
  <c r="B25" i="7"/>
  <c r="C24" i="7"/>
  <c r="C5" i="7"/>
  <c r="D4" i="7"/>
  <c r="C31" i="7"/>
  <c r="B24" i="7"/>
  <c r="E49" i="7"/>
  <c r="D53" i="7"/>
  <c r="H30" i="7"/>
  <c r="C27" i="7"/>
  <c r="J48" i="7"/>
  <c r="C41" i="7"/>
  <c r="H52" i="7"/>
  <c r="H50" i="7"/>
  <c r="B16" i="7"/>
  <c r="H7" i="7"/>
  <c r="C28" i="7"/>
  <c r="B21" i="7"/>
  <c r="B9" i="7"/>
  <c r="D52" i="7"/>
  <c r="C48" i="7"/>
  <c r="C46" i="7"/>
  <c r="B28" i="7"/>
  <c r="H22" i="7"/>
  <c r="B12" i="7"/>
  <c r="B52" i="7"/>
  <c r="H36" i="7"/>
  <c r="C36" i="7"/>
  <c r="B13" i="7"/>
  <c r="H23" i="7"/>
  <c r="C7" i="7"/>
  <c r="B29" i="7"/>
  <c r="C17" i="7"/>
  <c r="H20" i="7"/>
  <c r="C33" i="7"/>
  <c r="B20" i="2"/>
  <c r="G17" i="2"/>
  <c r="H39" i="7"/>
  <c r="B26" i="7"/>
  <c r="C19" i="7"/>
  <c r="D50" i="7"/>
  <c r="H31" i="7"/>
  <c r="C23" i="7"/>
  <c r="C6" i="7"/>
  <c r="J50" i="7"/>
  <c r="B36" i="7"/>
  <c r="E51" i="7"/>
  <c r="H34" i="7"/>
  <c r="B6" i="7"/>
  <c r="H27" i="7"/>
  <c r="I47" i="7"/>
  <c r="B8" i="7"/>
  <c r="B27" i="7"/>
  <c r="B45" i="7"/>
  <c r="C53" i="7"/>
  <c r="B22" i="7"/>
  <c r="E47" i="7"/>
  <c r="H6" i="7"/>
  <c r="B31" i="7"/>
  <c r="G51" i="7"/>
  <c r="J51" i="7"/>
  <c r="B37" i="7"/>
  <c r="H26" i="7"/>
  <c r="H12" i="7"/>
  <c r="B53" i="7"/>
  <c r="C43" i="7"/>
  <c r="E53" i="7"/>
  <c r="B40" i="7"/>
  <c r="H8" i="7"/>
  <c r="C32" i="7"/>
  <c r="I48" i="7"/>
  <c r="H9" i="7"/>
  <c r="H29" i="7"/>
  <c r="B46" i="7"/>
  <c r="U2" i="7"/>
  <c r="H24" i="7"/>
  <c r="F48" i="7"/>
  <c r="B10" i="7"/>
  <c r="H33" i="7"/>
  <c r="G52" i="7"/>
  <c r="I52" i="7"/>
  <c r="D48" i="7"/>
  <c r="B32" i="7"/>
  <c r="B18" i="7"/>
  <c r="C8" i="7"/>
  <c r="C45" i="7"/>
  <c r="B5" i="7"/>
  <c r="H47" i="7"/>
  <c r="H11" i="7"/>
  <c r="B33" i="7"/>
  <c r="I49" i="7"/>
  <c r="B11" i="7"/>
  <c r="C34" i="7"/>
  <c r="B47" i="7"/>
  <c r="H5" i="7"/>
  <c r="C29" i="7"/>
  <c r="F49" i="7"/>
  <c r="C14" i="7"/>
  <c r="C38" i="7"/>
  <c r="G53" i="7"/>
  <c r="H20" i="12"/>
  <c r="H4" i="7"/>
  <c r="B42" i="7"/>
  <c r="C35" i="7"/>
  <c r="H10" i="7"/>
  <c r="E50" i="7"/>
  <c r="C39" i="7"/>
  <c r="C25" i="7"/>
  <c r="C11" i="7"/>
  <c r="C47" i="7"/>
  <c r="C10" i="7"/>
  <c r="H49" i="7"/>
  <c r="C16" i="7"/>
  <c r="H35" i="7"/>
  <c r="I50" i="7"/>
  <c r="H13" i="7"/>
  <c r="B35" i="7"/>
  <c r="B48" i="7"/>
  <c r="C9" i="7"/>
  <c r="B30" i="7"/>
  <c r="F50" i="7"/>
  <c r="B15" i="7"/>
  <c r="B39" i="7"/>
  <c r="F47" i="7"/>
  <c r="H19" i="12"/>
  <c r="D47" i="7"/>
  <c r="J47" i="7"/>
  <c r="H38" i="7"/>
  <c r="C12" i="7"/>
  <c r="E52" i="7"/>
  <c r="H42" i="7"/>
  <c r="H28" i="7"/>
  <c r="H14" i="7"/>
  <c r="C49" i="7"/>
  <c r="C15" i="7"/>
  <c r="H51" i="7"/>
  <c r="B17" i="7"/>
  <c r="C40" i="7"/>
  <c r="I51" i="7"/>
  <c r="C18" i="7"/>
  <c r="H37" i="7"/>
  <c r="B49" i="7"/>
  <c r="C13" i="7"/>
  <c r="H32" i="7"/>
  <c r="F51" i="7"/>
  <c r="H17" i="7"/>
  <c r="G47" i="7"/>
  <c r="E48" i="7"/>
  <c r="C20" i="7"/>
  <c r="B7" i="7"/>
  <c r="J49" i="7"/>
  <c r="C44" i="7"/>
  <c r="H15" i="7"/>
  <c r="C4" i="7"/>
  <c r="H48" i="7"/>
  <c r="B34" i="7"/>
  <c r="B20" i="7"/>
  <c r="D51" i="7"/>
  <c r="H18" i="7"/>
  <c r="I53" i="7"/>
  <c r="H19" i="7"/>
  <c r="B41" i="7"/>
  <c r="J52" i="7"/>
  <c r="B19" i="7"/>
  <c r="C42" i="7"/>
  <c r="B50" i="7"/>
  <c r="B14" i="7"/>
  <c r="C37" i="7"/>
  <c r="F52" i="7"/>
  <c r="B23" i="7"/>
  <c r="G48" i="7"/>
  <c r="D49" i="7"/>
  <c r="F4" i="8"/>
  <c r="F4" i="3"/>
  <c r="E4" i="7"/>
  <c r="F4" i="7" s="1"/>
  <c r="C22" i="7"/>
  <c r="H41" i="7"/>
  <c r="H45" i="7"/>
  <c r="K4" i="3"/>
  <c r="Q7" i="3" s="1"/>
  <c r="K19" i="3"/>
  <c r="K27" i="3"/>
  <c r="Q29" i="3" s="1"/>
  <c r="K40" i="3"/>
  <c r="K10" i="3"/>
  <c r="E4" i="10"/>
  <c r="H28" i="12"/>
  <c r="H29" i="12"/>
  <c r="H27" i="12"/>
  <c r="AC2" i="10"/>
  <c r="H13" i="12"/>
  <c r="H14" i="12"/>
  <c r="H15" i="12"/>
  <c r="H12" i="12"/>
  <c r="N53" i="5"/>
  <c r="F53" i="5"/>
  <c r="M52" i="5"/>
  <c r="E52" i="5"/>
  <c r="L51" i="5"/>
  <c r="D51" i="5"/>
  <c r="K50" i="5"/>
  <c r="C50" i="5"/>
  <c r="J49" i="5"/>
  <c r="B49" i="5"/>
  <c r="I48" i="5"/>
  <c r="P47" i="5"/>
  <c r="H47" i="5"/>
  <c r="O46" i="5"/>
  <c r="G46" i="5"/>
  <c r="N45" i="5"/>
  <c r="F45" i="5"/>
  <c r="M44" i="5"/>
  <c r="E44" i="5"/>
  <c r="L43" i="5"/>
  <c r="D43" i="5"/>
  <c r="K42" i="5"/>
  <c r="C42" i="5"/>
  <c r="J41" i="5"/>
  <c r="B41" i="5"/>
  <c r="I40" i="5"/>
  <c r="P39" i="5"/>
  <c r="H39" i="5"/>
  <c r="O38" i="5"/>
  <c r="G38" i="5"/>
  <c r="F37" i="5"/>
  <c r="U37" i="5" s="1"/>
  <c r="M36" i="5"/>
  <c r="L35" i="5"/>
  <c r="K34" i="5"/>
  <c r="P34" i="5" s="1"/>
  <c r="C34" i="5"/>
  <c r="B33" i="5"/>
  <c r="O30" i="5"/>
  <c r="N29" i="5"/>
  <c r="M28" i="5"/>
  <c r="L27" i="5"/>
  <c r="K26" i="5"/>
  <c r="P26" i="5" s="1"/>
  <c r="C26" i="5"/>
  <c r="B25" i="5"/>
  <c r="O22" i="5"/>
  <c r="L53" i="5"/>
  <c r="D53" i="5"/>
  <c r="K52" i="5"/>
  <c r="C52" i="5"/>
  <c r="J51" i="5"/>
  <c r="B51" i="5"/>
  <c r="I50" i="5"/>
  <c r="P49" i="5"/>
  <c r="H49" i="5"/>
  <c r="O48" i="5"/>
  <c r="G48" i="5"/>
  <c r="N47" i="5"/>
  <c r="F47" i="5"/>
  <c r="M46" i="5"/>
  <c r="E46" i="5"/>
  <c r="L45" i="5"/>
  <c r="D45" i="5"/>
  <c r="K44" i="5"/>
  <c r="C44" i="5"/>
  <c r="J43" i="5"/>
  <c r="B43" i="5"/>
  <c r="I42" i="5"/>
  <c r="P41" i="5"/>
  <c r="H41" i="5"/>
  <c r="O40" i="5"/>
  <c r="G40" i="5"/>
  <c r="N39" i="5"/>
  <c r="F39" i="5"/>
  <c r="M38" i="5"/>
  <c r="E38" i="5"/>
  <c r="K36" i="5"/>
  <c r="P36" i="5" s="1"/>
  <c r="C36" i="5"/>
  <c r="B35" i="5"/>
  <c r="O32" i="5"/>
  <c r="N31" i="5"/>
  <c r="M30" i="5"/>
  <c r="L29" i="5"/>
  <c r="K28" i="5"/>
  <c r="P28" i="5" s="1"/>
  <c r="C28" i="5"/>
  <c r="B27" i="5"/>
  <c r="I53" i="5"/>
  <c r="P52" i="5"/>
  <c r="H52" i="5"/>
  <c r="O51" i="5"/>
  <c r="G51" i="5"/>
  <c r="N50" i="5"/>
  <c r="F50" i="5"/>
  <c r="M49" i="5"/>
  <c r="E49" i="5"/>
  <c r="L48" i="5"/>
  <c r="D48" i="5"/>
  <c r="K47" i="5"/>
  <c r="C47" i="5"/>
  <c r="J46" i="5"/>
  <c r="B46" i="5"/>
  <c r="I45" i="5"/>
  <c r="P44" i="5"/>
  <c r="H44" i="5"/>
  <c r="O43" i="5"/>
  <c r="G43" i="5"/>
  <c r="N42" i="5"/>
  <c r="F42" i="5"/>
  <c r="M41" i="5"/>
  <c r="E41" i="5"/>
  <c r="L40" i="5"/>
  <c r="D40" i="5"/>
  <c r="K39" i="5"/>
  <c r="C39" i="5"/>
  <c r="J38" i="5"/>
  <c r="B38" i="5"/>
  <c r="I37" i="5"/>
  <c r="O35" i="5"/>
  <c r="N34" i="5"/>
  <c r="F34" i="5"/>
  <c r="U34" i="5" s="1"/>
  <c r="M33" i="5"/>
  <c r="L32" i="5"/>
  <c r="K31" i="5"/>
  <c r="P31" i="5" s="1"/>
  <c r="C31" i="5"/>
  <c r="B30" i="5"/>
  <c r="O27" i="5"/>
  <c r="O53" i="5"/>
  <c r="G53" i="5"/>
  <c r="N52" i="5"/>
  <c r="F52" i="5"/>
  <c r="M51" i="5"/>
  <c r="E51" i="5"/>
  <c r="L50" i="5"/>
  <c r="D50" i="5"/>
  <c r="K49" i="5"/>
  <c r="C49" i="5"/>
  <c r="J48" i="5"/>
  <c r="B48" i="5"/>
  <c r="I47" i="5"/>
  <c r="P46" i="5"/>
  <c r="H46" i="5"/>
  <c r="O45" i="5"/>
  <c r="G45" i="5"/>
  <c r="N44" i="5"/>
  <c r="F44" i="5"/>
  <c r="M43" i="5"/>
  <c r="E43" i="5"/>
  <c r="L42" i="5"/>
  <c r="D42" i="5"/>
  <c r="K41" i="5"/>
  <c r="C41" i="5"/>
  <c r="J40" i="5"/>
  <c r="B40" i="5"/>
  <c r="I39" i="5"/>
  <c r="P38" i="5"/>
  <c r="H38" i="5"/>
  <c r="N36" i="5"/>
  <c r="F36" i="5"/>
  <c r="U36" i="5" s="1"/>
  <c r="M35" i="5"/>
  <c r="L34" i="5"/>
  <c r="K33" i="5"/>
  <c r="P33" i="5" s="1"/>
  <c r="C33" i="5"/>
  <c r="B32" i="5"/>
  <c r="O29" i="5"/>
  <c r="N28" i="5"/>
  <c r="M27" i="5"/>
  <c r="L26" i="5"/>
  <c r="K25" i="5"/>
  <c r="P25" i="5" s="1"/>
  <c r="C25" i="5"/>
  <c r="B24" i="5"/>
  <c r="C53" i="5"/>
  <c r="B52" i="5"/>
  <c r="P50" i="5"/>
  <c r="O49" i="5"/>
  <c r="N48" i="5"/>
  <c r="M47" i="5"/>
  <c r="L46" i="5"/>
  <c r="K45" i="5"/>
  <c r="J44" i="5"/>
  <c r="I43" i="5"/>
  <c r="H42" i="5"/>
  <c r="G41" i="5"/>
  <c r="F40" i="5"/>
  <c r="E39" i="5"/>
  <c r="D38" i="5"/>
  <c r="C37" i="5"/>
  <c r="B36" i="5"/>
  <c r="O33" i="5"/>
  <c r="N32" i="5"/>
  <c r="M31" i="5"/>
  <c r="L30" i="5"/>
  <c r="K29" i="5"/>
  <c r="P29" i="5" s="1"/>
  <c r="M26" i="5"/>
  <c r="O25" i="5"/>
  <c r="M23" i="5"/>
  <c r="B22" i="5"/>
  <c r="O19" i="5"/>
  <c r="N18" i="5"/>
  <c r="M17" i="5"/>
  <c r="L16" i="5"/>
  <c r="K15" i="5"/>
  <c r="P15" i="5" s="1"/>
  <c r="C15" i="5"/>
  <c r="B14" i="5"/>
  <c r="L13" i="5"/>
  <c r="L12" i="5"/>
  <c r="L11" i="5"/>
  <c r="L10" i="5"/>
  <c r="L9" i="5"/>
  <c r="K8" i="5"/>
  <c r="P8" i="5" s="1"/>
  <c r="C8" i="5"/>
  <c r="B7" i="5"/>
  <c r="B53" i="5"/>
  <c r="P51" i="5"/>
  <c r="O50" i="5"/>
  <c r="N49" i="5"/>
  <c r="M48" i="5"/>
  <c r="L47" i="5"/>
  <c r="K46" i="5"/>
  <c r="J45" i="5"/>
  <c r="I44" i="5"/>
  <c r="H43" i="5"/>
  <c r="G42" i="5"/>
  <c r="F41" i="5"/>
  <c r="E40" i="5"/>
  <c r="D39" i="5"/>
  <c r="C38" i="5"/>
  <c r="B37" i="5"/>
  <c r="O34" i="5"/>
  <c r="N33" i="5"/>
  <c r="M32" i="5"/>
  <c r="L31" i="5"/>
  <c r="K30" i="5"/>
  <c r="P30" i="5" s="1"/>
  <c r="N25" i="5"/>
  <c r="L23" i="5"/>
  <c r="C23" i="5"/>
  <c r="O20" i="5"/>
  <c r="N19" i="5"/>
  <c r="M18" i="5"/>
  <c r="L17" i="5"/>
  <c r="K16" i="5"/>
  <c r="P16" i="5" s="1"/>
  <c r="C16" i="5"/>
  <c r="B15" i="5"/>
  <c r="K13" i="5"/>
  <c r="P13" i="5" s="1"/>
  <c r="C13" i="5"/>
  <c r="K12" i="5"/>
  <c r="P12" i="5" s="1"/>
  <c r="C12" i="5"/>
  <c r="K11" i="5"/>
  <c r="C11" i="5"/>
  <c r="K10" i="5"/>
  <c r="P10" i="5" s="1"/>
  <c r="C10" i="5"/>
  <c r="K9" i="5"/>
  <c r="P9" i="5" s="1"/>
  <c r="C9" i="5"/>
  <c r="B8" i="5"/>
  <c r="O5" i="5"/>
  <c r="O4" i="5"/>
  <c r="P53" i="5"/>
  <c r="O52" i="5"/>
  <c r="N51" i="5"/>
  <c r="M50" i="5"/>
  <c r="L49" i="5"/>
  <c r="K48" i="5"/>
  <c r="J47" i="5"/>
  <c r="I46" i="5"/>
  <c r="H45" i="5"/>
  <c r="G44" i="5"/>
  <c r="F43" i="5"/>
  <c r="E42" i="5"/>
  <c r="D41" i="5"/>
  <c r="C40" i="5"/>
  <c r="B39" i="5"/>
  <c r="P37" i="5"/>
  <c r="O36" i="5"/>
  <c r="N35" i="5"/>
  <c r="M34" i="5"/>
  <c r="L33" i="5"/>
  <c r="K32" i="5"/>
  <c r="P32" i="5" s="1"/>
  <c r="M25" i="5"/>
  <c r="K23" i="5"/>
  <c r="P23" i="5" s="1"/>
  <c r="B23" i="5"/>
  <c r="O21" i="5"/>
  <c r="N20" i="5"/>
  <c r="M19" i="5"/>
  <c r="L18" i="5"/>
  <c r="K17" i="5"/>
  <c r="C17" i="5"/>
  <c r="B16" i="5"/>
  <c r="B13" i="5"/>
  <c r="B12" i="5"/>
  <c r="B11" i="5"/>
  <c r="B10" i="5"/>
  <c r="B9" i="5"/>
  <c r="O6" i="5"/>
  <c r="N5" i="5"/>
  <c r="N4" i="5"/>
  <c r="M53" i="5"/>
  <c r="L52" i="5"/>
  <c r="K51" i="5"/>
  <c r="J50" i="5"/>
  <c r="I49" i="5"/>
  <c r="H48" i="5"/>
  <c r="G47" i="5"/>
  <c r="F46" i="5"/>
  <c r="E45" i="5"/>
  <c r="D44" i="5"/>
  <c r="C43" i="5"/>
  <c r="B42" i="5"/>
  <c r="P40" i="5"/>
  <c r="O39" i="5"/>
  <c r="N38" i="5"/>
  <c r="M37" i="5"/>
  <c r="L36" i="5"/>
  <c r="K35" i="5"/>
  <c r="P35" i="5" s="1"/>
  <c r="L25" i="5"/>
  <c r="O24" i="5"/>
  <c r="N21" i="5"/>
  <c r="M20" i="5"/>
  <c r="L19" i="5"/>
  <c r="K18" i="5"/>
  <c r="P18" i="5" s="1"/>
  <c r="C18" i="5"/>
  <c r="B17" i="5"/>
  <c r="O14" i="5"/>
  <c r="O7" i="5"/>
  <c r="N6" i="5"/>
  <c r="M5" i="5"/>
  <c r="M4" i="5"/>
  <c r="AA2" i="5"/>
  <c r="K53" i="5"/>
  <c r="J52" i="5"/>
  <c r="I51" i="5"/>
  <c r="H50" i="5"/>
  <c r="G49" i="5"/>
  <c r="F48" i="5"/>
  <c r="E47" i="5"/>
  <c r="D46" i="5"/>
  <c r="C45" i="5"/>
  <c r="B44" i="5"/>
  <c r="P42" i="5"/>
  <c r="O41" i="5"/>
  <c r="N40" i="5"/>
  <c r="M39" i="5"/>
  <c r="L38" i="5"/>
  <c r="K37" i="5"/>
  <c r="C29" i="5"/>
  <c r="B28" i="5"/>
  <c r="C27" i="5"/>
  <c r="N24" i="5"/>
  <c r="N22" i="5"/>
  <c r="M21" i="5"/>
  <c r="L20" i="5"/>
  <c r="K19" i="5"/>
  <c r="P19" i="5" s="1"/>
  <c r="C19" i="5"/>
  <c r="B18" i="5"/>
  <c r="O15" i="5"/>
  <c r="N14" i="5"/>
  <c r="P11" i="5"/>
  <c r="O8" i="5"/>
  <c r="N7" i="5"/>
  <c r="M6" i="5"/>
  <c r="L5" i="5"/>
  <c r="L4" i="5"/>
  <c r="D4" i="5"/>
  <c r="E4" i="5" s="1"/>
  <c r="J53" i="5"/>
  <c r="I52" i="5"/>
  <c r="H51" i="5"/>
  <c r="G50" i="5"/>
  <c r="F49" i="5"/>
  <c r="E48" i="5"/>
  <c r="D47" i="5"/>
  <c r="C46" i="5"/>
  <c r="B45" i="5"/>
  <c r="P43" i="5"/>
  <c r="O42" i="5"/>
  <c r="N41" i="5"/>
  <c r="M40" i="5"/>
  <c r="L39" i="5"/>
  <c r="K38" i="5"/>
  <c r="J37" i="5"/>
  <c r="AA5" i="5" s="1"/>
  <c r="C30" i="5"/>
  <c r="B29" i="5"/>
  <c r="M24" i="5"/>
  <c r="C24" i="5"/>
  <c r="M22" i="5"/>
  <c r="L21" i="5"/>
  <c r="K20" i="5"/>
  <c r="P20" i="5" s="1"/>
  <c r="C20" i="5"/>
  <c r="B19" i="5"/>
  <c r="P17" i="5"/>
  <c r="O16" i="5"/>
  <c r="N15" i="5"/>
  <c r="M14" i="5"/>
  <c r="O13" i="5"/>
  <c r="O12" i="5"/>
  <c r="O11" i="5"/>
  <c r="O10" i="5"/>
  <c r="O9" i="5"/>
  <c r="N8" i="5"/>
  <c r="M7" i="5"/>
  <c r="L6" i="5"/>
  <c r="K5" i="5"/>
  <c r="P5" i="5" s="1"/>
  <c r="C5" i="5"/>
  <c r="K4" i="5"/>
  <c r="P4" i="5" s="1"/>
  <c r="C4" i="5"/>
  <c r="H53" i="5"/>
  <c r="G52" i="5"/>
  <c r="F51" i="5"/>
  <c r="E50" i="5"/>
  <c r="D49" i="5"/>
  <c r="C48" i="5"/>
  <c r="B47" i="5"/>
  <c r="P45" i="5"/>
  <c r="O44" i="5"/>
  <c r="N43" i="5"/>
  <c r="M42" i="5"/>
  <c r="L41" i="5"/>
  <c r="K40" i="5"/>
  <c r="J39" i="5"/>
  <c r="I38" i="5"/>
  <c r="F35" i="5"/>
  <c r="U35" i="5" s="1"/>
  <c r="C32" i="5"/>
  <c r="B31" i="5"/>
  <c r="O28" i="5"/>
  <c r="N27" i="5"/>
  <c r="O26" i="5"/>
  <c r="B26" i="5"/>
  <c r="L24" i="5"/>
  <c r="O23" i="5"/>
  <c r="L22" i="5"/>
  <c r="K21" i="5"/>
  <c r="P21" i="5" s="1"/>
  <c r="C21" i="5"/>
  <c r="B20" i="5"/>
  <c r="O17" i="5"/>
  <c r="N16" i="5"/>
  <c r="M15" i="5"/>
  <c r="L14" i="5"/>
  <c r="N13" i="5"/>
  <c r="N12" i="5"/>
  <c r="N11" i="5"/>
  <c r="N10" i="5"/>
  <c r="N9" i="5"/>
  <c r="M8" i="5"/>
  <c r="L7" i="5"/>
  <c r="K6" i="5"/>
  <c r="P6" i="5" s="1"/>
  <c r="C6" i="5"/>
  <c r="B5" i="5"/>
  <c r="B4" i="5"/>
  <c r="E53" i="5"/>
  <c r="D52" i="5"/>
  <c r="C51" i="5"/>
  <c r="B50" i="5"/>
  <c r="P48" i="5"/>
  <c r="O47" i="5"/>
  <c r="N46" i="5"/>
  <c r="M45" i="5"/>
  <c r="L44" i="5"/>
  <c r="K43" i="5"/>
  <c r="J42" i="5"/>
  <c r="I41" i="5"/>
  <c r="H40" i="5"/>
  <c r="G39" i="5"/>
  <c r="F38" i="5"/>
  <c r="C35" i="5"/>
  <c r="B34" i="5"/>
  <c r="O31" i="5"/>
  <c r="N30" i="5"/>
  <c r="M29" i="5"/>
  <c r="L28" i="5"/>
  <c r="K27" i="5"/>
  <c r="P27" i="5" s="1"/>
  <c r="N26" i="5"/>
  <c r="K24" i="5"/>
  <c r="P24" i="5" s="1"/>
  <c r="N23" i="5"/>
  <c r="K22" i="5"/>
  <c r="P22" i="5" s="1"/>
  <c r="C22" i="5"/>
  <c r="B21" i="5"/>
  <c r="O18" i="5"/>
  <c r="N17" i="5"/>
  <c r="M16" i="5"/>
  <c r="L15" i="5"/>
  <c r="K14" i="5"/>
  <c r="P14" i="5" s="1"/>
  <c r="C14" i="5"/>
  <c r="M13" i="5"/>
  <c r="M12" i="5"/>
  <c r="M11" i="5"/>
  <c r="M10" i="5"/>
  <c r="M9" i="5"/>
  <c r="L8" i="5"/>
  <c r="K7" i="5"/>
  <c r="P7" i="5" s="1"/>
  <c r="C7" i="5"/>
  <c r="B6" i="5"/>
  <c r="H31" i="12"/>
  <c r="H33" i="12"/>
  <c r="H34" i="12"/>
  <c r="H32" i="12"/>
  <c r="F4" i="11"/>
  <c r="C4" i="11"/>
  <c r="AF3" i="11"/>
  <c r="H16" i="12"/>
  <c r="H18" i="12"/>
  <c r="H17" i="12"/>
  <c r="J53" i="6"/>
  <c r="B53" i="6"/>
  <c r="I52" i="6"/>
  <c r="P51" i="6"/>
  <c r="H51" i="6"/>
  <c r="O50" i="6"/>
  <c r="G50" i="6"/>
  <c r="F49" i="6"/>
  <c r="M48" i="6"/>
  <c r="E48" i="6"/>
  <c r="L47" i="6"/>
  <c r="D47" i="6"/>
  <c r="K46" i="6"/>
  <c r="C46" i="6"/>
  <c r="J45" i="6"/>
  <c r="B45" i="6"/>
  <c r="I44" i="6"/>
  <c r="P43" i="6"/>
  <c r="H43" i="6"/>
  <c r="O42" i="6"/>
  <c r="G42" i="6"/>
  <c r="F41" i="6"/>
  <c r="M40" i="6"/>
  <c r="E40" i="6"/>
  <c r="L39" i="6"/>
  <c r="D39" i="6"/>
  <c r="K38" i="6"/>
  <c r="C38" i="6"/>
  <c r="J37" i="6"/>
  <c r="B37" i="6"/>
  <c r="I36" i="6"/>
  <c r="P35" i="6"/>
  <c r="H35" i="6"/>
  <c r="O34" i="6"/>
  <c r="G34" i="6"/>
  <c r="F33" i="6"/>
  <c r="M32" i="6"/>
  <c r="E32" i="6"/>
  <c r="L31" i="6"/>
  <c r="D31" i="6"/>
  <c r="K30" i="6"/>
  <c r="C30" i="6"/>
  <c r="J29" i="6"/>
  <c r="B29" i="6"/>
  <c r="I28" i="6"/>
  <c r="P27" i="6"/>
  <c r="H27" i="6"/>
  <c r="I53" i="6"/>
  <c r="P52" i="6"/>
  <c r="H52" i="6"/>
  <c r="O51" i="6"/>
  <c r="G51" i="6"/>
  <c r="F50" i="6"/>
  <c r="M49" i="6"/>
  <c r="E49" i="6"/>
  <c r="L48" i="6"/>
  <c r="D48" i="6"/>
  <c r="K47" i="6"/>
  <c r="C47" i="6"/>
  <c r="J46" i="6"/>
  <c r="B46" i="6"/>
  <c r="I45" i="6"/>
  <c r="P44" i="6"/>
  <c r="H44" i="6"/>
  <c r="O43" i="6"/>
  <c r="G43" i="6"/>
  <c r="F42" i="6"/>
  <c r="M41" i="6"/>
  <c r="E41" i="6"/>
  <c r="L40" i="6"/>
  <c r="D40" i="6"/>
  <c r="K39" i="6"/>
  <c r="C39" i="6"/>
  <c r="J38" i="6"/>
  <c r="B38" i="6"/>
  <c r="I37" i="6"/>
  <c r="P36" i="6"/>
  <c r="H36" i="6"/>
  <c r="O35" i="6"/>
  <c r="G35" i="6"/>
  <c r="F34" i="6"/>
  <c r="M33" i="6"/>
  <c r="E33" i="6"/>
  <c r="L32" i="6"/>
  <c r="D32" i="6"/>
  <c r="K31" i="6"/>
  <c r="C31" i="6"/>
  <c r="J30" i="6"/>
  <c r="B30" i="6"/>
  <c r="I29" i="6"/>
  <c r="P28" i="6"/>
  <c r="H28" i="6"/>
  <c r="O27" i="6"/>
  <c r="F53" i="6"/>
  <c r="M52" i="6"/>
  <c r="E52" i="6"/>
  <c r="L51" i="6"/>
  <c r="D51" i="6"/>
  <c r="K50" i="6"/>
  <c r="C50" i="6"/>
  <c r="J49" i="6"/>
  <c r="B49" i="6"/>
  <c r="I48" i="6"/>
  <c r="P47" i="6"/>
  <c r="H47" i="6"/>
  <c r="O46" i="6"/>
  <c r="G46" i="6"/>
  <c r="F45" i="6"/>
  <c r="M44" i="6"/>
  <c r="E44" i="6"/>
  <c r="L43" i="6"/>
  <c r="D43" i="6"/>
  <c r="K42" i="6"/>
  <c r="C42" i="6"/>
  <c r="J41" i="6"/>
  <c r="B41" i="6"/>
  <c r="I40" i="6"/>
  <c r="L53" i="6"/>
  <c r="D53" i="6"/>
  <c r="K52" i="6"/>
  <c r="C52" i="6"/>
  <c r="J51" i="6"/>
  <c r="B51" i="6"/>
  <c r="I50" i="6"/>
  <c r="P49" i="6"/>
  <c r="H49" i="6"/>
  <c r="O48" i="6"/>
  <c r="G48" i="6"/>
  <c r="F47" i="6"/>
  <c r="M46" i="6"/>
  <c r="E46" i="6"/>
  <c r="L45" i="6"/>
  <c r="D45" i="6"/>
  <c r="K44" i="6"/>
  <c r="C44" i="6"/>
  <c r="J43" i="6"/>
  <c r="B43" i="6"/>
  <c r="I42" i="6"/>
  <c r="P41" i="6"/>
  <c r="H41" i="6"/>
  <c r="O40" i="6"/>
  <c r="G40" i="6"/>
  <c r="F39" i="6"/>
  <c r="M38" i="6"/>
  <c r="E38" i="6"/>
  <c r="E53" i="6"/>
  <c r="D52" i="6"/>
  <c r="C51" i="6"/>
  <c r="D50" i="6"/>
  <c r="D49" i="6"/>
  <c r="C48" i="6"/>
  <c r="E47" i="6"/>
  <c r="D46" i="6"/>
  <c r="E45" i="6"/>
  <c r="D44" i="6"/>
  <c r="C43" i="6"/>
  <c r="D42" i="6"/>
  <c r="D41" i="6"/>
  <c r="C40" i="6"/>
  <c r="H39" i="6"/>
  <c r="I38" i="6"/>
  <c r="M37" i="6"/>
  <c r="C37" i="6"/>
  <c r="F36" i="6"/>
  <c r="K35" i="6"/>
  <c r="P34" i="6"/>
  <c r="E34" i="6"/>
  <c r="K33" i="6"/>
  <c r="P32" i="6"/>
  <c r="F32" i="6"/>
  <c r="I31" i="6"/>
  <c r="D30" i="6"/>
  <c r="G29" i="6"/>
  <c r="L28" i="6"/>
  <c r="B28" i="6"/>
  <c r="F27" i="6"/>
  <c r="M26" i="6"/>
  <c r="E26" i="6"/>
  <c r="L25" i="6"/>
  <c r="D25" i="6"/>
  <c r="K24" i="6"/>
  <c r="C24" i="6"/>
  <c r="B23" i="6"/>
  <c r="F19" i="6"/>
  <c r="U19" i="6" s="1"/>
  <c r="M18" i="6"/>
  <c r="L17" i="6"/>
  <c r="K16" i="6"/>
  <c r="P16" i="6" s="1"/>
  <c r="C16" i="6"/>
  <c r="B15" i="6"/>
  <c r="K13" i="6"/>
  <c r="P13" i="6" s="1"/>
  <c r="C13" i="6"/>
  <c r="K12" i="6"/>
  <c r="P12" i="6" s="1"/>
  <c r="C12" i="6"/>
  <c r="K11" i="6"/>
  <c r="P11" i="6" s="1"/>
  <c r="C11" i="6"/>
  <c r="K10" i="6"/>
  <c r="P10" i="6" s="1"/>
  <c r="C10" i="6"/>
  <c r="K9" i="6"/>
  <c r="P9" i="6" s="1"/>
  <c r="C9" i="6"/>
  <c r="B8" i="6"/>
  <c r="O5" i="6"/>
  <c r="O53" i="6"/>
  <c r="O52" i="6"/>
  <c r="O49" i="6"/>
  <c r="P48" i="6"/>
  <c r="O47" i="6"/>
  <c r="P46" i="6"/>
  <c r="O45" i="6"/>
  <c r="O44" i="6"/>
  <c r="O41" i="6"/>
  <c r="P40" i="6"/>
  <c r="P39" i="6"/>
  <c r="E39" i="6"/>
  <c r="G38" i="6"/>
  <c r="K37" i="6"/>
  <c r="D36" i="6"/>
  <c r="I35" i="6"/>
  <c r="M34" i="6"/>
  <c r="C34" i="6"/>
  <c r="I33" i="6"/>
  <c r="B32" i="6"/>
  <c r="G31" i="6"/>
  <c r="L30" i="6"/>
  <c r="O29" i="6"/>
  <c r="E29" i="6"/>
  <c r="J28" i="6"/>
  <c r="M27" i="6"/>
  <c r="D27" i="6"/>
  <c r="K26" i="6"/>
  <c r="C26" i="6"/>
  <c r="J25" i="6"/>
  <c r="B25" i="6"/>
  <c r="I24" i="6"/>
  <c r="O22" i="6"/>
  <c r="F21" i="6"/>
  <c r="M20" i="6"/>
  <c r="L19" i="6"/>
  <c r="K18" i="6"/>
  <c r="P18" i="6" s="1"/>
  <c r="C18" i="6"/>
  <c r="B17" i="6"/>
  <c r="O14" i="6"/>
  <c r="O7" i="6"/>
  <c r="M5" i="6"/>
  <c r="L4" i="6"/>
  <c r="D4" i="6"/>
  <c r="M51" i="6"/>
  <c r="M50" i="6"/>
  <c r="M43" i="6"/>
  <c r="M42" i="6"/>
  <c r="O39" i="6"/>
  <c r="B39" i="6"/>
  <c r="F38" i="6"/>
  <c r="H37" i="6"/>
  <c r="M36" i="6"/>
  <c r="C36" i="6"/>
  <c r="F35" i="6"/>
  <c r="L34" i="6"/>
  <c r="B34" i="6"/>
  <c r="H33" i="6"/>
  <c r="K32" i="6"/>
  <c r="P31" i="6"/>
  <c r="F31" i="6"/>
  <c r="I30" i="6"/>
  <c r="D29" i="6"/>
  <c r="G28" i="6"/>
  <c r="L27" i="6"/>
  <c r="C27" i="6"/>
  <c r="J26" i="6"/>
  <c r="B26" i="6"/>
  <c r="M53" i="6"/>
  <c r="L52" i="6"/>
  <c r="K51" i="6"/>
  <c r="L50" i="6"/>
  <c r="L49" i="6"/>
  <c r="K48" i="6"/>
  <c r="M47" i="6"/>
  <c r="L46" i="6"/>
  <c r="M45" i="6"/>
  <c r="L44" i="6"/>
  <c r="K43" i="6"/>
  <c r="L42" i="6"/>
  <c r="L41" i="6"/>
  <c r="K40" i="6"/>
  <c r="P38" i="6"/>
  <c r="D38" i="6"/>
  <c r="G37" i="6"/>
  <c r="L36" i="6"/>
  <c r="B36" i="6"/>
  <c r="E35" i="6"/>
  <c r="K34" i="6"/>
  <c r="P33" i="6"/>
  <c r="G33" i="6"/>
  <c r="J32" i="6"/>
  <c r="O31" i="6"/>
  <c r="E31" i="6"/>
  <c r="H30" i="6"/>
  <c r="M29" i="6"/>
  <c r="C29" i="6"/>
  <c r="F28" i="6"/>
  <c r="K27" i="6"/>
  <c r="B27" i="6"/>
  <c r="I26" i="6"/>
  <c r="P25" i="6"/>
  <c r="H25" i="6"/>
  <c r="F23" i="6"/>
  <c r="M22" i="6"/>
  <c r="L21" i="6"/>
  <c r="K20" i="6"/>
  <c r="P20" i="6" s="1"/>
  <c r="C20" i="6"/>
  <c r="B19" i="6"/>
  <c r="O16" i="6"/>
  <c r="K53" i="6"/>
  <c r="J52" i="6"/>
  <c r="I51" i="6"/>
  <c r="J50" i="6"/>
  <c r="K49" i="6"/>
  <c r="J48" i="6"/>
  <c r="J47" i="6"/>
  <c r="I46" i="6"/>
  <c r="K45" i="6"/>
  <c r="J44" i="6"/>
  <c r="I43" i="6"/>
  <c r="J42" i="6"/>
  <c r="K41" i="6"/>
  <c r="J40" i="6"/>
  <c r="M39" i="6"/>
  <c r="O38" i="6"/>
  <c r="P37" i="6"/>
  <c r="F37" i="6"/>
  <c r="K36" i="6"/>
  <c r="D35" i="6"/>
  <c r="J34" i="6"/>
  <c r="O33" i="6"/>
  <c r="D33" i="6"/>
  <c r="I32" i="6"/>
  <c r="B31" i="6"/>
  <c r="G30" i="6"/>
  <c r="L29" i="6"/>
  <c r="O28" i="6"/>
  <c r="E28" i="6"/>
  <c r="J27" i="6"/>
  <c r="P26" i="6"/>
  <c r="H26" i="6"/>
  <c r="O25" i="6"/>
  <c r="G25" i="6"/>
  <c r="F24" i="6"/>
  <c r="M23" i="6"/>
  <c r="L22" i="6"/>
  <c r="K21" i="6"/>
  <c r="P21" i="6" s="1"/>
  <c r="C21" i="6"/>
  <c r="B20" i="6"/>
  <c r="O17" i="6"/>
  <c r="M15" i="6"/>
  <c r="L14" i="6"/>
  <c r="M8" i="6"/>
  <c r="L7" i="6"/>
  <c r="K6" i="6"/>
  <c r="P6" i="6" s="1"/>
  <c r="C6" i="6"/>
  <c r="B5" i="6"/>
  <c r="H53" i="6"/>
  <c r="G52" i="6"/>
  <c r="F51" i="6"/>
  <c r="H50" i="6"/>
  <c r="I49" i="6"/>
  <c r="H48" i="6"/>
  <c r="I47" i="6"/>
  <c r="H46" i="6"/>
  <c r="H45" i="6"/>
  <c r="G44" i="6"/>
  <c r="F43" i="6"/>
  <c r="H42" i="6"/>
  <c r="I41" i="6"/>
  <c r="H40" i="6"/>
  <c r="J39" i="6"/>
  <c r="O37" i="6"/>
  <c r="E37" i="6"/>
  <c r="J36" i="6"/>
  <c r="M35" i="6"/>
  <c r="C35" i="6"/>
  <c r="I34" i="6"/>
  <c r="C33" i="6"/>
  <c r="H32" i="6"/>
  <c r="M31" i="6"/>
  <c r="P30" i="6"/>
  <c r="F30" i="6"/>
  <c r="K29" i="6"/>
  <c r="D28" i="6"/>
  <c r="I27" i="6"/>
  <c r="O26" i="6"/>
  <c r="G26" i="6"/>
  <c r="F25" i="6"/>
  <c r="M24" i="6"/>
  <c r="L23" i="6"/>
  <c r="K22" i="6"/>
  <c r="P22" i="6" s="1"/>
  <c r="C22" i="6"/>
  <c r="B21" i="6"/>
  <c r="O18" i="6"/>
  <c r="G53" i="6"/>
  <c r="F52" i="6"/>
  <c r="E51" i="6"/>
  <c r="E50" i="6"/>
  <c r="G49" i="6"/>
  <c r="F48" i="6"/>
  <c r="G47" i="6"/>
  <c r="F46" i="6"/>
  <c r="G45" i="6"/>
  <c r="F44" i="6"/>
  <c r="E43" i="6"/>
  <c r="E42" i="6"/>
  <c r="G41" i="6"/>
  <c r="F40" i="6"/>
  <c r="I39" i="6"/>
  <c r="L38" i="6"/>
  <c r="D37" i="6"/>
  <c r="G36" i="6"/>
  <c r="L35" i="6"/>
  <c r="B35" i="6"/>
  <c r="H34" i="6"/>
  <c r="L33" i="6"/>
  <c r="B33" i="6"/>
  <c r="G32" i="6"/>
  <c r="J31" i="6"/>
  <c r="O30" i="6"/>
  <c r="E30" i="6"/>
  <c r="H29" i="6"/>
  <c r="M28" i="6"/>
  <c r="C28" i="6"/>
  <c r="G27" i="6"/>
  <c r="F26" i="6"/>
  <c r="M25" i="6"/>
  <c r="E25" i="6"/>
  <c r="K23" i="6"/>
  <c r="P23" i="6" s="1"/>
  <c r="C23" i="6"/>
  <c r="B22" i="6"/>
  <c r="O19" i="6"/>
  <c r="F18" i="6"/>
  <c r="U18" i="6" s="1"/>
  <c r="M17" i="6"/>
  <c r="L16" i="6"/>
  <c r="K15" i="6"/>
  <c r="P15" i="6" s="1"/>
  <c r="C15" i="6"/>
  <c r="B14" i="6"/>
  <c r="L13" i="6"/>
  <c r="L12" i="6"/>
  <c r="L11" i="6"/>
  <c r="L10" i="6"/>
  <c r="L9" i="6"/>
  <c r="K8" i="6"/>
  <c r="P8" i="6" s="1"/>
  <c r="C8" i="6"/>
  <c r="B7" i="6"/>
  <c r="O4" i="6"/>
  <c r="P50" i="6"/>
  <c r="B47" i="6"/>
  <c r="P42" i="6"/>
  <c r="G39" i="6"/>
  <c r="C32" i="6"/>
  <c r="K25" i="6"/>
  <c r="O23" i="6"/>
  <c r="O21" i="6"/>
  <c r="O15" i="6"/>
  <c r="B13" i="6"/>
  <c r="AA4" i="6"/>
  <c r="J35" i="6"/>
  <c r="K28" i="6"/>
  <c r="I25" i="6"/>
  <c r="M14" i="6"/>
  <c r="O13" i="6"/>
  <c r="B12" i="6"/>
  <c r="AA3" i="6"/>
  <c r="P53" i="6"/>
  <c r="B50" i="6"/>
  <c r="P45" i="6"/>
  <c r="B42" i="6"/>
  <c r="H38" i="6"/>
  <c r="H31" i="6"/>
  <c r="C25" i="6"/>
  <c r="M21" i="6"/>
  <c r="M19" i="6"/>
  <c r="B18" i="6"/>
  <c r="M16" i="6"/>
  <c r="L15" i="6"/>
  <c r="K14" i="6"/>
  <c r="O12" i="6"/>
  <c r="B11" i="6"/>
  <c r="E4" i="6"/>
  <c r="D34" i="6"/>
  <c r="E27" i="6"/>
  <c r="P24" i="6"/>
  <c r="K19" i="6"/>
  <c r="P19" i="6" s="1"/>
  <c r="M13" i="6"/>
  <c r="O11" i="6"/>
  <c r="B10" i="6"/>
  <c r="C7" i="6"/>
  <c r="C5" i="6"/>
  <c r="C4" i="6"/>
  <c r="C53" i="6"/>
  <c r="C49" i="6"/>
  <c r="C45" i="6"/>
  <c r="C41" i="6"/>
  <c r="L37" i="6"/>
  <c r="M30" i="6"/>
  <c r="K17" i="6"/>
  <c r="P17" i="6" s="1"/>
  <c r="M12" i="6"/>
  <c r="O10" i="6"/>
  <c r="B9" i="6"/>
  <c r="O6" i="6"/>
  <c r="B6" i="6"/>
  <c r="B4" i="6"/>
  <c r="O36" i="6"/>
  <c r="J33" i="6"/>
  <c r="P29" i="6"/>
  <c r="L26" i="6"/>
  <c r="J24" i="6"/>
  <c r="C19" i="6"/>
  <c r="M11" i="6"/>
  <c r="O9" i="6"/>
  <c r="O8" i="6"/>
  <c r="B52" i="6"/>
  <c r="B48" i="6"/>
  <c r="B44" i="6"/>
  <c r="B40" i="6"/>
  <c r="O32" i="6"/>
  <c r="D26" i="6"/>
  <c r="F17" i="6"/>
  <c r="U17" i="6" s="1"/>
  <c r="C14" i="6"/>
  <c r="M10" i="6"/>
  <c r="M7" i="6"/>
  <c r="M6" i="6"/>
  <c r="L5" i="6"/>
  <c r="M4" i="6"/>
  <c r="E36" i="6"/>
  <c r="F29" i="6"/>
  <c r="B24" i="6"/>
  <c r="F22" i="6"/>
  <c r="F20" i="6"/>
  <c r="U20" i="6" s="1"/>
  <c r="L18" i="6"/>
  <c r="C17" i="6"/>
  <c r="B16" i="6"/>
  <c r="P14" i="6"/>
  <c r="M9" i="6"/>
  <c r="L8" i="6"/>
  <c r="K7" i="6"/>
  <c r="P7" i="6" s="1"/>
  <c r="L6" i="6"/>
  <c r="K5" i="6"/>
  <c r="P5" i="6" s="1"/>
  <c r="K4" i="6"/>
  <c r="P4" i="6" s="1"/>
  <c r="AA6" i="6"/>
  <c r="H25" i="12"/>
  <c r="H24" i="12"/>
  <c r="C86" i="9"/>
  <c r="C82" i="9"/>
  <c r="C78" i="9"/>
  <c r="C74" i="9"/>
  <c r="C70" i="9"/>
  <c r="C66" i="9"/>
  <c r="C88" i="9"/>
  <c r="H82" i="9"/>
  <c r="C77" i="9"/>
  <c r="H72" i="9"/>
  <c r="H71" i="9"/>
  <c r="C67" i="9"/>
  <c r="C60" i="9"/>
  <c r="C56" i="9"/>
  <c r="C52" i="9"/>
  <c r="C48" i="9"/>
  <c r="C44" i="9"/>
  <c r="C40" i="9"/>
  <c r="C36" i="9"/>
  <c r="C32" i="9"/>
  <c r="C28" i="9"/>
  <c r="C24" i="9"/>
  <c r="C20" i="9"/>
  <c r="C16" i="9"/>
  <c r="C12" i="9"/>
  <c r="H11" i="9"/>
  <c r="C10" i="9"/>
  <c r="H8" i="9"/>
  <c r="V2" i="9"/>
  <c r="C87" i="9"/>
  <c r="H81" i="9"/>
  <c r="C76" i="9"/>
  <c r="H70" i="9"/>
  <c r="C65" i="9"/>
  <c r="H61" i="9"/>
  <c r="H57" i="9"/>
  <c r="H53" i="9"/>
  <c r="H49" i="9"/>
  <c r="H45" i="9"/>
  <c r="H41" i="9"/>
  <c r="H37" i="9"/>
  <c r="H33" i="9"/>
  <c r="H29" i="9"/>
  <c r="H25" i="9"/>
  <c r="H21" i="9"/>
  <c r="H17" i="9"/>
  <c r="H13" i="9"/>
  <c r="C6" i="9"/>
  <c r="H4" i="9"/>
  <c r="C85" i="9"/>
  <c r="H80" i="9"/>
  <c r="H79" i="9"/>
  <c r="C75" i="9"/>
  <c r="H69" i="9"/>
  <c r="C64" i="9"/>
  <c r="C59" i="9"/>
  <c r="C55" i="9"/>
  <c r="C51" i="9"/>
  <c r="C47" i="9"/>
  <c r="C43" i="9"/>
  <c r="C39" i="9"/>
  <c r="C35" i="9"/>
  <c r="C31" i="9"/>
  <c r="C27" i="9"/>
  <c r="C23" i="9"/>
  <c r="C19" i="9"/>
  <c r="C15" i="9"/>
  <c r="H7" i="9"/>
  <c r="H89" i="9"/>
  <c r="C84" i="9"/>
  <c r="H78" i="9"/>
  <c r="C73" i="9"/>
  <c r="H68" i="9"/>
  <c r="H67" i="9"/>
  <c r="H88" i="9"/>
  <c r="H87" i="9"/>
  <c r="C83" i="9"/>
  <c r="H77" i="9"/>
  <c r="C72" i="9"/>
  <c r="H66" i="9"/>
  <c r="C62" i="9"/>
  <c r="C58" i="9"/>
  <c r="C54" i="9"/>
  <c r="C50" i="9"/>
  <c r="C46" i="9"/>
  <c r="H86" i="9"/>
  <c r="C81" i="9"/>
  <c r="H76" i="9"/>
  <c r="H75" i="9"/>
  <c r="C71" i="9"/>
  <c r="H65" i="9"/>
  <c r="H59" i="9"/>
  <c r="H55" i="9"/>
  <c r="H51" i="9"/>
  <c r="H47" i="9"/>
  <c r="H85" i="9"/>
  <c r="C80" i="9"/>
  <c r="H74" i="9"/>
  <c r="C69" i="9"/>
  <c r="H64" i="9"/>
  <c r="H63" i="9"/>
  <c r="C61" i="9"/>
  <c r="C57" i="9"/>
  <c r="C53" i="9"/>
  <c r="C49" i="9"/>
  <c r="C45" i="9"/>
  <c r="C41" i="9"/>
  <c r="C37" i="9"/>
  <c r="C33" i="9"/>
  <c r="C29" i="9"/>
  <c r="C25" i="9"/>
  <c r="C21" i="9"/>
  <c r="C17" i="9"/>
  <c r="C13" i="9"/>
  <c r="C89" i="9"/>
  <c r="H84" i="9"/>
  <c r="H83" i="9"/>
  <c r="C79" i="9"/>
  <c r="H73" i="9"/>
  <c r="C68" i="9"/>
  <c r="H62" i="9"/>
  <c r="H58" i="9"/>
  <c r="H54" i="9"/>
  <c r="H50" i="9"/>
  <c r="H48" i="9"/>
  <c r="H42" i="9"/>
  <c r="H34" i="9"/>
  <c r="H26" i="9"/>
  <c r="H18" i="9"/>
  <c r="H60" i="9"/>
  <c r="H40" i="9"/>
  <c r="H32" i="9"/>
  <c r="H24" i="9"/>
  <c r="H16" i="9"/>
  <c r="H10" i="9"/>
  <c r="C42" i="9"/>
  <c r="C34" i="9"/>
  <c r="C26" i="9"/>
  <c r="C18" i="9"/>
  <c r="H9" i="9"/>
  <c r="C7" i="9"/>
  <c r="H52" i="9"/>
  <c r="H43" i="9"/>
  <c r="H35" i="9"/>
  <c r="H27" i="9"/>
  <c r="H19" i="9"/>
  <c r="C8" i="9"/>
  <c r="H5" i="9"/>
  <c r="H38" i="9"/>
  <c r="H30" i="9"/>
  <c r="H22" i="9"/>
  <c r="H14" i="9"/>
  <c r="C9" i="9"/>
  <c r="H6" i="9"/>
  <c r="H36" i="9"/>
  <c r="H28" i="9"/>
  <c r="H20" i="9"/>
  <c r="H12" i="9"/>
  <c r="C5" i="9"/>
  <c r="C4" i="9"/>
  <c r="C63" i="9"/>
  <c r="H56" i="9"/>
  <c r="C38" i="9"/>
  <c r="C30" i="9"/>
  <c r="C22" i="9"/>
  <c r="C14" i="9"/>
  <c r="H44" i="9"/>
  <c r="H39" i="9"/>
  <c r="H31" i="9"/>
  <c r="H23" i="9"/>
  <c r="H15" i="9"/>
  <c r="C11" i="9"/>
  <c r="H8" i="12"/>
  <c r="H9" i="12"/>
  <c r="H10" i="12"/>
  <c r="E86" i="4"/>
  <c r="C84" i="4"/>
  <c r="E78" i="4"/>
  <c r="C76" i="4"/>
  <c r="E70" i="4"/>
  <c r="C68" i="4"/>
  <c r="E62" i="4"/>
  <c r="C60" i="4"/>
  <c r="E54" i="4"/>
  <c r="C52" i="4"/>
  <c r="E46" i="4"/>
  <c r="C44" i="4"/>
  <c r="E38" i="4"/>
  <c r="C36" i="4"/>
  <c r="E30" i="4"/>
  <c r="C28" i="4"/>
  <c r="E22" i="4"/>
  <c r="C20" i="4"/>
  <c r="E14" i="4"/>
  <c r="C12" i="4"/>
  <c r="E7" i="4"/>
  <c r="C5" i="4"/>
  <c r="C89" i="4"/>
  <c r="E83" i="4"/>
  <c r="C81" i="4"/>
  <c r="E75" i="4"/>
  <c r="C73" i="4"/>
  <c r="E67" i="4"/>
  <c r="C65" i="4"/>
  <c r="E59" i="4"/>
  <c r="C57" i="4"/>
  <c r="E51" i="4"/>
  <c r="C49" i="4"/>
  <c r="E43" i="4"/>
  <c r="C41" i="4"/>
  <c r="E35" i="4"/>
  <c r="C33" i="4"/>
  <c r="E27" i="4"/>
  <c r="C25" i="4"/>
  <c r="E19" i="4"/>
  <c r="C17" i="4"/>
  <c r="E11" i="4"/>
  <c r="E85" i="4"/>
  <c r="C83" i="4"/>
  <c r="E77" i="4"/>
  <c r="C75" i="4"/>
  <c r="E69" i="4"/>
  <c r="C67" i="4"/>
  <c r="E61" i="4"/>
  <c r="C59" i="4"/>
  <c r="E53" i="4"/>
  <c r="C51" i="4"/>
  <c r="E45" i="4"/>
  <c r="C43" i="4"/>
  <c r="E37" i="4"/>
  <c r="C35" i="4"/>
  <c r="E29" i="4"/>
  <c r="C27" i="4"/>
  <c r="E21" i="4"/>
  <c r="C19" i="4"/>
  <c r="E13" i="4"/>
  <c r="C11" i="4"/>
  <c r="E6" i="4"/>
  <c r="C88" i="4"/>
  <c r="E82" i="4"/>
  <c r="C80" i="4"/>
  <c r="E74" i="4"/>
  <c r="C72" i="4"/>
  <c r="E66" i="4"/>
  <c r="C64" i="4"/>
  <c r="E87" i="4"/>
  <c r="C85" i="4"/>
  <c r="E79" i="4"/>
  <c r="C77" i="4"/>
  <c r="E84" i="4"/>
  <c r="C82" i="4"/>
  <c r="E76" i="4"/>
  <c r="C74" i="4"/>
  <c r="E68" i="4"/>
  <c r="C66" i="4"/>
  <c r="E89" i="4"/>
  <c r="C87" i="4"/>
  <c r="E81" i="4"/>
  <c r="C79" i="4"/>
  <c r="E73" i="4"/>
  <c r="C71" i="4"/>
  <c r="E65" i="4"/>
  <c r="C63" i="4"/>
  <c r="E57" i="4"/>
  <c r="C55" i="4"/>
  <c r="E49" i="4"/>
  <c r="C47" i="4"/>
  <c r="E41" i="4"/>
  <c r="C39" i="4"/>
  <c r="E33" i="4"/>
  <c r="C31" i="4"/>
  <c r="E25" i="4"/>
  <c r="C23" i="4"/>
  <c r="E17" i="4"/>
  <c r="C15" i="4"/>
  <c r="C8" i="4"/>
  <c r="C78" i="4"/>
  <c r="E72" i="4"/>
  <c r="C69" i="4"/>
  <c r="C62" i="4"/>
  <c r="E56" i="4"/>
  <c r="C46" i="4"/>
  <c r="E40" i="4"/>
  <c r="C30" i="4"/>
  <c r="E24" i="4"/>
  <c r="C14" i="4"/>
  <c r="C56" i="4"/>
  <c r="E50" i="4"/>
  <c r="C40" i="4"/>
  <c r="E34" i="4"/>
  <c r="C24" i="4"/>
  <c r="E18" i="4"/>
  <c r="C7" i="4"/>
  <c r="E4" i="4"/>
  <c r="F4" i="4" s="1"/>
  <c r="E88" i="4"/>
  <c r="E71" i="4"/>
  <c r="E63" i="4"/>
  <c r="C53" i="4"/>
  <c r="E47" i="4"/>
  <c r="C37" i="4"/>
  <c r="E31" i="4"/>
  <c r="C21" i="4"/>
  <c r="E15" i="4"/>
  <c r="E60" i="4"/>
  <c r="C50" i="4"/>
  <c r="E44" i="4"/>
  <c r="C34" i="4"/>
  <c r="E28" i="4"/>
  <c r="C18" i="4"/>
  <c r="E12" i="4"/>
  <c r="E8" i="4"/>
  <c r="C4" i="4"/>
  <c r="C54" i="4"/>
  <c r="E48" i="4"/>
  <c r="C38" i="4"/>
  <c r="E32" i="4"/>
  <c r="C22" i="4"/>
  <c r="E16" i="4"/>
  <c r="E5" i="4"/>
  <c r="C86" i="4"/>
  <c r="E80" i="4"/>
  <c r="C70" i="4"/>
  <c r="E64" i="4"/>
  <c r="E58" i="4"/>
  <c r="C48" i="4"/>
  <c r="E42" i="4"/>
  <c r="C32" i="4"/>
  <c r="E26" i="4"/>
  <c r="C16" i="4"/>
  <c r="E10" i="4"/>
  <c r="E9" i="4"/>
  <c r="C61" i="4"/>
  <c r="E55" i="4"/>
  <c r="C45" i="4"/>
  <c r="E39" i="4"/>
  <c r="C29" i="4"/>
  <c r="E23" i="4"/>
  <c r="C13" i="4"/>
  <c r="C9" i="4"/>
  <c r="C58" i="4"/>
  <c r="E52" i="4"/>
  <c r="C42" i="4"/>
  <c r="E36" i="4"/>
  <c r="C26" i="4"/>
  <c r="E20" i="4"/>
  <c r="C10" i="4"/>
  <c r="C6" i="4"/>
  <c r="I6" i="12"/>
  <c r="I11" i="12"/>
  <c r="H6" i="12"/>
  <c r="H11" i="12"/>
  <c r="H26" i="12"/>
  <c r="C87" i="3"/>
  <c r="O83" i="3"/>
  <c r="P82" i="3"/>
  <c r="C79" i="3"/>
  <c r="O75" i="3"/>
  <c r="P74" i="3"/>
  <c r="Q73" i="3"/>
  <c r="C71" i="3"/>
  <c r="O67" i="3"/>
  <c r="P66" i="3"/>
  <c r="Q65" i="3"/>
  <c r="C63" i="3"/>
  <c r="P58" i="3"/>
  <c r="Q57" i="3"/>
  <c r="C55" i="3"/>
  <c r="O51" i="3"/>
  <c r="Q49" i="3"/>
  <c r="C47" i="3"/>
  <c r="O43" i="3"/>
  <c r="Q41" i="3"/>
  <c r="C39" i="3"/>
  <c r="O35" i="3"/>
  <c r="P34" i="3"/>
  <c r="C31" i="3"/>
  <c r="Q88" i="3"/>
  <c r="C86" i="3"/>
  <c r="O82" i="3"/>
  <c r="Q80" i="3"/>
  <c r="C78" i="3"/>
  <c r="O74" i="3"/>
  <c r="P73" i="3"/>
  <c r="C70" i="3"/>
  <c r="O88" i="3"/>
  <c r="P87" i="3"/>
  <c r="Q86" i="3"/>
  <c r="C84" i="3"/>
  <c r="O80" i="3"/>
  <c r="P79" i="3"/>
  <c r="Q78" i="3"/>
  <c r="C76" i="3"/>
  <c r="P71" i="3"/>
  <c r="Q70" i="3"/>
  <c r="C68" i="3"/>
  <c r="O64" i="3"/>
  <c r="Q62" i="3"/>
  <c r="C60" i="3"/>
  <c r="C88" i="3"/>
  <c r="O84" i="3"/>
  <c r="P83" i="3"/>
  <c r="Q82" i="3"/>
  <c r="P78" i="3"/>
  <c r="Q75" i="3"/>
  <c r="C75" i="3"/>
  <c r="P69" i="3"/>
  <c r="C69" i="3"/>
  <c r="O65" i="3"/>
  <c r="O60" i="3"/>
  <c r="Q58" i="3"/>
  <c r="C56" i="3"/>
  <c r="Q53" i="3"/>
  <c r="P52" i="3"/>
  <c r="C49" i="3"/>
  <c r="P45" i="3"/>
  <c r="O44" i="3"/>
  <c r="C42" i="3"/>
  <c r="Q39" i="3"/>
  <c r="P38" i="3"/>
  <c r="C35" i="3"/>
  <c r="Q32" i="3"/>
  <c r="P31" i="3"/>
  <c r="O30" i="3"/>
  <c r="Q28" i="3"/>
  <c r="C26" i="3"/>
  <c r="O22" i="3"/>
  <c r="P21" i="3"/>
  <c r="C18" i="3"/>
  <c r="O14" i="3"/>
  <c r="P13" i="3"/>
  <c r="P10" i="3"/>
  <c r="O5" i="3"/>
  <c r="Q4" i="3"/>
  <c r="W2" i="3"/>
  <c r="C52" i="3"/>
  <c r="P48" i="3"/>
  <c r="O47" i="3"/>
  <c r="C45" i="3"/>
  <c r="O40" i="3"/>
  <c r="Q34" i="3"/>
  <c r="Q25" i="3"/>
  <c r="O19" i="3"/>
  <c r="C15" i="3"/>
  <c r="C11" i="3"/>
  <c r="Q8" i="3"/>
  <c r="C81" i="3"/>
  <c r="O78" i="3"/>
  <c r="P75" i="3"/>
  <c r="C72" i="3"/>
  <c r="O69" i="3"/>
  <c r="C65" i="3"/>
  <c r="Q61" i="3"/>
  <c r="O58" i="3"/>
  <c r="C57" i="3"/>
  <c r="Q54" i="3"/>
  <c r="P53" i="3"/>
  <c r="O52" i="3"/>
  <c r="C50" i="3"/>
  <c r="Q47" i="3"/>
  <c r="O45" i="3"/>
  <c r="C43" i="3"/>
  <c r="Q40" i="3"/>
  <c r="P39" i="3"/>
  <c r="O38" i="3"/>
  <c r="C36" i="3"/>
  <c r="P32" i="3"/>
  <c r="O31" i="3"/>
  <c r="P28" i="3"/>
  <c r="Q27" i="3"/>
  <c r="C25" i="3"/>
  <c r="O21" i="3"/>
  <c r="Q19" i="3"/>
  <c r="C17" i="3"/>
  <c r="O13" i="3"/>
  <c r="C12" i="3"/>
  <c r="O10" i="3"/>
  <c r="Q9" i="3"/>
  <c r="C8" i="3"/>
  <c r="P4" i="3"/>
  <c r="P41" i="3"/>
  <c r="C38" i="3"/>
  <c r="O27" i="3"/>
  <c r="P26" i="3"/>
  <c r="C23" i="3"/>
  <c r="P18" i="3"/>
  <c r="Q17" i="3"/>
  <c r="Q12" i="3"/>
  <c r="O9" i="3"/>
  <c r="C6" i="3"/>
  <c r="C22" i="3"/>
  <c r="O18" i="3"/>
  <c r="C14" i="3"/>
  <c r="P12" i="3"/>
  <c r="P8" i="3"/>
  <c r="Q77" i="3"/>
  <c r="Q71" i="3"/>
  <c r="Q66" i="3"/>
  <c r="P61" i="3"/>
  <c r="C58" i="3"/>
  <c r="P54" i="3"/>
  <c r="O53" i="3"/>
  <c r="C51" i="3"/>
  <c r="Q48" i="3"/>
  <c r="P47" i="3"/>
  <c r="C44" i="3"/>
  <c r="P40" i="3"/>
  <c r="O39" i="3"/>
  <c r="C37" i="3"/>
  <c r="O32" i="3"/>
  <c r="O28" i="3"/>
  <c r="P27" i="3"/>
  <c r="Q26" i="3"/>
  <c r="C24" i="3"/>
  <c r="P19" i="3"/>
  <c r="Q18" i="3"/>
  <c r="C16" i="3"/>
  <c r="P9" i="3"/>
  <c r="C7" i="3"/>
  <c r="O4" i="3"/>
  <c r="C89" i="3"/>
  <c r="P80" i="3"/>
  <c r="P77" i="3"/>
  <c r="C77" i="3"/>
  <c r="Q74" i="3"/>
  <c r="C74" i="3"/>
  <c r="O71" i="3"/>
  <c r="O66" i="3"/>
  <c r="Q64" i="3"/>
  <c r="O61" i="3"/>
  <c r="Q56" i="3"/>
  <c r="O54" i="3"/>
  <c r="C21" i="3"/>
  <c r="P88" i="3"/>
  <c r="Q87" i="3"/>
  <c r="C85" i="3"/>
  <c r="C80" i="3"/>
  <c r="O77" i="3"/>
  <c r="C66" i="3"/>
  <c r="P64" i="3"/>
  <c r="C61" i="3"/>
  <c r="P56" i="3"/>
  <c r="C53" i="3"/>
  <c r="P49" i="3"/>
  <c r="O48" i="3"/>
  <c r="C46" i="3"/>
  <c r="O41" i="3"/>
  <c r="Q35" i="3"/>
  <c r="O34" i="3"/>
  <c r="C30" i="3"/>
  <c r="O26" i="3"/>
  <c r="P25" i="3"/>
  <c r="P17" i="3"/>
  <c r="C5" i="3"/>
  <c r="O87" i="3"/>
  <c r="P86" i="3"/>
  <c r="C83" i="3"/>
  <c r="Q79" i="3"/>
  <c r="P70" i="3"/>
  <c r="Q67" i="3"/>
  <c r="P62" i="3"/>
  <c r="C59" i="3"/>
  <c r="P57" i="3"/>
  <c r="O56" i="3"/>
  <c r="C54" i="3"/>
  <c r="O49" i="3"/>
  <c r="Q43" i="3"/>
  <c r="Q36" i="3"/>
  <c r="P35" i="3"/>
  <c r="C32" i="3"/>
  <c r="C29" i="3"/>
  <c r="O25" i="3"/>
  <c r="Q23" i="3"/>
  <c r="O17" i="3"/>
  <c r="O86" i="3"/>
  <c r="Q84" i="3"/>
  <c r="C82" i="3"/>
  <c r="O79" i="3"/>
  <c r="O73" i="3"/>
  <c r="C73" i="3"/>
  <c r="O70" i="3"/>
  <c r="P67" i="3"/>
  <c r="C64" i="3"/>
  <c r="O62" i="3"/>
  <c r="Q60" i="3"/>
  <c r="O57" i="3"/>
  <c r="Q51" i="3"/>
  <c r="Q44" i="3"/>
  <c r="P43" i="3"/>
  <c r="C40" i="3"/>
  <c r="P36" i="3"/>
  <c r="C33" i="3"/>
  <c r="Q30" i="3"/>
  <c r="C28" i="3"/>
  <c r="P23" i="3"/>
  <c r="Q22" i="3"/>
  <c r="C20" i="3"/>
  <c r="P15" i="3"/>
  <c r="Q14" i="3"/>
  <c r="P84" i="3"/>
  <c r="Q83" i="3"/>
  <c r="Q69" i="3"/>
  <c r="C67" i="3"/>
  <c r="P65" i="3"/>
  <c r="C62" i="3"/>
  <c r="P60" i="3"/>
  <c r="Q52" i="3"/>
  <c r="P51" i="3"/>
  <c r="C48" i="3"/>
  <c r="Q45" i="3"/>
  <c r="Q38" i="3"/>
  <c r="P22" i="3"/>
  <c r="C19" i="3"/>
  <c r="O15" i="3"/>
  <c r="Q13" i="3"/>
  <c r="O8" i="3"/>
  <c r="C10" i="3"/>
  <c r="Q5" i="3"/>
  <c r="O36" i="3"/>
  <c r="Q6" i="3"/>
  <c r="O12" i="3"/>
  <c r="P6" i="3"/>
  <c r="O23" i="3"/>
  <c r="C27" i="3"/>
  <c r="Q15" i="3"/>
  <c r="C34" i="3"/>
  <c r="Q21" i="3"/>
  <c r="C13" i="3"/>
  <c r="C41" i="3"/>
  <c r="P14" i="3"/>
  <c r="P5" i="3"/>
  <c r="Q10" i="3"/>
  <c r="O6" i="3"/>
  <c r="P44" i="3"/>
  <c r="Q31" i="3"/>
  <c r="P30" i="3"/>
  <c r="C9" i="3"/>
  <c r="C4" i="3"/>
  <c r="J88" i="3"/>
  <c r="J80" i="3"/>
  <c r="J72" i="3"/>
  <c r="J64" i="3"/>
  <c r="J56" i="3"/>
  <c r="J48" i="3"/>
  <c r="J40" i="3"/>
  <c r="J32" i="3"/>
  <c r="J87" i="3"/>
  <c r="J79" i="3"/>
  <c r="J71" i="3"/>
  <c r="J85" i="3"/>
  <c r="J77" i="3"/>
  <c r="J69" i="3"/>
  <c r="J61" i="3"/>
  <c r="J89" i="3"/>
  <c r="J86" i="3"/>
  <c r="J59" i="3"/>
  <c r="J55" i="3"/>
  <c r="J33" i="3"/>
  <c r="J27" i="3"/>
  <c r="J19" i="3"/>
  <c r="J9" i="3"/>
  <c r="J43" i="3"/>
  <c r="J7" i="3"/>
  <c r="J84" i="3"/>
  <c r="J76" i="3"/>
  <c r="J70" i="3"/>
  <c r="J41" i="3"/>
  <c r="J34" i="3"/>
  <c r="J26" i="3"/>
  <c r="J18" i="3"/>
  <c r="J36" i="3"/>
  <c r="J24" i="3"/>
  <c r="J16" i="3"/>
  <c r="J23" i="3"/>
  <c r="J15" i="3"/>
  <c r="J11" i="3"/>
  <c r="J83" i="3"/>
  <c r="J73" i="3"/>
  <c r="J67" i="3"/>
  <c r="J62" i="3"/>
  <c r="J49" i="3"/>
  <c r="J42" i="3"/>
  <c r="J35" i="3"/>
  <c r="J25" i="3"/>
  <c r="J17" i="3"/>
  <c r="J12" i="3"/>
  <c r="J8" i="3"/>
  <c r="J82" i="3"/>
  <c r="J60" i="3"/>
  <c r="J57" i="3"/>
  <c r="J50" i="3"/>
  <c r="J78" i="3"/>
  <c r="J75" i="3"/>
  <c r="J65" i="3"/>
  <c r="J51" i="3"/>
  <c r="J44" i="3"/>
  <c r="J37" i="3"/>
  <c r="J6" i="3"/>
  <c r="J81" i="3"/>
  <c r="J63" i="3"/>
  <c r="J58" i="3"/>
  <c r="J52" i="3"/>
  <c r="J45" i="3"/>
  <c r="J38" i="3"/>
  <c r="J31" i="3"/>
  <c r="J30" i="3"/>
  <c r="J22" i="3"/>
  <c r="J68" i="3"/>
  <c r="J53" i="3"/>
  <c r="J46" i="3"/>
  <c r="J39" i="3"/>
  <c r="J29" i="3"/>
  <c r="J21" i="3"/>
  <c r="J13" i="3"/>
  <c r="J10" i="3"/>
  <c r="J74" i="3"/>
  <c r="J66" i="3"/>
  <c r="J54" i="3"/>
  <c r="J47" i="3"/>
  <c r="J28" i="3"/>
  <c r="J20" i="3"/>
  <c r="J14" i="3"/>
  <c r="J5" i="3"/>
  <c r="J4" i="3"/>
  <c r="I89" i="3"/>
  <c r="I81" i="3"/>
  <c r="I73" i="3"/>
  <c r="I65" i="3"/>
  <c r="I57" i="3"/>
  <c r="I49" i="3"/>
  <c r="I41" i="3"/>
  <c r="I33" i="3"/>
  <c r="I88" i="3"/>
  <c r="I80" i="3"/>
  <c r="I72" i="3"/>
  <c r="I86" i="3"/>
  <c r="I78" i="3"/>
  <c r="I70" i="3"/>
  <c r="I62" i="3"/>
  <c r="I82" i="3"/>
  <c r="I87" i="3"/>
  <c r="I74" i="3"/>
  <c r="I66" i="3"/>
  <c r="I54" i="3"/>
  <c r="I47" i="3"/>
  <c r="I40" i="3"/>
  <c r="I28" i="3"/>
  <c r="I20" i="3"/>
  <c r="I4" i="3"/>
  <c r="I17" i="3"/>
  <c r="I12" i="3"/>
  <c r="I85" i="3"/>
  <c r="I64" i="3"/>
  <c r="I59" i="3"/>
  <c r="I55" i="3"/>
  <c r="I48" i="3"/>
  <c r="I27" i="3"/>
  <c r="I19" i="3"/>
  <c r="I9" i="3"/>
  <c r="I35" i="3"/>
  <c r="I25" i="3"/>
  <c r="I8" i="3"/>
  <c r="I7" i="3"/>
  <c r="I84" i="3"/>
  <c r="I79" i="3"/>
  <c r="I76" i="3"/>
  <c r="I56" i="3"/>
  <c r="I34" i="3"/>
  <c r="I26" i="3"/>
  <c r="I18" i="3"/>
  <c r="I42" i="3"/>
  <c r="I83" i="3"/>
  <c r="I67" i="3"/>
  <c r="I69" i="3"/>
  <c r="I60" i="3"/>
  <c r="I50" i="3"/>
  <c r="I43" i="3"/>
  <c r="I36" i="3"/>
  <c r="I24" i="3"/>
  <c r="I16" i="3"/>
  <c r="I75" i="3"/>
  <c r="I51" i="3"/>
  <c r="I44" i="3"/>
  <c r="I37" i="3"/>
  <c r="I23" i="3"/>
  <c r="I63" i="3"/>
  <c r="I58" i="3"/>
  <c r="I52" i="3"/>
  <c r="I45" i="3"/>
  <c r="I38" i="3"/>
  <c r="I31" i="3"/>
  <c r="I30" i="3"/>
  <c r="I22" i="3"/>
  <c r="I14" i="3"/>
  <c r="I77" i="3"/>
  <c r="I71" i="3"/>
  <c r="I68" i="3"/>
  <c r="I61" i="3"/>
  <c r="I53" i="3"/>
  <c r="I46" i="3"/>
  <c r="I10" i="3"/>
  <c r="I15" i="3"/>
  <c r="I39" i="3"/>
  <c r="I29" i="3"/>
  <c r="I13" i="3"/>
  <c r="I21" i="3"/>
  <c r="I5" i="3"/>
  <c r="I11" i="3"/>
  <c r="B31" i="2"/>
  <c r="I32" i="3"/>
  <c r="I6" i="3"/>
  <c r="Q16" i="3" l="1"/>
  <c r="Q11" i="3"/>
  <c r="Q42" i="3"/>
  <c r="Q55" i="3"/>
  <c r="Q68" i="3"/>
  <c r="H4" i="10"/>
  <c r="Q85" i="3"/>
  <c r="Q24" i="3"/>
  <c r="G20" i="2"/>
  <c r="G40" i="4"/>
  <c r="M40" i="4" s="1"/>
  <c r="G32" i="4"/>
  <c r="M32" i="4" s="1"/>
  <c r="G24" i="4"/>
  <c r="M24" i="4" s="1"/>
  <c r="G16" i="4"/>
  <c r="M16" i="4" s="1"/>
  <c r="G9" i="4"/>
  <c r="M9" i="4" s="1"/>
  <c r="G4" i="4"/>
  <c r="M4" i="4" s="1"/>
  <c r="G45" i="4"/>
  <c r="M45" i="4" s="1"/>
  <c r="G37" i="4"/>
  <c r="M37" i="4" s="1"/>
  <c r="G29" i="4"/>
  <c r="M29" i="4" s="1"/>
  <c r="G21" i="4"/>
  <c r="M21" i="4" s="1"/>
  <c r="G13" i="4"/>
  <c r="M13" i="4" s="1"/>
  <c r="G6" i="4"/>
  <c r="M6" i="4" s="1"/>
  <c r="G39" i="4"/>
  <c r="M39" i="4" s="1"/>
  <c r="G31" i="4"/>
  <c r="M31" i="4" s="1"/>
  <c r="G23" i="4"/>
  <c r="M23" i="4" s="1"/>
  <c r="G15" i="4"/>
  <c r="M15" i="4" s="1"/>
  <c r="G8" i="4"/>
  <c r="M8" i="4" s="1"/>
  <c r="G43" i="4"/>
  <c r="M43" i="4" s="1"/>
  <c r="G35" i="4"/>
  <c r="M35" i="4" s="1"/>
  <c r="G27" i="4"/>
  <c r="M27" i="4" s="1"/>
  <c r="G19" i="4"/>
  <c r="M19" i="4" s="1"/>
  <c r="G11" i="4"/>
  <c r="M11" i="4" s="1"/>
  <c r="G34" i="4"/>
  <c r="M34" i="4" s="1"/>
  <c r="G18" i="4"/>
  <c r="M18" i="4" s="1"/>
  <c r="G7" i="4"/>
  <c r="M7" i="4" s="1"/>
  <c r="G44" i="4"/>
  <c r="M44" i="4" s="1"/>
  <c r="G28" i="4"/>
  <c r="M28" i="4" s="1"/>
  <c r="G12" i="4"/>
  <c r="M12" i="4" s="1"/>
  <c r="G41" i="4"/>
  <c r="M41" i="4" s="1"/>
  <c r="G25" i="4"/>
  <c r="M25" i="4" s="1"/>
  <c r="G5" i="4"/>
  <c r="M5" i="4" s="1"/>
  <c r="G38" i="4"/>
  <c r="M38" i="4" s="1"/>
  <c r="W4" i="3"/>
  <c r="G42" i="4"/>
  <c r="M42" i="4" s="1"/>
  <c r="G26" i="4"/>
  <c r="M26" i="4" s="1"/>
  <c r="G10" i="4"/>
  <c r="M10" i="4" s="1"/>
  <c r="G36" i="4"/>
  <c r="M36" i="4" s="1"/>
  <c r="G20" i="4"/>
  <c r="M20" i="4" s="1"/>
  <c r="G22" i="4"/>
  <c r="M22" i="4" s="1"/>
  <c r="G17" i="4"/>
  <c r="M17" i="4" s="1"/>
  <c r="G46" i="4"/>
  <c r="M46" i="4" s="1"/>
  <c r="G30" i="4"/>
  <c r="M30" i="4" s="1"/>
  <c r="G14" i="4"/>
  <c r="M14" i="4" s="1"/>
  <c r="F4" i="9"/>
  <c r="G33" i="4"/>
  <c r="M33" i="4" s="1"/>
  <c r="E4" i="11"/>
  <c r="H4" i="11"/>
  <c r="I4" i="11"/>
  <c r="I4" i="10"/>
  <c r="V49" i="5"/>
  <c r="W49" i="5"/>
  <c r="X49" i="5"/>
  <c r="X41" i="5"/>
  <c r="W41" i="5"/>
  <c r="V41" i="5"/>
  <c r="X33" i="5"/>
  <c r="W33" i="5"/>
  <c r="V33" i="5"/>
  <c r="V25" i="5"/>
  <c r="W25" i="5"/>
  <c r="X25" i="5"/>
  <c r="W51" i="5"/>
  <c r="V51" i="5"/>
  <c r="X51" i="5"/>
  <c r="X43" i="5"/>
  <c r="W43" i="5"/>
  <c r="V43" i="5"/>
  <c r="V35" i="5"/>
  <c r="X35" i="5"/>
  <c r="W35" i="5"/>
  <c r="V27" i="5"/>
  <c r="W27" i="5"/>
  <c r="X27" i="5"/>
  <c r="V46" i="5"/>
  <c r="X46" i="5"/>
  <c r="W46" i="5"/>
  <c r="V38" i="5"/>
  <c r="W38" i="5"/>
  <c r="X38" i="5"/>
  <c r="W30" i="5"/>
  <c r="X30" i="5"/>
  <c r="V30" i="5"/>
  <c r="W48" i="5"/>
  <c r="X48" i="5"/>
  <c r="V48" i="5"/>
  <c r="X40" i="5"/>
  <c r="W40" i="5"/>
  <c r="V40" i="5"/>
  <c r="W32" i="5"/>
  <c r="X32" i="5"/>
  <c r="V32" i="5"/>
  <c r="V24" i="5"/>
  <c r="X24" i="5"/>
  <c r="W24" i="5"/>
  <c r="W52" i="5"/>
  <c r="V52" i="5"/>
  <c r="X52" i="5"/>
  <c r="W36" i="5"/>
  <c r="X36" i="5"/>
  <c r="V36" i="5"/>
  <c r="V22" i="5"/>
  <c r="W22" i="5"/>
  <c r="X22" i="5"/>
  <c r="W14" i="5"/>
  <c r="V14" i="5"/>
  <c r="X14" i="5"/>
  <c r="X7" i="5"/>
  <c r="W7" i="5"/>
  <c r="V7" i="5"/>
  <c r="X53" i="5"/>
  <c r="V53" i="5"/>
  <c r="W53" i="5"/>
  <c r="X37" i="5"/>
  <c r="V37" i="5"/>
  <c r="W37" i="5"/>
  <c r="W15" i="5"/>
  <c r="X15" i="5"/>
  <c r="V15" i="5"/>
  <c r="W8" i="5"/>
  <c r="V8" i="5"/>
  <c r="X8" i="5"/>
  <c r="W39" i="5"/>
  <c r="X39" i="5"/>
  <c r="V39" i="5"/>
  <c r="X23" i="5"/>
  <c r="W23" i="5"/>
  <c r="V23" i="5"/>
  <c r="V16" i="5"/>
  <c r="X16" i="5"/>
  <c r="W16" i="5"/>
  <c r="W13" i="5"/>
  <c r="V13" i="5"/>
  <c r="X13" i="5"/>
  <c r="X12" i="5"/>
  <c r="V12" i="5"/>
  <c r="W12" i="5"/>
  <c r="V11" i="5"/>
  <c r="W11" i="5"/>
  <c r="X11" i="5"/>
  <c r="W10" i="5"/>
  <c r="X10" i="5"/>
  <c r="V10" i="5"/>
  <c r="X9" i="5"/>
  <c r="V9" i="5"/>
  <c r="W9" i="5"/>
  <c r="W42" i="5"/>
  <c r="X42" i="5"/>
  <c r="V42" i="5"/>
  <c r="V17" i="5"/>
  <c r="X17" i="5"/>
  <c r="W17" i="5"/>
  <c r="V44" i="5"/>
  <c r="W44" i="5"/>
  <c r="X44" i="5"/>
  <c r="V28" i="5"/>
  <c r="W28" i="5"/>
  <c r="X28" i="5"/>
  <c r="X18" i="5"/>
  <c r="V18" i="5"/>
  <c r="W18" i="5"/>
  <c r="W45" i="5"/>
  <c r="X45" i="5"/>
  <c r="V45" i="5"/>
  <c r="V29" i="5"/>
  <c r="W29" i="5"/>
  <c r="X29" i="5"/>
  <c r="W19" i="5"/>
  <c r="X19" i="5"/>
  <c r="V19" i="5"/>
  <c r="X47" i="5"/>
  <c r="W47" i="5"/>
  <c r="V47" i="5"/>
  <c r="W31" i="5"/>
  <c r="X31" i="5"/>
  <c r="V31" i="5"/>
  <c r="X26" i="5"/>
  <c r="V26" i="5"/>
  <c r="W26" i="5"/>
  <c r="V20" i="5"/>
  <c r="W20" i="5"/>
  <c r="X20" i="5"/>
  <c r="X5" i="5"/>
  <c r="W5" i="5"/>
  <c r="V5" i="5"/>
  <c r="W4" i="5"/>
  <c r="V4" i="5"/>
  <c r="X4" i="5"/>
  <c r="V50" i="5"/>
  <c r="W50" i="5"/>
  <c r="X50" i="5"/>
  <c r="V34" i="5"/>
  <c r="W34" i="5"/>
  <c r="X34" i="5"/>
  <c r="W21" i="5"/>
  <c r="V21" i="5"/>
  <c r="X21" i="5"/>
  <c r="V6" i="5"/>
  <c r="X6" i="5"/>
  <c r="W6" i="5"/>
  <c r="X53" i="6"/>
  <c r="W53" i="6"/>
  <c r="V53" i="6"/>
  <c r="X45" i="6"/>
  <c r="W45" i="6"/>
  <c r="V45" i="6"/>
  <c r="W37" i="6"/>
  <c r="X37" i="6"/>
  <c r="V37" i="6"/>
  <c r="X29" i="6"/>
  <c r="V29" i="6"/>
  <c r="W29" i="6"/>
  <c r="V46" i="6"/>
  <c r="X46" i="6"/>
  <c r="W46" i="6"/>
  <c r="X38" i="6"/>
  <c r="W38" i="6"/>
  <c r="V38" i="6"/>
  <c r="V30" i="6"/>
  <c r="W30" i="6"/>
  <c r="X30" i="6"/>
  <c r="V49" i="6"/>
  <c r="W49" i="6"/>
  <c r="X49" i="6"/>
  <c r="X41" i="6"/>
  <c r="W41" i="6"/>
  <c r="V41" i="6"/>
  <c r="V51" i="6"/>
  <c r="W51" i="6"/>
  <c r="X51" i="6"/>
  <c r="X43" i="6"/>
  <c r="W43" i="6"/>
  <c r="V43" i="6"/>
  <c r="X28" i="6"/>
  <c r="W28" i="6"/>
  <c r="V28" i="6"/>
  <c r="V23" i="6"/>
  <c r="W23" i="6"/>
  <c r="X23" i="6"/>
  <c r="W15" i="6"/>
  <c r="X15" i="6"/>
  <c r="V15" i="6"/>
  <c r="X8" i="6"/>
  <c r="V8" i="6"/>
  <c r="W8" i="6"/>
  <c r="X32" i="6"/>
  <c r="W32" i="6"/>
  <c r="V32" i="6"/>
  <c r="V25" i="6"/>
  <c r="W25" i="6"/>
  <c r="X25" i="6"/>
  <c r="W17" i="6"/>
  <c r="V17" i="6"/>
  <c r="X17" i="6"/>
  <c r="X39" i="6"/>
  <c r="W39" i="6"/>
  <c r="V39" i="6"/>
  <c r="W34" i="6"/>
  <c r="V34" i="6"/>
  <c r="X34" i="6"/>
  <c r="V26" i="6"/>
  <c r="W26" i="6"/>
  <c r="X26" i="6"/>
  <c r="V36" i="6"/>
  <c r="W36" i="6"/>
  <c r="X36" i="6"/>
  <c r="V27" i="6"/>
  <c r="W27" i="6"/>
  <c r="X27" i="6"/>
  <c r="V19" i="6"/>
  <c r="W19" i="6"/>
  <c r="X19" i="6"/>
  <c r="X31" i="6"/>
  <c r="W31" i="6"/>
  <c r="V31" i="6"/>
  <c r="W20" i="6"/>
  <c r="X20" i="6"/>
  <c r="V20" i="6"/>
  <c r="V5" i="6"/>
  <c r="X5" i="6"/>
  <c r="W5" i="6"/>
  <c r="X21" i="6"/>
  <c r="W21" i="6"/>
  <c r="V21" i="6"/>
  <c r="V35" i="6"/>
  <c r="W35" i="6"/>
  <c r="X35" i="6"/>
  <c r="V33" i="6"/>
  <c r="W33" i="6"/>
  <c r="X33" i="6"/>
  <c r="X22" i="6"/>
  <c r="W22" i="6"/>
  <c r="V22" i="6"/>
  <c r="W14" i="6"/>
  <c r="V14" i="6"/>
  <c r="X14" i="6"/>
  <c r="V7" i="6"/>
  <c r="X7" i="6"/>
  <c r="W7" i="6"/>
  <c r="V47" i="6"/>
  <c r="X47" i="6"/>
  <c r="W47" i="6"/>
  <c r="X13" i="6"/>
  <c r="W13" i="6"/>
  <c r="V13" i="6"/>
  <c r="W12" i="6"/>
  <c r="V12" i="6"/>
  <c r="X12" i="6"/>
  <c r="V50" i="6"/>
  <c r="W50" i="6"/>
  <c r="X50" i="6"/>
  <c r="X42" i="6"/>
  <c r="V42" i="6"/>
  <c r="W42" i="6"/>
  <c r="V18" i="6"/>
  <c r="W18" i="6"/>
  <c r="X18" i="6"/>
  <c r="V11" i="6"/>
  <c r="X11" i="6"/>
  <c r="W11" i="6"/>
  <c r="V10" i="6"/>
  <c r="X10" i="6"/>
  <c r="W10" i="6"/>
  <c r="X9" i="6"/>
  <c r="W9" i="6"/>
  <c r="V9" i="6"/>
  <c r="V6" i="6"/>
  <c r="X6" i="6"/>
  <c r="W6" i="6"/>
  <c r="X4" i="6"/>
  <c r="V4" i="6"/>
  <c r="W4" i="6"/>
  <c r="V52" i="6"/>
  <c r="W52" i="6"/>
  <c r="X52" i="6"/>
  <c r="W48" i="6"/>
  <c r="X48" i="6"/>
  <c r="V48" i="6"/>
  <c r="V44" i="6"/>
  <c r="W44" i="6"/>
  <c r="X44" i="6"/>
  <c r="V40" i="6"/>
  <c r="W40" i="6"/>
  <c r="X40" i="6"/>
  <c r="V24" i="6"/>
  <c r="W24" i="6"/>
  <c r="X24" i="6"/>
  <c r="V16" i="6"/>
  <c r="W16" i="6"/>
  <c r="X16" i="6"/>
  <c r="P51" i="7"/>
  <c r="R51" i="7"/>
  <c r="Q51" i="7"/>
  <c r="R4" i="7"/>
  <c r="P4" i="7"/>
  <c r="Q4" i="7"/>
  <c r="P38" i="7"/>
  <c r="Q38" i="7"/>
  <c r="R38" i="7"/>
  <c r="Q44" i="7"/>
  <c r="P44" i="7"/>
  <c r="R44" i="7"/>
  <c r="P43" i="7"/>
  <c r="Q43" i="7"/>
  <c r="R43" i="7"/>
  <c r="P25" i="7"/>
  <c r="Q25" i="7"/>
  <c r="R25" i="7"/>
  <c r="R24" i="7"/>
  <c r="P24" i="7"/>
  <c r="Q24" i="7"/>
  <c r="Q16" i="7"/>
  <c r="R16" i="7"/>
  <c r="P16" i="7"/>
  <c r="R21" i="7"/>
  <c r="Q21" i="7"/>
  <c r="P21" i="7"/>
  <c r="P9" i="7"/>
  <c r="Q9" i="7"/>
  <c r="R9" i="7"/>
  <c r="R28" i="7"/>
  <c r="Q28" i="7"/>
  <c r="P28" i="7"/>
  <c r="R12" i="7"/>
  <c r="P12" i="7"/>
  <c r="Q12" i="7"/>
  <c r="Q52" i="7"/>
  <c r="R52" i="7"/>
  <c r="P52" i="7"/>
  <c r="Q13" i="7"/>
  <c r="R13" i="7"/>
  <c r="P13" i="7"/>
  <c r="R29" i="7"/>
  <c r="P29" i="7"/>
  <c r="Q29" i="7"/>
  <c r="Q26" i="7"/>
  <c r="P26" i="7"/>
  <c r="R26" i="7"/>
  <c r="P36" i="7"/>
  <c r="R36" i="7"/>
  <c r="Q36" i="7"/>
  <c r="R6" i="7"/>
  <c r="P6" i="7"/>
  <c r="Q6" i="7"/>
  <c r="R8" i="7"/>
  <c r="Q8" i="7"/>
  <c r="P8" i="7"/>
  <c r="Q27" i="7"/>
  <c r="R27" i="7"/>
  <c r="P27" i="7"/>
  <c r="R45" i="7"/>
  <c r="P45" i="7"/>
  <c r="Q45" i="7"/>
  <c r="R22" i="7"/>
  <c r="Q22" i="7"/>
  <c r="P22" i="7"/>
  <c r="P31" i="7"/>
  <c r="Q31" i="7"/>
  <c r="R31" i="7"/>
  <c r="P37" i="7"/>
  <c r="R37" i="7"/>
  <c r="Q37" i="7"/>
  <c r="Q53" i="7"/>
  <c r="R53" i="7"/>
  <c r="P53" i="7"/>
  <c r="Q40" i="7"/>
  <c r="P40" i="7"/>
  <c r="R40" i="7"/>
  <c r="R46" i="7"/>
  <c r="Q46" i="7"/>
  <c r="P46" i="7"/>
  <c r="Q10" i="7"/>
  <c r="R10" i="7"/>
  <c r="P10" i="7"/>
  <c r="P32" i="7"/>
  <c r="Q32" i="7"/>
  <c r="R32" i="7"/>
  <c r="R18" i="7"/>
  <c r="P18" i="7"/>
  <c r="Q18" i="7"/>
  <c r="R5" i="7"/>
  <c r="P5" i="7"/>
  <c r="Q5" i="7"/>
  <c r="R33" i="7"/>
  <c r="P33" i="7"/>
  <c r="Q33" i="7"/>
  <c r="P11" i="7"/>
  <c r="Q11" i="7"/>
  <c r="R11" i="7"/>
  <c r="Q47" i="7"/>
  <c r="R47" i="7"/>
  <c r="P47" i="7"/>
  <c r="R42" i="7"/>
  <c r="Q42" i="7"/>
  <c r="P42" i="7"/>
  <c r="R35" i="7"/>
  <c r="P35" i="7"/>
  <c r="Q35" i="7"/>
  <c r="P48" i="7"/>
  <c r="Q48" i="7"/>
  <c r="R48" i="7"/>
  <c r="P30" i="7"/>
  <c r="Q30" i="7"/>
  <c r="R30" i="7"/>
  <c r="P15" i="7"/>
  <c r="R15" i="7"/>
  <c r="Q15" i="7"/>
  <c r="Q39" i="7"/>
  <c r="P39" i="7"/>
  <c r="R39" i="7"/>
  <c r="P17" i="7"/>
  <c r="Q17" i="7"/>
  <c r="R17" i="7"/>
  <c r="P49" i="7"/>
  <c r="R49" i="7"/>
  <c r="Q49" i="7"/>
  <c r="R7" i="7"/>
  <c r="Q7" i="7"/>
  <c r="P7" i="7"/>
  <c r="P34" i="7"/>
  <c r="R34" i="7"/>
  <c r="Q34" i="7"/>
  <c r="P20" i="7"/>
  <c r="R20" i="7"/>
  <c r="Q20" i="7"/>
  <c r="P41" i="7"/>
  <c r="R41" i="7"/>
  <c r="Q41" i="7"/>
  <c r="P19" i="7"/>
  <c r="R19" i="7"/>
  <c r="Q19" i="7"/>
  <c r="R50" i="7"/>
  <c r="Q50" i="7"/>
  <c r="P50" i="7"/>
  <c r="P14" i="7"/>
  <c r="R14" i="7"/>
  <c r="Q14" i="7"/>
  <c r="P23" i="7"/>
  <c r="R23" i="7"/>
  <c r="Q23" i="7"/>
  <c r="G4" i="7"/>
  <c r="I4" i="7" s="1"/>
  <c r="O4" i="7"/>
  <c r="L12" i="3"/>
  <c r="L75" i="3"/>
  <c r="L14" i="3"/>
  <c r="L6" i="3"/>
  <c r="B32" i="2"/>
  <c r="G21" i="2"/>
  <c r="L73" i="3"/>
  <c r="L49" i="3"/>
  <c r="L41" i="3"/>
  <c r="L70" i="3"/>
  <c r="L40" i="3"/>
  <c r="L55" i="3"/>
  <c r="L48" i="3"/>
  <c r="L26" i="3"/>
  <c r="L42" i="3"/>
  <c r="L77" i="3"/>
  <c r="G4" i="3"/>
  <c r="X14" i="3"/>
  <c r="G4" i="8"/>
  <c r="J4" i="8" s="1"/>
  <c r="A5" i="8" s="1"/>
  <c r="AA10" i="5"/>
  <c r="L31" i="3"/>
  <c r="L60" i="3"/>
  <c r="L9" i="3"/>
  <c r="L72" i="3"/>
  <c r="L61" i="3"/>
  <c r="L17" i="3"/>
  <c r="L39" i="3"/>
  <c r="P33" i="3"/>
  <c r="L7" i="3"/>
  <c r="L32" i="3"/>
  <c r="L18" i="3"/>
  <c r="P89" i="3"/>
  <c r="L44" i="3"/>
  <c r="L38" i="3"/>
  <c r="L80" i="3"/>
  <c r="L79" i="3"/>
  <c r="P16" i="3"/>
  <c r="P85" i="3"/>
  <c r="L24" i="3"/>
  <c r="L28" i="3"/>
  <c r="L62" i="3"/>
  <c r="L59" i="3"/>
  <c r="L43" i="3"/>
  <c r="P59" i="3"/>
  <c r="P55" i="3"/>
  <c r="L53" i="3"/>
  <c r="L66" i="3"/>
  <c r="P20" i="3"/>
  <c r="P29" i="3"/>
  <c r="L58" i="3"/>
  <c r="O68" i="3"/>
  <c r="I4" i="8"/>
  <c r="P4" i="8" s="1"/>
  <c r="P81" i="3"/>
  <c r="L25" i="3"/>
  <c r="L78" i="3"/>
  <c r="P24" i="3"/>
  <c r="P63" i="3"/>
  <c r="H4" i="3"/>
  <c r="G4" i="11" s="1"/>
  <c r="P37" i="3"/>
  <c r="L11" i="3"/>
  <c r="L34" i="3"/>
  <c r="P42" i="3"/>
  <c r="P11" i="3"/>
  <c r="AA14" i="6"/>
  <c r="AA18" i="6" s="1"/>
  <c r="O76" i="3"/>
  <c r="O55" i="3"/>
  <c r="L19" i="3"/>
  <c r="P46" i="3"/>
  <c r="P50" i="3"/>
  <c r="O24" i="3"/>
  <c r="L69" i="3"/>
  <c r="L74" i="3"/>
  <c r="P76" i="3"/>
  <c r="L68" i="3"/>
  <c r="L4" i="3"/>
  <c r="X16" i="3" s="1"/>
  <c r="F4" i="6"/>
  <c r="P7" i="3"/>
  <c r="L63" i="3"/>
  <c r="L36" i="3"/>
  <c r="L8" i="3"/>
  <c r="P72" i="3"/>
  <c r="P68" i="3"/>
  <c r="O33" i="3"/>
  <c r="L10" i="3"/>
  <c r="L23" i="3"/>
  <c r="L64" i="3"/>
  <c r="O11" i="3"/>
  <c r="O46" i="3"/>
  <c r="L15" i="3"/>
  <c r="W5" i="3"/>
  <c r="L22" i="3"/>
  <c r="L47" i="3"/>
  <c r="L57" i="3"/>
  <c r="L46" i="3"/>
  <c r="L30" i="3"/>
  <c r="L37" i="3"/>
  <c r="L50" i="3"/>
  <c r="L35" i="3"/>
  <c r="L85" i="3"/>
  <c r="L54" i="3"/>
  <c r="L86" i="3"/>
  <c r="L65" i="3"/>
  <c r="O85" i="3"/>
  <c r="L21" i="3"/>
  <c r="F4" i="5"/>
  <c r="U4" i="5" s="1"/>
  <c r="O63" i="3"/>
  <c r="L5" i="3"/>
  <c r="L56" i="3"/>
  <c r="O50" i="3"/>
  <c r="O72" i="3"/>
  <c r="I4" i="9"/>
  <c r="P4" i="9" s="1"/>
  <c r="G4" i="9"/>
  <c r="J4" i="9" s="1"/>
  <c r="L81" i="3"/>
  <c r="L45" i="3"/>
  <c r="L89" i="3"/>
  <c r="O7" i="3"/>
  <c r="O29" i="3"/>
  <c r="H4" i="4"/>
  <c r="N4" i="4" s="1"/>
  <c r="O37" i="3"/>
  <c r="L51" i="3"/>
  <c r="L76" i="3"/>
  <c r="O42" i="3"/>
  <c r="L13" i="3"/>
  <c r="L67" i="3"/>
  <c r="L27" i="3"/>
  <c r="L87" i="3"/>
  <c r="L88" i="3"/>
  <c r="L29" i="3"/>
  <c r="L71" i="3"/>
  <c r="L52" i="3"/>
  <c r="L16" i="3"/>
  <c r="L83" i="3"/>
  <c r="L84" i="3"/>
  <c r="L20" i="3"/>
  <c r="L82" i="3"/>
  <c r="L33" i="3"/>
  <c r="O16" i="3"/>
  <c r="O89" i="3"/>
  <c r="O20" i="3"/>
  <c r="O81" i="3"/>
  <c r="O59" i="3"/>
  <c r="D5" i="7" l="1"/>
  <c r="E5" i="7" s="1"/>
  <c r="F5" i="7" s="1"/>
  <c r="J4" i="7"/>
  <c r="L4" i="10"/>
  <c r="J4" i="10"/>
  <c r="M4" i="10" s="1"/>
  <c r="G4" i="6"/>
  <c r="U4" i="6"/>
  <c r="G23" i="2"/>
  <c r="G22" i="2"/>
  <c r="W6" i="3"/>
  <c r="K4" i="8"/>
  <c r="G4" i="10"/>
  <c r="N4" i="3"/>
  <c r="D5" i="3" s="1"/>
  <c r="X15" i="3"/>
  <c r="X17" i="3" s="1"/>
  <c r="M4" i="3"/>
  <c r="W13" i="3" s="1"/>
  <c r="W17" i="3" s="1"/>
  <c r="C5" i="8"/>
  <c r="H5" i="8"/>
  <c r="D5" i="8"/>
  <c r="B5" i="8"/>
  <c r="J4" i="11"/>
  <c r="N4" i="11" s="1"/>
  <c r="G4" i="5"/>
  <c r="I4" i="5" s="1"/>
  <c r="W9" i="3"/>
  <c r="R4" i="4"/>
  <c r="D5" i="4"/>
  <c r="D5" i="9"/>
  <c r="K4" i="9"/>
  <c r="R4" i="3"/>
  <c r="I4" i="6" l="1"/>
  <c r="H4" i="6"/>
  <c r="J4" i="6" s="1"/>
  <c r="D5" i="6" s="1"/>
  <c r="V4" i="10"/>
  <c r="N5" i="8"/>
  <c r="M5" i="8"/>
  <c r="L5" i="8"/>
  <c r="Q4" i="8"/>
  <c r="R4" i="8"/>
  <c r="S4" i="8"/>
  <c r="G5" i="7"/>
  <c r="I5" i="7" s="1"/>
  <c r="O5" i="7"/>
  <c r="E5" i="8"/>
  <c r="Y17" i="3"/>
  <c r="K4" i="11"/>
  <c r="E5" i="9"/>
  <c r="F5" i="9"/>
  <c r="F5" i="4"/>
  <c r="F5" i="3"/>
  <c r="G5" i="3" s="1"/>
  <c r="H4" i="5"/>
  <c r="J4" i="5" s="1"/>
  <c r="D5" i="5" s="1"/>
  <c r="F5" i="6" l="1"/>
  <c r="U5" i="6" s="1"/>
  <c r="E5" i="6"/>
  <c r="G5" i="6" s="1"/>
  <c r="I5" i="6" s="1"/>
  <c r="J5" i="7"/>
  <c r="D6" i="7"/>
  <c r="E6" i="7" s="1"/>
  <c r="F6" i="7" s="1"/>
  <c r="O4" i="11"/>
  <c r="W4" i="10"/>
  <c r="K4" i="10"/>
  <c r="O5" i="8"/>
  <c r="F5" i="8"/>
  <c r="I5" i="8" s="1"/>
  <c r="P5" i="8" s="1"/>
  <c r="L4" i="11"/>
  <c r="M5" i="3"/>
  <c r="H5" i="3"/>
  <c r="E5" i="5"/>
  <c r="F5" i="5" s="1"/>
  <c r="U5" i="5" s="1"/>
  <c r="H5" i="4"/>
  <c r="N5" i="4" s="1"/>
  <c r="I5" i="9"/>
  <c r="P5" i="9" s="1"/>
  <c r="G5" i="9"/>
  <c r="J5" i="9" s="1"/>
  <c r="P4" i="11" l="1"/>
  <c r="Y4" i="11"/>
  <c r="P4" i="10"/>
  <c r="N4" i="10"/>
  <c r="G6" i="7"/>
  <c r="I6" i="7" s="1"/>
  <c r="O6" i="7"/>
  <c r="H5" i="6"/>
  <c r="J5" i="6" s="1"/>
  <c r="D6" i="6" s="1"/>
  <c r="E6" i="6" s="1"/>
  <c r="F6" i="6" s="1"/>
  <c r="U6" i="6" s="1"/>
  <c r="G5" i="8"/>
  <c r="J5" i="8" s="1"/>
  <c r="A6" i="8" s="1"/>
  <c r="N5" i="3"/>
  <c r="R5" i="4"/>
  <c r="D6" i="4"/>
  <c r="D6" i="9"/>
  <c r="K5" i="9"/>
  <c r="G5" i="5"/>
  <c r="H5" i="5" s="1"/>
  <c r="J5" i="5" s="1"/>
  <c r="D6" i="5" s="1"/>
  <c r="D7" i="7" l="1"/>
  <c r="J6" i="7"/>
  <c r="Z4" i="11"/>
  <c r="M4" i="11"/>
  <c r="A5" i="10"/>
  <c r="Q4" i="10"/>
  <c r="O4" i="10"/>
  <c r="N6" i="8"/>
  <c r="M6" i="8"/>
  <c r="L6" i="8"/>
  <c r="B6" i="8"/>
  <c r="C6" i="8"/>
  <c r="D6" i="8"/>
  <c r="E6" i="8" s="1"/>
  <c r="H6" i="8"/>
  <c r="K5" i="8"/>
  <c r="I5" i="5"/>
  <c r="G6" i="6"/>
  <c r="E6" i="5"/>
  <c r="F6" i="5" s="1"/>
  <c r="U6" i="5" s="1"/>
  <c r="F6" i="4"/>
  <c r="E6" i="9"/>
  <c r="F6" i="9" s="1"/>
  <c r="D6" i="3"/>
  <c r="R5" i="3"/>
  <c r="E7" i="7"/>
  <c r="F7" i="7" s="1"/>
  <c r="Q4" i="11" l="1"/>
  <c r="S4" i="11"/>
  <c r="R4" i="11" s="1"/>
  <c r="O6" i="8"/>
  <c r="T4" i="11"/>
  <c r="A5" i="11"/>
  <c r="G5" i="10"/>
  <c r="D5" i="10"/>
  <c r="F5" i="10"/>
  <c r="B5" i="10"/>
  <c r="C5" i="10"/>
  <c r="R5" i="10"/>
  <c r="S5" i="10"/>
  <c r="T5" i="10"/>
  <c r="U5" i="10"/>
  <c r="Q5" i="8"/>
  <c r="R5" i="8"/>
  <c r="S5" i="8"/>
  <c r="G7" i="7"/>
  <c r="I7" i="7" s="1"/>
  <c r="O7" i="7"/>
  <c r="I6" i="6"/>
  <c r="H6" i="6"/>
  <c r="J6" i="6" s="1"/>
  <c r="D7" i="6" s="1"/>
  <c r="E7" i="6" s="1"/>
  <c r="F6" i="8"/>
  <c r="G6" i="5"/>
  <c r="I6" i="5" s="1"/>
  <c r="F6" i="3"/>
  <c r="G6" i="3" s="1"/>
  <c r="H6" i="4"/>
  <c r="N6" i="4" s="1"/>
  <c r="I6" i="9"/>
  <c r="P6" i="9" s="1"/>
  <c r="G6" i="9"/>
  <c r="J6" i="9" s="1"/>
  <c r="D8" i="7" l="1"/>
  <c r="E8" i="7" s="1"/>
  <c r="F8" i="7" s="1"/>
  <c r="J7" i="7"/>
  <c r="W5" i="11"/>
  <c r="U5" i="11"/>
  <c r="V5" i="11"/>
  <c r="E5" i="10"/>
  <c r="X4" i="10"/>
  <c r="Z4" i="10"/>
  <c r="Y4" i="10"/>
  <c r="H5" i="10"/>
  <c r="G6" i="8"/>
  <c r="J6" i="8" s="1"/>
  <c r="A7" i="8" s="1"/>
  <c r="I6" i="8"/>
  <c r="P6" i="8" s="1"/>
  <c r="F5" i="11"/>
  <c r="B5" i="11"/>
  <c r="G5" i="11"/>
  <c r="D5" i="11"/>
  <c r="C5" i="11"/>
  <c r="H6" i="5"/>
  <c r="J6" i="5" s="1"/>
  <c r="D7" i="5" s="1"/>
  <c r="D7" i="4"/>
  <c r="R6" i="4"/>
  <c r="K6" i="9"/>
  <c r="D7" i="9"/>
  <c r="M6" i="3"/>
  <c r="H6" i="3"/>
  <c r="N6" i="3" s="1"/>
  <c r="F7" i="6"/>
  <c r="X5" i="11" l="1"/>
  <c r="AA4" i="11"/>
  <c r="AC4" i="11"/>
  <c r="AB4" i="11"/>
  <c r="I5" i="10"/>
  <c r="J5" i="10"/>
  <c r="G7" i="6"/>
  <c r="U7" i="6"/>
  <c r="G8" i="7"/>
  <c r="I8" i="7" s="1"/>
  <c r="O8" i="7"/>
  <c r="K6" i="8"/>
  <c r="E5" i="11"/>
  <c r="H5" i="11"/>
  <c r="B7" i="8"/>
  <c r="D7" i="8"/>
  <c r="E7" i="8" s="1"/>
  <c r="H7" i="8"/>
  <c r="C7" i="8"/>
  <c r="E7" i="9"/>
  <c r="F7" i="9" s="1"/>
  <c r="F7" i="4"/>
  <c r="D7" i="3"/>
  <c r="R6" i="3"/>
  <c r="E7" i="5"/>
  <c r="F7" i="5" s="1"/>
  <c r="U7" i="5" s="1"/>
  <c r="I5" i="11" l="1"/>
  <c r="I7" i="6"/>
  <c r="H7" i="6"/>
  <c r="J7" i="6" s="1"/>
  <c r="D8" i="6" s="1"/>
  <c r="J8" i="7"/>
  <c r="D9" i="7"/>
  <c r="L5" i="10"/>
  <c r="M5" i="10"/>
  <c r="V5" i="10"/>
  <c r="M7" i="8"/>
  <c r="N7" i="8"/>
  <c r="L7" i="8"/>
  <c r="S6" i="8"/>
  <c r="Q6" i="8"/>
  <c r="R6" i="8"/>
  <c r="J5" i="11"/>
  <c r="E9" i="7"/>
  <c r="F9" i="7" s="1"/>
  <c r="H7" i="4"/>
  <c r="N7" i="4" s="1"/>
  <c r="F7" i="8"/>
  <c r="I7" i="9"/>
  <c r="P7" i="9" s="1"/>
  <c r="G7" i="9"/>
  <c r="J7" i="9" s="1"/>
  <c r="F7" i="3"/>
  <c r="G7" i="5"/>
  <c r="H7" i="5" s="1"/>
  <c r="J7" i="5" s="1"/>
  <c r="D8" i="5" s="1"/>
  <c r="E8" i="6"/>
  <c r="F8" i="6" s="1"/>
  <c r="U8" i="6" s="1"/>
  <c r="N5" i="11" l="1"/>
  <c r="W5" i="10"/>
  <c r="K5" i="10"/>
  <c r="O7" i="8"/>
  <c r="G9" i="7"/>
  <c r="I9" i="7" s="1"/>
  <c r="O9" i="7"/>
  <c r="K5" i="11"/>
  <c r="I7" i="5"/>
  <c r="D8" i="9"/>
  <c r="K7" i="9"/>
  <c r="G8" i="6"/>
  <c r="I8" i="6" s="1"/>
  <c r="I7" i="8"/>
  <c r="G7" i="8"/>
  <c r="J7" i="8" s="1"/>
  <c r="A8" i="8" s="1"/>
  <c r="R7" i="4"/>
  <c r="D8" i="4"/>
  <c r="G7" i="3"/>
  <c r="E8" i="5"/>
  <c r="J9" i="7" l="1"/>
  <c r="D10" i="7"/>
  <c r="O5" i="11"/>
  <c r="P5" i="10"/>
  <c r="N5" i="10"/>
  <c r="P7" i="8"/>
  <c r="L5" i="11"/>
  <c r="M7" i="3"/>
  <c r="H7" i="3"/>
  <c r="N7" i="3" s="1"/>
  <c r="K7" i="8"/>
  <c r="E8" i="9"/>
  <c r="F8" i="9" s="1"/>
  <c r="H8" i="6"/>
  <c r="J8" i="6" s="1"/>
  <c r="D9" i="6" s="1"/>
  <c r="F8" i="4"/>
  <c r="H8" i="4" s="1"/>
  <c r="N8" i="4" s="1"/>
  <c r="F8" i="5"/>
  <c r="U8" i="5" s="1"/>
  <c r="E10" i="7"/>
  <c r="F10" i="7" s="1"/>
  <c r="P5" i="11" l="1"/>
  <c r="Y5" i="11"/>
  <c r="Q5" i="10"/>
  <c r="A6" i="10"/>
  <c r="O5" i="10"/>
  <c r="M8" i="8"/>
  <c r="N8" i="8"/>
  <c r="L8" i="8"/>
  <c r="G10" i="7"/>
  <c r="I10" i="7" s="1"/>
  <c r="D11" i="7" s="1"/>
  <c r="O10" i="7"/>
  <c r="J10" i="7"/>
  <c r="G8" i="9"/>
  <c r="J8" i="9" s="1"/>
  <c r="I8" i="9"/>
  <c r="P8" i="9" s="1"/>
  <c r="D8" i="3"/>
  <c r="R7" i="3"/>
  <c r="D9" i="4"/>
  <c r="R8" i="4"/>
  <c r="B8" i="8"/>
  <c r="H8" i="8"/>
  <c r="D8" i="8"/>
  <c r="C8" i="8"/>
  <c r="E9" i="6"/>
  <c r="F9" i="6" s="1"/>
  <c r="U9" i="6" s="1"/>
  <c r="G8" i="5"/>
  <c r="I8" i="5" s="1"/>
  <c r="Z5" i="11" l="1"/>
  <c r="M5" i="11"/>
  <c r="G6" i="10"/>
  <c r="B6" i="10"/>
  <c r="D6" i="10"/>
  <c r="E6" i="10" s="1"/>
  <c r="F6" i="10"/>
  <c r="C6" i="10"/>
  <c r="T6" i="10"/>
  <c r="S6" i="10"/>
  <c r="R6" i="10"/>
  <c r="U6" i="10" s="1"/>
  <c r="O8" i="8"/>
  <c r="S7" i="8"/>
  <c r="R7" i="8"/>
  <c r="Q7" i="8"/>
  <c r="S5" i="11"/>
  <c r="Q5" i="11"/>
  <c r="F9" i="4"/>
  <c r="H9" i="4" s="1"/>
  <c r="N9" i="4" s="1"/>
  <c r="G9" i="6"/>
  <c r="H9" i="6" s="1"/>
  <c r="J9" i="6" s="1"/>
  <c r="D10" i="6" s="1"/>
  <c r="H8" i="5"/>
  <c r="J8" i="5" s="1"/>
  <c r="D9" i="5" s="1"/>
  <c r="D9" i="9"/>
  <c r="K8" i="9"/>
  <c r="E8" i="8"/>
  <c r="F8" i="8" s="1"/>
  <c r="F8" i="3"/>
  <c r="E11" i="7"/>
  <c r="F11" i="7" s="1"/>
  <c r="A6" i="11" l="1"/>
  <c r="T5" i="11"/>
  <c r="Z5" i="10"/>
  <c r="Y5" i="10"/>
  <c r="X5" i="10"/>
  <c r="H6" i="10"/>
  <c r="G11" i="7"/>
  <c r="I11" i="7" s="1"/>
  <c r="O11" i="7"/>
  <c r="R5" i="11"/>
  <c r="I9" i="6"/>
  <c r="D12" i="7"/>
  <c r="J11" i="7"/>
  <c r="R9" i="4"/>
  <c r="D10" i="4"/>
  <c r="E9" i="9"/>
  <c r="F9" i="9"/>
  <c r="G8" i="3"/>
  <c r="G8" i="8"/>
  <c r="J8" i="8" s="1"/>
  <c r="A9" i="8" s="1"/>
  <c r="I8" i="8"/>
  <c r="P8" i="8" s="1"/>
  <c r="E10" i="6"/>
  <c r="E9" i="5"/>
  <c r="W6" i="11" l="1"/>
  <c r="U6" i="11"/>
  <c r="V6" i="11"/>
  <c r="I6" i="10"/>
  <c r="L6" i="10" s="1"/>
  <c r="J6" i="10"/>
  <c r="F10" i="6"/>
  <c r="G6" i="11"/>
  <c r="C6" i="11"/>
  <c r="F6" i="11"/>
  <c r="B6" i="11"/>
  <c r="D6" i="11"/>
  <c r="F9" i="5"/>
  <c r="U9" i="5" s="1"/>
  <c r="H8" i="3"/>
  <c r="N8" i="3" s="1"/>
  <c r="M8" i="3"/>
  <c r="F10" i="4"/>
  <c r="H10" i="4" s="1"/>
  <c r="N10" i="4" s="1"/>
  <c r="K8" i="8"/>
  <c r="I9" i="9"/>
  <c r="P9" i="9" s="1"/>
  <c r="G9" i="9"/>
  <c r="J9" i="9" s="1"/>
  <c r="E12" i="7"/>
  <c r="F12" i="7" s="1"/>
  <c r="X6" i="11" l="1"/>
  <c r="AC5" i="11"/>
  <c r="AB5" i="11"/>
  <c r="AA5" i="11"/>
  <c r="M6" i="10"/>
  <c r="V6" i="10"/>
  <c r="G10" i="6"/>
  <c r="H10" i="6" s="1"/>
  <c r="J10" i="6" s="1"/>
  <c r="D11" i="6" s="1"/>
  <c r="E11" i="6" s="1"/>
  <c r="U10" i="6"/>
  <c r="N9" i="8"/>
  <c r="M9" i="8"/>
  <c r="L9" i="8"/>
  <c r="G12" i="7"/>
  <c r="I12" i="7" s="1"/>
  <c r="O12" i="7"/>
  <c r="E6" i="11"/>
  <c r="H6" i="11"/>
  <c r="I6" i="11" s="1"/>
  <c r="I10" i="6"/>
  <c r="D11" i="4"/>
  <c r="R10" i="4"/>
  <c r="C9" i="8"/>
  <c r="B9" i="8"/>
  <c r="H9" i="8"/>
  <c r="D9" i="8"/>
  <c r="G9" i="5"/>
  <c r="I9" i="5" s="1"/>
  <c r="D10" i="9"/>
  <c r="K9" i="9"/>
  <c r="R8" i="3"/>
  <c r="D9" i="3"/>
  <c r="J12" i="7" l="1"/>
  <c r="D13" i="7"/>
  <c r="W6" i="10"/>
  <c r="K6" i="10"/>
  <c r="P6" i="10"/>
  <c r="N6" i="10"/>
  <c r="O9" i="8"/>
  <c r="S8" i="8"/>
  <c r="R8" i="8"/>
  <c r="Q8" i="8"/>
  <c r="H9" i="5"/>
  <c r="J9" i="5" s="1"/>
  <c r="D10" i="5" s="1"/>
  <c r="E10" i="5" s="1"/>
  <c r="E9" i="8"/>
  <c r="F9" i="8" s="1"/>
  <c r="F9" i="3"/>
  <c r="G9" i="3" s="1"/>
  <c r="F11" i="6"/>
  <c r="U11" i="6" s="1"/>
  <c r="E10" i="9"/>
  <c r="F10" i="9" s="1"/>
  <c r="F11" i="4"/>
  <c r="H11" i="4" s="1"/>
  <c r="N11" i="4" s="1"/>
  <c r="E13" i="7" l="1"/>
  <c r="F13" i="7"/>
  <c r="O13" i="7" s="1"/>
  <c r="O6" i="10"/>
  <c r="A7" i="10"/>
  <c r="Q6" i="10"/>
  <c r="G13" i="7"/>
  <c r="I13" i="7" s="1"/>
  <c r="J6" i="11"/>
  <c r="G9" i="8"/>
  <c r="J9" i="8" s="1"/>
  <c r="A10" i="8" s="1"/>
  <c r="I9" i="8"/>
  <c r="P9" i="8" s="1"/>
  <c r="F10" i="5"/>
  <c r="U10" i="5" s="1"/>
  <c r="H9" i="3"/>
  <c r="N9" i="3" s="1"/>
  <c r="M9" i="3"/>
  <c r="I10" i="9"/>
  <c r="P10" i="9" s="1"/>
  <c r="G10" i="9"/>
  <c r="J10" i="9" s="1"/>
  <c r="D12" i="4"/>
  <c r="R11" i="4"/>
  <c r="G11" i="6"/>
  <c r="I11" i="6" s="1"/>
  <c r="D14" i="7" l="1"/>
  <c r="J13" i="7"/>
  <c r="B7" i="10"/>
  <c r="D7" i="10"/>
  <c r="E7" i="10" s="1"/>
  <c r="G7" i="10"/>
  <c r="F7" i="10"/>
  <c r="C7" i="10"/>
  <c r="T7" i="10"/>
  <c r="S7" i="10"/>
  <c r="R7" i="10"/>
  <c r="N6" i="11"/>
  <c r="K6" i="11"/>
  <c r="R9" i="3"/>
  <c r="D10" i="3"/>
  <c r="G10" i="5"/>
  <c r="I10" i="5" s="1"/>
  <c r="F12" i="4"/>
  <c r="H12" i="4" s="1"/>
  <c r="N12" i="4" s="1"/>
  <c r="K10" i="9"/>
  <c r="D11" i="9"/>
  <c r="K9" i="8"/>
  <c r="H11" i="6"/>
  <c r="J11" i="6" s="1"/>
  <c r="D12" i="6" s="1"/>
  <c r="E14" i="7"/>
  <c r="F14" i="7" s="1"/>
  <c r="U7" i="10" l="1"/>
  <c r="H7" i="10" s="1"/>
  <c r="L6" i="11"/>
  <c r="Z6" i="10"/>
  <c r="Y6" i="10"/>
  <c r="X6" i="10"/>
  <c r="L10" i="8"/>
  <c r="M10" i="8"/>
  <c r="N10" i="8"/>
  <c r="G14" i="7"/>
  <c r="I14" i="7" s="1"/>
  <c r="O14" i="7"/>
  <c r="O6" i="11"/>
  <c r="H10" i="5"/>
  <c r="J10" i="5" s="1"/>
  <c r="D11" i="5" s="1"/>
  <c r="E11" i="5" s="1"/>
  <c r="F11" i="5" s="1"/>
  <c r="R12" i="4"/>
  <c r="D13" i="4"/>
  <c r="E12" i="6"/>
  <c r="F12" i="6" s="1"/>
  <c r="U12" i="6" s="1"/>
  <c r="F10" i="3"/>
  <c r="G10" i="3" s="1"/>
  <c r="E11" i="9"/>
  <c r="F11" i="9" s="1"/>
  <c r="B10" i="8"/>
  <c r="D10" i="8"/>
  <c r="C10" i="8"/>
  <c r="H10" i="8"/>
  <c r="O10" i="8" l="1"/>
  <c r="J14" i="7"/>
  <c r="D15" i="7"/>
  <c r="P6" i="11"/>
  <c r="Y6" i="11"/>
  <c r="Z6" i="11"/>
  <c r="M6" i="11"/>
  <c r="I7" i="10"/>
  <c r="J7" i="10" s="1"/>
  <c r="G11" i="5"/>
  <c r="I11" i="5" s="1"/>
  <c r="U11" i="5"/>
  <c r="S9" i="8"/>
  <c r="R9" i="8"/>
  <c r="Q9" i="8"/>
  <c r="G11" i="9"/>
  <c r="J11" i="9" s="1"/>
  <c r="I11" i="9"/>
  <c r="P11" i="9" s="1"/>
  <c r="H10" i="3"/>
  <c r="N10" i="3" s="1"/>
  <c r="M10" i="3"/>
  <c r="G12" i="6"/>
  <c r="H12" i="6" s="1"/>
  <c r="J12" i="6" s="1"/>
  <c r="D13" i="6" s="1"/>
  <c r="I12" i="6"/>
  <c r="E10" i="8"/>
  <c r="F10" i="8" s="1"/>
  <c r="E15" i="7"/>
  <c r="F15" i="7" s="1"/>
  <c r="H11" i="5"/>
  <c r="J11" i="5" s="1"/>
  <c r="D12" i="5" s="1"/>
  <c r="F13" i="4"/>
  <c r="H13" i="4" s="1"/>
  <c r="N13" i="4" s="1"/>
  <c r="V7" i="10" l="1"/>
  <c r="M7" i="10"/>
  <c r="Q6" i="11"/>
  <c r="S6" i="11"/>
  <c r="R6" i="11" s="1"/>
  <c r="L7" i="10"/>
  <c r="G15" i="7"/>
  <c r="I15" i="7" s="1"/>
  <c r="D16" i="7" s="1"/>
  <c r="O15" i="7"/>
  <c r="J15" i="7"/>
  <c r="D14" i="4"/>
  <c r="R13" i="4"/>
  <c r="G10" i="8"/>
  <c r="J10" i="8" s="1"/>
  <c r="A11" i="8" s="1"/>
  <c r="I10" i="8"/>
  <c r="P10" i="8" s="1"/>
  <c r="E13" i="6"/>
  <c r="F13" i="6" s="1"/>
  <c r="U13" i="6" s="1"/>
  <c r="D11" i="3"/>
  <c r="R10" i="3"/>
  <c r="E12" i="5"/>
  <c r="F12" i="5" s="1"/>
  <c r="U12" i="5" s="1"/>
  <c r="D12" i="9"/>
  <c r="K11" i="9"/>
  <c r="W7" i="10" l="1"/>
  <c r="K7" i="10"/>
  <c r="T6" i="11"/>
  <c r="A7" i="11"/>
  <c r="F11" i="3"/>
  <c r="G11" i="3" s="1"/>
  <c r="G13" i="6"/>
  <c r="I13" i="6" s="1"/>
  <c r="E12" i="9"/>
  <c r="F12" i="9" s="1"/>
  <c r="K10" i="8"/>
  <c r="F14" i="4"/>
  <c r="H14" i="4" s="1"/>
  <c r="N14" i="4" s="1"/>
  <c r="G12" i="5"/>
  <c r="H12" i="5" s="1"/>
  <c r="J12" i="5" s="1"/>
  <c r="D13" i="5" s="1"/>
  <c r="E16" i="7"/>
  <c r="F16" i="7" s="1"/>
  <c r="N7" i="10" l="1"/>
  <c r="P7" i="10"/>
  <c r="W7" i="11"/>
  <c r="V7" i="11"/>
  <c r="U7" i="11"/>
  <c r="B7" i="11"/>
  <c r="D7" i="11"/>
  <c r="E7" i="11" s="1"/>
  <c r="G7" i="11"/>
  <c r="C7" i="11"/>
  <c r="F7" i="11"/>
  <c r="O7" i="10"/>
  <c r="Q7" i="10"/>
  <c r="A8" i="10"/>
  <c r="M11" i="8"/>
  <c r="N11" i="8"/>
  <c r="L11" i="8"/>
  <c r="G16" i="7"/>
  <c r="I16" i="7" s="1"/>
  <c r="O16" i="7"/>
  <c r="H7" i="11"/>
  <c r="I12" i="5"/>
  <c r="H13" i="6"/>
  <c r="J13" i="6" s="1"/>
  <c r="D14" i="6" s="1"/>
  <c r="E14" i="6" s="1"/>
  <c r="F14" i="6" s="1"/>
  <c r="U14" i="6" s="1"/>
  <c r="E13" i="5"/>
  <c r="D17" i="7"/>
  <c r="J16" i="7"/>
  <c r="I12" i="9"/>
  <c r="P12" i="9" s="1"/>
  <c r="G12" i="9"/>
  <c r="J12" i="9" s="1"/>
  <c r="R14" i="4"/>
  <c r="D15" i="4"/>
  <c r="M11" i="3"/>
  <c r="H11" i="3"/>
  <c r="N11" i="3" s="1"/>
  <c r="D11" i="8"/>
  <c r="H11" i="8"/>
  <c r="C11" i="8"/>
  <c r="B11" i="8"/>
  <c r="O11" i="8" l="1"/>
  <c r="X7" i="11"/>
  <c r="AC6" i="11"/>
  <c r="AA6" i="11"/>
  <c r="AB6" i="11"/>
  <c r="I7" i="11"/>
  <c r="J7" i="11" s="1"/>
  <c r="N7" i="11" s="1"/>
  <c r="F8" i="10"/>
  <c r="G8" i="10"/>
  <c r="B8" i="10"/>
  <c r="D8" i="10"/>
  <c r="E8" i="10" s="1"/>
  <c r="C8" i="10"/>
  <c r="T8" i="10"/>
  <c r="S8" i="10"/>
  <c r="R8" i="10"/>
  <c r="U8" i="10" s="1"/>
  <c r="S10" i="8"/>
  <c r="R10" i="8"/>
  <c r="Q10" i="8"/>
  <c r="F13" i="5"/>
  <c r="U13" i="5" s="1"/>
  <c r="D12" i="3"/>
  <c r="R11" i="3"/>
  <c r="G14" i="6"/>
  <c r="H14" i="6" s="1"/>
  <c r="J14" i="6" s="1"/>
  <c r="D15" i="6" s="1"/>
  <c r="E11" i="8"/>
  <c r="F11" i="8" s="1"/>
  <c r="F15" i="4"/>
  <c r="H15" i="4" s="1"/>
  <c r="N15" i="4" s="1"/>
  <c r="E17" i="7"/>
  <c r="F17" i="7" s="1"/>
  <c r="K12" i="9"/>
  <c r="D13" i="9"/>
  <c r="Z7" i="10" l="1"/>
  <c r="Y7" i="10"/>
  <c r="X7" i="10"/>
  <c r="H8" i="10"/>
  <c r="G17" i="7"/>
  <c r="I17" i="7" s="1"/>
  <c r="O17" i="7"/>
  <c r="K7" i="11"/>
  <c r="I14" i="6"/>
  <c r="D16" i="4"/>
  <c r="R15" i="4"/>
  <c r="G11" i="8"/>
  <c r="J11" i="8" s="1"/>
  <c r="A12" i="8" s="1"/>
  <c r="I11" i="8"/>
  <c r="P11" i="8" s="1"/>
  <c r="G13" i="5"/>
  <c r="I13" i="5" s="1"/>
  <c r="F12" i="3"/>
  <c r="G12" i="3" s="1"/>
  <c r="E13" i="9"/>
  <c r="F13" i="9" s="1"/>
  <c r="E15" i="6"/>
  <c r="F15" i="6"/>
  <c r="U15" i="6" s="1"/>
  <c r="D18" i="7" l="1"/>
  <c r="J17" i="7"/>
  <c r="L7" i="11"/>
  <c r="I8" i="10"/>
  <c r="O7" i="11"/>
  <c r="H13" i="5"/>
  <c r="J13" i="5" s="1"/>
  <c r="D14" i="5" s="1"/>
  <c r="E14" i="5" s="1"/>
  <c r="F14" i="5" s="1"/>
  <c r="U14" i="5" s="1"/>
  <c r="G15" i="6"/>
  <c r="I15" i="6" s="1"/>
  <c r="K11" i="8"/>
  <c r="H12" i="3"/>
  <c r="N12" i="3" s="1"/>
  <c r="M12" i="3"/>
  <c r="F16" i="4"/>
  <c r="H16" i="4" s="1"/>
  <c r="N16" i="4" s="1"/>
  <c r="I13" i="9"/>
  <c r="P13" i="9" s="1"/>
  <c r="G13" i="9"/>
  <c r="J13" i="9" s="1"/>
  <c r="E18" i="7"/>
  <c r="F18" i="7" s="1"/>
  <c r="P7" i="11" l="1"/>
  <c r="Y7" i="11"/>
  <c r="M7" i="11" s="1"/>
  <c r="Z7" i="11"/>
  <c r="J8" i="10"/>
  <c r="L8" i="10"/>
  <c r="L12" i="8"/>
  <c r="O12" i="8" s="1"/>
  <c r="M12" i="8"/>
  <c r="N12" i="8"/>
  <c r="G18" i="7"/>
  <c r="I18" i="7" s="1"/>
  <c r="O18" i="7"/>
  <c r="G14" i="5"/>
  <c r="I14" i="5" s="1"/>
  <c r="H15" i="6"/>
  <c r="J15" i="6" s="1"/>
  <c r="D16" i="6" s="1"/>
  <c r="E16" i="6" s="1"/>
  <c r="F16" i="6" s="1"/>
  <c r="U16" i="6" s="1"/>
  <c r="D17" i="4"/>
  <c r="R16" i="4"/>
  <c r="C12" i="8"/>
  <c r="B12" i="8"/>
  <c r="H12" i="8"/>
  <c r="D12" i="8"/>
  <c r="E12" i="8" s="1"/>
  <c r="K13" i="9"/>
  <c r="D14" i="9"/>
  <c r="D13" i="3"/>
  <c r="R12" i="3"/>
  <c r="J18" i="7" l="1"/>
  <c r="D19" i="7"/>
  <c r="S7" i="11"/>
  <c r="R7" i="11" s="1"/>
  <c r="Q7" i="11"/>
  <c r="A8" i="11"/>
  <c r="T7" i="11"/>
  <c r="M8" i="10"/>
  <c r="V8" i="10"/>
  <c r="R11" i="8"/>
  <c r="S11" i="8"/>
  <c r="Q11" i="8"/>
  <c r="H14" i="5"/>
  <c r="J14" i="5" s="1"/>
  <c r="D15" i="5" s="1"/>
  <c r="E15" i="5" s="1"/>
  <c r="F15" i="5" s="1"/>
  <c r="U15" i="5" s="1"/>
  <c r="F12" i="8"/>
  <c r="I12" i="8" s="1"/>
  <c r="P12" i="8" s="1"/>
  <c r="E14" i="9"/>
  <c r="F14" i="9" s="1"/>
  <c r="G16" i="6"/>
  <c r="I16" i="6" s="1"/>
  <c r="F17" i="4"/>
  <c r="H17" i="4" s="1"/>
  <c r="N17" i="4" s="1"/>
  <c r="E19" i="7"/>
  <c r="F19" i="7" s="1"/>
  <c r="F13" i="3"/>
  <c r="G13" i="3" s="1"/>
  <c r="W8" i="10" l="1"/>
  <c r="K8" i="10"/>
  <c r="W8" i="11"/>
  <c r="U8" i="11"/>
  <c r="V8" i="11"/>
  <c r="P8" i="10"/>
  <c r="N8" i="10"/>
  <c r="G19" i="7"/>
  <c r="I19" i="7" s="1"/>
  <c r="O19" i="7"/>
  <c r="G12" i="8"/>
  <c r="J12" i="8" s="1"/>
  <c r="A13" i="8" s="1"/>
  <c r="F8" i="11"/>
  <c r="C8" i="11"/>
  <c r="B8" i="11"/>
  <c r="D8" i="11"/>
  <c r="G8" i="11"/>
  <c r="H13" i="3"/>
  <c r="N13" i="3" s="1"/>
  <c r="M13" i="3"/>
  <c r="D20" i="7"/>
  <c r="J19" i="7"/>
  <c r="H16" i="6"/>
  <c r="J16" i="6" s="1"/>
  <c r="D17" i="6" s="1"/>
  <c r="G14" i="9"/>
  <c r="J14" i="9" s="1"/>
  <c r="I14" i="9"/>
  <c r="P14" i="9" s="1"/>
  <c r="G15" i="5"/>
  <c r="H15" i="5" s="1"/>
  <c r="J15" i="5" s="1"/>
  <c r="D16" i="5" s="1"/>
  <c r="R17" i="4"/>
  <c r="D18" i="4"/>
  <c r="X8" i="11" l="1"/>
  <c r="AA7" i="11"/>
  <c r="AB7" i="11"/>
  <c r="AC7" i="11"/>
  <c r="O8" i="10"/>
  <c r="A9" i="10"/>
  <c r="Q8" i="10"/>
  <c r="K12" i="8"/>
  <c r="E8" i="11"/>
  <c r="H8" i="11"/>
  <c r="I8" i="11" s="1"/>
  <c r="E16" i="5"/>
  <c r="D15" i="9"/>
  <c r="K14" i="9"/>
  <c r="E17" i="6"/>
  <c r="F18" i="4"/>
  <c r="H18" i="4" s="1"/>
  <c r="N18" i="4" s="1"/>
  <c r="E20" i="7"/>
  <c r="F20" i="7"/>
  <c r="I15" i="5"/>
  <c r="D14" i="3"/>
  <c r="R13" i="3"/>
  <c r="F9" i="10" l="1"/>
  <c r="G9" i="10"/>
  <c r="B9" i="10"/>
  <c r="D9" i="10"/>
  <c r="E9" i="10" s="1"/>
  <c r="C9" i="10"/>
  <c r="T9" i="10"/>
  <c r="S9" i="10"/>
  <c r="R9" i="10"/>
  <c r="U9" i="10" s="1"/>
  <c r="C13" i="8"/>
  <c r="D13" i="8"/>
  <c r="E13" i="8" s="1"/>
  <c r="F13" i="8" s="1"/>
  <c r="H13" i="8"/>
  <c r="B13" i="8"/>
  <c r="M13" i="8"/>
  <c r="L13" i="8"/>
  <c r="N13" i="8"/>
  <c r="O13" i="8" s="1"/>
  <c r="G20" i="7"/>
  <c r="I20" i="7" s="1"/>
  <c r="O20" i="7"/>
  <c r="F16" i="5"/>
  <c r="U16" i="5" s="1"/>
  <c r="J20" i="7"/>
  <c r="D21" i="7"/>
  <c r="E15" i="9"/>
  <c r="F15" i="9" s="1"/>
  <c r="F14" i="3"/>
  <c r="G14" i="3" s="1"/>
  <c r="D19" i="4"/>
  <c r="R18" i="4"/>
  <c r="G17" i="6"/>
  <c r="H17" i="6" s="1"/>
  <c r="J17" i="6" s="1"/>
  <c r="D18" i="6" s="1"/>
  <c r="Z8" i="10" l="1"/>
  <c r="X8" i="10"/>
  <c r="Y8" i="10"/>
  <c r="H9" i="10"/>
  <c r="R12" i="8"/>
  <c r="S12" i="8"/>
  <c r="Q12" i="8"/>
  <c r="J8" i="11"/>
  <c r="I13" i="8"/>
  <c r="P13" i="8" s="1"/>
  <c r="G13" i="8"/>
  <c r="J13" i="8" s="1"/>
  <c r="A14" i="8" s="1"/>
  <c r="M14" i="3"/>
  <c r="H14" i="3"/>
  <c r="N14" i="3" s="1"/>
  <c r="G16" i="5"/>
  <c r="I16" i="5" s="1"/>
  <c r="F19" i="4"/>
  <c r="H19" i="4" s="1"/>
  <c r="N19" i="4" s="1"/>
  <c r="E21" i="7"/>
  <c r="F21" i="7" s="1"/>
  <c r="E18" i="6"/>
  <c r="I17" i="6"/>
  <c r="G15" i="9"/>
  <c r="J15" i="9" s="1"/>
  <c r="I15" i="9"/>
  <c r="P15" i="9" s="1"/>
  <c r="N8" i="11" l="1"/>
  <c r="I9" i="10"/>
  <c r="J9" i="10" s="1"/>
  <c r="M14" i="8"/>
  <c r="N14" i="8"/>
  <c r="L14" i="8"/>
  <c r="O14" i="8" s="1"/>
  <c r="G21" i="7"/>
  <c r="I21" i="7" s="1"/>
  <c r="O21" i="7"/>
  <c r="K13" i="8"/>
  <c r="K8" i="11"/>
  <c r="O8" i="11" s="1"/>
  <c r="H16" i="5"/>
  <c r="J16" i="5" s="1"/>
  <c r="D17" i="5" s="1"/>
  <c r="E17" i="5" s="1"/>
  <c r="F17" i="5" s="1"/>
  <c r="C14" i="8"/>
  <c r="B14" i="8"/>
  <c r="H14" i="8"/>
  <c r="D14" i="8"/>
  <c r="G18" i="6"/>
  <c r="H18" i="6" s="1"/>
  <c r="J18" i="6" s="1"/>
  <c r="D19" i="6" s="1"/>
  <c r="D20" i="4"/>
  <c r="R19" i="4"/>
  <c r="D15" i="3"/>
  <c r="R14" i="3"/>
  <c r="K15" i="9"/>
  <c r="D16" i="9"/>
  <c r="D22" i="7" l="1"/>
  <c r="J21" i="7"/>
  <c r="L9" i="10"/>
  <c r="V9" i="10"/>
  <c r="M9" i="10"/>
  <c r="G17" i="5"/>
  <c r="I17" i="5" s="1"/>
  <c r="U17" i="5"/>
  <c r="Q13" i="8"/>
  <c r="S13" i="8"/>
  <c r="R13" i="8"/>
  <c r="L8" i="11"/>
  <c r="E22" i="7"/>
  <c r="F22" i="7" s="1"/>
  <c r="F20" i="4"/>
  <c r="H20" i="4" s="1"/>
  <c r="N20" i="4" s="1"/>
  <c r="E19" i="6"/>
  <c r="I18" i="6"/>
  <c r="E16" i="9"/>
  <c r="F16" i="9" s="1"/>
  <c r="E14" i="8"/>
  <c r="F14" i="8" s="1"/>
  <c r="F15" i="3"/>
  <c r="G15" i="3" s="1"/>
  <c r="H17" i="5"/>
  <c r="J17" i="5" s="1"/>
  <c r="D18" i="5" s="1"/>
  <c r="P8" i="11" l="1"/>
  <c r="Y8" i="11"/>
  <c r="W9" i="10"/>
  <c r="K9" i="10"/>
  <c r="G22" i="7"/>
  <c r="I22" i="7" s="1"/>
  <c r="O22" i="7"/>
  <c r="I14" i="8"/>
  <c r="P14" i="8" s="1"/>
  <c r="G14" i="8"/>
  <c r="J14" i="8" s="1"/>
  <c r="A15" i="8" s="1"/>
  <c r="R20" i="4"/>
  <c r="D21" i="4"/>
  <c r="I16" i="9"/>
  <c r="P16" i="9" s="1"/>
  <c r="G16" i="9"/>
  <c r="J16" i="9" s="1"/>
  <c r="J22" i="7"/>
  <c r="D23" i="7"/>
  <c r="E18" i="5"/>
  <c r="M15" i="3"/>
  <c r="H15" i="3"/>
  <c r="N15" i="3" s="1"/>
  <c r="G19" i="6"/>
  <c r="H19" i="6" s="1"/>
  <c r="J19" i="6" s="1"/>
  <c r="D20" i="6" s="1"/>
  <c r="Z8" i="11" l="1"/>
  <c r="M8" i="11"/>
  <c r="N9" i="10"/>
  <c r="P9" i="10"/>
  <c r="F18" i="5"/>
  <c r="U18" i="5" s="1"/>
  <c r="I19" i="6"/>
  <c r="E23" i="7"/>
  <c r="F23" i="7" s="1"/>
  <c r="D16" i="3"/>
  <c r="R15" i="3"/>
  <c r="F21" i="4"/>
  <c r="H21" i="4" s="1"/>
  <c r="N21" i="4" s="1"/>
  <c r="K14" i="8"/>
  <c r="E20" i="6"/>
  <c r="K16" i="9"/>
  <c r="D17" i="9"/>
  <c r="S8" i="11" l="1"/>
  <c r="T8" i="11" s="1"/>
  <c r="Q8" i="11"/>
  <c r="A9" i="11"/>
  <c r="O9" i="10"/>
  <c r="A10" i="10"/>
  <c r="Q9" i="10"/>
  <c r="G23" i="7"/>
  <c r="I23" i="7" s="1"/>
  <c r="O23" i="7"/>
  <c r="N15" i="8"/>
  <c r="M15" i="8"/>
  <c r="L15" i="8"/>
  <c r="O15" i="8" s="1"/>
  <c r="L20" i="6"/>
  <c r="O20" i="6" s="1"/>
  <c r="R8" i="11"/>
  <c r="H15" i="8"/>
  <c r="D15" i="8"/>
  <c r="C15" i="8"/>
  <c r="B15" i="8"/>
  <c r="E17" i="9"/>
  <c r="F17" i="9" s="1"/>
  <c r="D22" i="4"/>
  <c r="R21" i="4"/>
  <c r="G20" i="6"/>
  <c r="H20" i="6" s="1"/>
  <c r="J20" i="6" s="1"/>
  <c r="G18" i="5"/>
  <c r="I18" i="5" s="1"/>
  <c r="F16" i="3"/>
  <c r="G16" i="3" s="1"/>
  <c r="J23" i="7" l="1"/>
  <c r="D24" i="7"/>
  <c r="V9" i="11"/>
  <c r="U9" i="11"/>
  <c r="W9" i="11"/>
  <c r="D10" i="10"/>
  <c r="E10" i="10" s="1"/>
  <c r="G10" i="10"/>
  <c r="F10" i="10"/>
  <c r="B10" i="10"/>
  <c r="C10" i="10"/>
  <c r="T10" i="10"/>
  <c r="S10" i="10"/>
  <c r="R10" i="10"/>
  <c r="U10" i="10" s="1"/>
  <c r="S14" i="8"/>
  <c r="R14" i="8"/>
  <c r="Q14" i="8"/>
  <c r="D21" i="6"/>
  <c r="AA8" i="6"/>
  <c r="G9" i="11"/>
  <c r="F9" i="11"/>
  <c r="B9" i="11"/>
  <c r="D9" i="11"/>
  <c r="H9" i="11" s="1"/>
  <c r="C9" i="11"/>
  <c r="M16" i="3"/>
  <c r="H16" i="3"/>
  <c r="N16" i="3" s="1"/>
  <c r="E21" i="6"/>
  <c r="F22" i="4"/>
  <c r="H22" i="4" s="1"/>
  <c r="N22" i="4" s="1"/>
  <c r="I17" i="9"/>
  <c r="P17" i="9" s="1"/>
  <c r="G17" i="9"/>
  <c r="J17" i="9" s="1"/>
  <c r="E15" i="8"/>
  <c r="F15" i="8" s="1"/>
  <c r="H18" i="5"/>
  <c r="J18" i="5" s="1"/>
  <c r="D19" i="5" s="1"/>
  <c r="I20" i="6"/>
  <c r="X9" i="11" l="1"/>
  <c r="E24" i="7"/>
  <c r="F24" i="7"/>
  <c r="O24" i="7" s="1"/>
  <c r="I9" i="11"/>
  <c r="AC8" i="11"/>
  <c r="AA8" i="11"/>
  <c r="AB8" i="11"/>
  <c r="Z9" i="10"/>
  <c r="Y9" i="10"/>
  <c r="X9" i="10"/>
  <c r="H10" i="10"/>
  <c r="G24" i="7"/>
  <c r="I24" i="7" s="1"/>
  <c r="E9" i="11"/>
  <c r="G21" i="6"/>
  <c r="H21" i="6" s="1"/>
  <c r="J21" i="6" s="1"/>
  <c r="D22" i="6" s="1"/>
  <c r="E19" i="5"/>
  <c r="R22" i="4"/>
  <c r="D23" i="4"/>
  <c r="G15" i="8"/>
  <c r="J15" i="8" s="1"/>
  <c r="A16" i="8" s="1"/>
  <c r="I15" i="8"/>
  <c r="P15" i="8" s="1"/>
  <c r="K17" i="9"/>
  <c r="D18" i="9"/>
  <c r="D17" i="3"/>
  <c r="R16" i="3"/>
  <c r="D25" i="7" l="1"/>
  <c r="E25" i="7" s="1"/>
  <c r="F25" i="7" s="1"/>
  <c r="J24" i="7"/>
  <c r="I10" i="10"/>
  <c r="J9" i="11"/>
  <c r="E18" i="9"/>
  <c r="F18" i="9" s="1"/>
  <c r="F17" i="3"/>
  <c r="G17" i="3" s="1"/>
  <c r="K15" i="8"/>
  <c r="I21" i="6"/>
  <c r="F23" i="4"/>
  <c r="H23" i="4" s="1"/>
  <c r="N23" i="4" s="1"/>
  <c r="F19" i="5"/>
  <c r="U19" i="5" s="1"/>
  <c r="E22" i="6"/>
  <c r="L10" i="10" l="1"/>
  <c r="J10" i="10"/>
  <c r="N9" i="11"/>
  <c r="N16" i="8"/>
  <c r="M16" i="8"/>
  <c r="L16" i="8"/>
  <c r="O16" i="8" s="1"/>
  <c r="G25" i="7"/>
  <c r="I25" i="7" s="1"/>
  <c r="D26" i="7" s="1"/>
  <c r="O25" i="7"/>
  <c r="K9" i="11"/>
  <c r="H17" i="3"/>
  <c r="N17" i="3" s="1"/>
  <c r="M17" i="3"/>
  <c r="G18" i="9"/>
  <c r="J18" i="9" s="1"/>
  <c r="I18" i="9"/>
  <c r="P18" i="9" s="1"/>
  <c r="J25" i="7"/>
  <c r="D24" i="4"/>
  <c r="R23" i="4"/>
  <c r="H16" i="8"/>
  <c r="D16" i="8"/>
  <c r="E16" i="8" s="1"/>
  <c r="C16" i="8"/>
  <c r="B16" i="8"/>
  <c r="G19" i="5"/>
  <c r="I19" i="5" s="1"/>
  <c r="G22" i="6"/>
  <c r="H22" i="6" s="1"/>
  <c r="J22" i="6" s="1"/>
  <c r="D23" i="6" s="1"/>
  <c r="M10" i="10" l="1"/>
  <c r="V10" i="10"/>
  <c r="O9" i="11"/>
  <c r="R15" i="8"/>
  <c r="Q15" i="8"/>
  <c r="S15" i="8"/>
  <c r="I22" i="6"/>
  <c r="L9" i="11"/>
  <c r="H19" i="5"/>
  <c r="J19" i="5" s="1"/>
  <c r="D20" i="5" s="1"/>
  <c r="E20" i="5" s="1"/>
  <c r="F20" i="5" s="1"/>
  <c r="U20" i="5" s="1"/>
  <c r="F16" i="8"/>
  <c r="I16" i="8" s="1"/>
  <c r="P16" i="8" s="1"/>
  <c r="E23" i="6"/>
  <c r="G23" i="6" s="1"/>
  <c r="H23" i="6" s="1"/>
  <c r="J23" i="6" s="1"/>
  <c r="D24" i="6" s="1"/>
  <c r="F24" i="4"/>
  <c r="H24" i="4" s="1"/>
  <c r="N24" i="4" s="1"/>
  <c r="E26" i="7"/>
  <c r="F26" i="7" s="1"/>
  <c r="D19" i="9"/>
  <c r="K18" i="9"/>
  <c r="R17" i="3"/>
  <c r="D18" i="3"/>
  <c r="K10" i="10" l="1"/>
  <c r="W10" i="10"/>
  <c r="P9" i="11"/>
  <c r="Y9" i="11"/>
  <c r="G26" i="7"/>
  <c r="I26" i="7" s="1"/>
  <c r="D27" i="7" s="1"/>
  <c r="O26" i="7"/>
  <c r="G16" i="8"/>
  <c r="J16" i="8" s="1"/>
  <c r="A17" i="8" s="1"/>
  <c r="I23" i="6"/>
  <c r="E24" i="6"/>
  <c r="L24" i="6" s="1"/>
  <c r="AB15" i="6"/>
  <c r="J26" i="7"/>
  <c r="D25" i="4"/>
  <c r="R24" i="4"/>
  <c r="E19" i="9"/>
  <c r="F19" i="9" s="1"/>
  <c r="F18" i="3"/>
  <c r="G18" i="3" s="1"/>
  <c r="G20" i="5"/>
  <c r="H20" i="5" s="1"/>
  <c r="J20" i="5" s="1"/>
  <c r="D21" i="5" s="1"/>
  <c r="N10" i="10" l="1"/>
  <c r="P10" i="10"/>
  <c r="Z9" i="11"/>
  <c r="M9" i="11"/>
  <c r="K16" i="8"/>
  <c r="I20" i="5"/>
  <c r="AA5" i="6"/>
  <c r="AB16" i="6"/>
  <c r="O24" i="6"/>
  <c r="E21" i="5"/>
  <c r="H18" i="3"/>
  <c r="N18" i="3" s="1"/>
  <c r="M18" i="3"/>
  <c r="F25" i="4"/>
  <c r="H25" i="4" s="1"/>
  <c r="N25" i="4" s="1"/>
  <c r="E27" i="7"/>
  <c r="F27" i="7" s="1"/>
  <c r="B17" i="8"/>
  <c r="C17" i="8"/>
  <c r="G19" i="9"/>
  <c r="J19" i="9" s="1"/>
  <c r="I19" i="9"/>
  <c r="P19" i="9" s="1"/>
  <c r="G24" i="6"/>
  <c r="H24" i="6" s="1"/>
  <c r="Q10" i="10" l="1"/>
  <c r="A11" i="10"/>
  <c r="O10" i="10"/>
  <c r="Q9" i="11"/>
  <c r="S9" i="11"/>
  <c r="R9" i="11" s="1"/>
  <c r="H17" i="8"/>
  <c r="D17" i="8"/>
  <c r="E17" i="8" s="1"/>
  <c r="F17" i="8" s="1"/>
  <c r="N17" i="8"/>
  <c r="M17" i="8"/>
  <c r="L17" i="8"/>
  <c r="O17" i="8" s="1"/>
  <c r="G27" i="7"/>
  <c r="I27" i="7" s="1"/>
  <c r="D28" i="7" s="1"/>
  <c r="O27" i="7"/>
  <c r="S16" i="8"/>
  <c r="Q16" i="8"/>
  <c r="R16" i="8"/>
  <c r="F21" i="5"/>
  <c r="J27" i="7"/>
  <c r="R25" i="4"/>
  <c r="D26" i="4"/>
  <c r="K19" i="9"/>
  <c r="D20" i="9"/>
  <c r="R18" i="3"/>
  <c r="D19" i="3"/>
  <c r="AB17" i="6"/>
  <c r="AB18" i="6" s="1"/>
  <c r="AC18" i="6" s="1"/>
  <c r="AA7" i="6"/>
  <c r="U21" i="5" l="1"/>
  <c r="G21" i="5"/>
  <c r="T11" i="10"/>
  <c r="C11" i="10"/>
  <c r="R11" i="10"/>
  <c r="S11" i="10"/>
  <c r="B11" i="10"/>
  <c r="G11" i="10"/>
  <c r="F11" i="10"/>
  <c r="D11" i="10"/>
  <c r="E11" i="10" s="1"/>
  <c r="T9" i="11"/>
  <c r="A10" i="11"/>
  <c r="I17" i="8"/>
  <c r="P17" i="8" s="1"/>
  <c r="G17" i="8"/>
  <c r="J17" i="8" s="1"/>
  <c r="A18" i="8" s="1"/>
  <c r="F19" i="3"/>
  <c r="G19" i="3" s="1"/>
  <c r="E28" i="7"/>
  <c r="F28" i="7"/>
  <c r="E20" i="9"/>
  <c r="F20" i="9" s="1"/>
  <c r="F26" i="4"/>
  <c r="H26" i="4" s="1"/>
  <c r="N26" i="4" s="1"/>
  <c r="U11" i="10" l="1"/>
  <c r="H11" i="10" s="1"/>
  <c r="I11" i="10" s="1"/>
  <c r="L11" i="10" s="1"/>
  <c r="I21" i="5"/>
  <c r="H21" i="5"/>
  <c r="J21" i="5" s="1"/>
  <c r="D22" i="5" s="1"/>
  <c r="E22" i="5" s="1"/>
  <c r="X10" i="10"/>
  <c r="Y10" i="10"/>
  <c r="Z10" i="10"/>
  <c r="J11" i="10"/>
  <c r="W10" i="11"/>
  <c r="U10" i="11"/>
  <c r="V10" i="11"/>
  <c r="C10" i="11"/>
  <c r="G10" i="11"/>
  <c r="B10" i="11"/>
  <c r="F10" i="11"/>
  <c r="D10" i="11"/>
  <c r="M11" i="10"/>
  <c r="V11" i="10"/>
  <c r="G28" i="7"/>
  <c r="I28" i="7" s="1"/>
  <c r="O28" i="7"/>
  <c r="D27" i="4"/>
  <c r="R26" i="4"/>
  <c r="I20" i="9"/>
  <c r="P20" i="9" s="1"/>
  <c r="G20" i="9"/>
  <c r="J20" i="9" s="1"/>
  <c r="H19" i="3"/>
  <c r="N19" i="3" s="1"/>
  <c r="M19" i="3"/>
  <c r="K17" i="8"/>
  <c r="F22" i="5" l="1"/>
  <c r="U22" i="5" s="1"/>
  <c r="G22" i="5"/>
  <c r="J28" i="7"/>
  <c r="D29" i="7"/>
  <c r="X10" i="11"/>
  <c r="AB9" i="11"/>
  <c r="AC9" i="11"/>
  <c r="AA9" i="11"/>
  <c r="E10" i="11"/>
  <c r="H10" i="11"/>
  <c r="I10" i="11" s="1"/>
  <c r="J10" i="11" s="1"/>
  <c r="N10" i="11" s="1"/>
  <c r="W11" i="10"/>
  <c r="K11" i="10"/>
  <c r="L18" i="8"/>
  <c r="M18" i="8"/>
  <c r="N18" i="8"/>
  <c r="D18" i="8"/>
  <c r="C18" i="8"/>
  <c r="H18" i="8"/>
  <c r="B18" i="8"/>
  <c r="R19" i="3"/>
  <c r="D20" i="3"/>
  <c r="E29" i="7"/>
  <c r="F29" i="7" s="1"/>
  <c r="K20" i="9"/>
  <c r="D21" i="9"/>
  <c r="F27" i="4"/>
  <c r="H27" i="4" s="1"/>
  <c r="N27" i="4" s="1"/>
  <c r="H22" i="5" l="1"/>
  <c r="J22" i="5" s="1"/>
  <c r="D23" i="5" s="1"/>
  <c r="E23" i="5" s="1"/>
  <c r="F23" i="5" s="1"/>
  <c r="U23" i="5" s="1"/>
  <c r="I22" i="5"/>
  <c r="N11" i="10"/>
  <c r="P11" i="10"/>
  <c r="O18" i="8"/>
  <c r="S17" i="8"/>
  <c r="R17" i="8"/>
  <c r="Q17" i="8"/>
  <c r="G29" i="7"/>
  <c r="I29" i="7" s="1"/>
  <c r="O29" i="7"/>
  <c r="K10" i="11"/>
  <c r="J29" i="7"/>
  <c r="D30" i="7"/>
  <c r="E21" i="9"/>
  <c r="F21" i="9" s="1"/>
  <c r="E18" i="8"/>
  <c r="F18" i="8" s="1"/>
  <c r="D28" i="4"/>
  <c r="R27" i="4"/>
  <c r="F20" i="3"/>
  <c r="G20" i="3"/>
  <c r="O10" i="11" l="1"/>
  <c r="O11" i="10"/>
  <c r="A12" i="10"/>
  <c r="Q11" i="10"/>
  <c r="L10" i="11"/>
  <c r="Y10" i="11" s="1"/>
  <c r="Z10" i="11" s="1"/>
  <c r="I18" i="8"/>
  <c r="P18" i="8" s="1"/>
  <c r="G18" i="8"/>
  <c r="J18" i="8" s="1"/>
  <c r="A19" i="8" s="1"/>
  <c r="I21" i="9"/>
  <c r="P21" i="9" s="1"/>
  <c r="G21" i="9"/>
  <c r="J21" i="9" s="1"/>
  <c r="H20" i="3"/>
  <c r="N20" i="3" s="1"/>
  <c r="M20" i="3"/>
  <c r="E30" i="7"/>
  <c r="F30" i="7" s="1"/>
  <c r="F28" i="4"/>
  <c r="H28" i="4" s="1"/>
  <c r="N28" i="4" s="1"/>
  <c r="G23" i="5"/>
  <c r="I23" i="5" s="1"/>
  <c r="P10" i="11" l="1"/>
  <c r="M10" i="11"/>
  <c r="S10" i="11" s="1"/>
  <c r="G12" i="10"/>
  <c r="B12" i="10"/>
  <c r="D12" i="10"/>
  <c r="E12" i="10" s="1"/>
  <c r="F12" i="10"/>
  <c r="C12" i="10"/>
  <c r="T12" i="10"/>
  <c r="S12" i="10"/>
  <c r="R12" i="10"/>
  <c r="G30" i="7"/>
  <c r="I30" i="7" s="1"/>
  <c r="O30" i="7"/>
  <c r="H23" i="5"/>
  <c r="J23" i="5" s="1"/>
  <c r="D24" i="5" s="1"/>
  <c r="E24" i="5" s="1"/>
  <c r="R28" i="4"/>
  <c r="D29" i="4"/>
  <c r="D21" i="3"/>
  <c r="R20" i="3"/>
  <c r="K21" i="9"/>
  <c r="D22" i="9"/>
  <c r="K18" i="8"/>
  <c r="J30" i="7" l="1"/>
  <c r="D31" i="7"/>
  <c r="E31" i="7" s="1"/>
  <c r="F31" i="7" s="1"/>
  <c r="U12" i="10"/>
  <c r="A11" i="11"/>
  <c r="Z11" i="10"/>
  <c r="Y11" i="10"/>
  <c r="X11" i="10"/>
  <c r="H12" i="10"/>
  <c r="N19" i="8"/>
  <c r="M19" i="8"/>
  <c r="L19" i="8"/>
  <c r="Q10" i="11"/>
  <c r="T10" i="11" s="1"/>
  <c r="D19" i="8"/>
  <c r="E19" i="8" s="1"/>
  <c r="F19" i="8" s="1"/>
  <c r="B19" i="8"/>
  <c r="H19" i="8"/>
  <c r="C19" i="8"/>
  <c r="E22" i="9"/>
  <c r="F22" i="9"/>
  <c r="F21" i="3"/>
  <c r="G21" i="3" s="1"/>
  <c r="F29" i="4"/>
  <c r="H29" i="4" s="1"/>
  <c r="N29" i="4" s="1"/>
  <c r="F24" i="5"/>
  <c r="O19" i="8" l="1"/>
  <c r="W11" i="11"/>
  <c r="U11" i="11"/>
  <c r="V11" i="11"/>
  <c r="I12" i="10"/>
  <c r="J12" i="10" s="1"/>
  <c r="M12" i="10" s="1"/>
  <c r="G24" i="5"/>
  <c r="U24" i="5"/>
  <c r="R18" i="8"/>
  <c r="S18" i="8"/>
  <c r="Q18" i="8"/>
  <c r="G31" i="7"/>
  <c r="I31" i="7" s="1"/>
  <c r="O31" i="7"/>
  <c r="R10" i="11"/>
  <c r="G11" i="11"/>
  <c r="C11" i="11"/>
  <c r="D11" i="11"/>
  <c r="F11" i="11"/>
  <c r="B11" i="11"/>
  <c r="H21" i="3"/>
  <c r="N21" i="3" s="1"/>
  <c r="M21" i="3"/>
  <c r="J31" i="7"/>
  <c r="D32" i="7"/>
  <c r="G19" i="8"/>
  <c r="J19" i="8" s="1"/>
  <c r="A20" i="8" s="1"/>
  <c r="I19" i="8"/>
  <c r="P19" i="8" s="1"/>
  <c r="D30" i="4"/>
  <c r="R29" i="4"/>
  <c r="G22" i="9"/>
  <c r="J22" i="9" s="1"/>
  <c r="I22" i="9"/>
  <c r="P22" i="9" s="1"/>
  <c r="X11" i="11" l="1"/>
  <c r="I24" i="5"/>
  <c r="H24" i="5"/>
  <c r="J24" i="5" s="1"/>
  <c r="D25" i="5" s="1"/>
  <c r="H11" i="11"/>
  <c r="E11" i="11"/>
  <c r="I11" i="11" s="1"/>
  <c r="J11" i="11" s="1"/>
  <c r="AC10" i="11"/>
  <c r="AA10" i="11"/>
  <c r="AB10" i="11"/>
  <c r="L12" i="10"/>
  <c r="V12" i="10"/>
  <c r="E32" i="7"/>
  <c r="F32" i="7" s="1"/>
  <c r="D23" i="9"/>
  <c r="K22" i="9"/>
  <c r="F30" i="4"/>
  <c r="H30" i="4" s="1"/>
  <c r="N30" i="4" s="1"/>
  <c r="E25" i="5"/>
  <c r="F25" i="5" s="1"/>
  <c r="U25" i="5" s="1"/>
  <c r="K19" i="8"/>
  <c r="D22" i="3"/>
  <c r="R21" i="3"/>
  <c r="W12" i="10" l="1"/>
  <c r="K12" i="10"/>
  <c r="G32" i="7"/>
  <c r="I32" i="7" s="1"/>
  <c r="O32" i="7"/>
  <c r="N20" i="8"/>
  <c r="L20" i="8"/>
  <c r="M20" i="8"/>
  <c r="N11" i="11"/>
  <c r="K11" i="11"/>
  <c r="J32" i="7"/>
  <c r="D33" i="7"/>
  <c r="E23" i="9"/>
  <c r="F23" i="9"/>
  <c r="H20" i="8"/>
  <c r="D20" i="8"/>
  <c r="C20" i="8"/>
  <c r="B20" i="8"/>
  <c r="G25" i="5"/>
  <c r="I25" i="5" s="1"/>
  <c r="F22" i="3"/>
  <c r="G22" i="3" s="1"/>
  <c r="R30" i="4"/>
  <c r="D31" i="4"/>
  <c r="O20" i="8" l="1"/>
  <c r="L11" i="11"/>
  <c r="P12" i="10"/>
  <c r="N12" i="10"/>
  <c r="R19" i="8"/>
  <c r="S19" i="8"/>
  <c r="Q19" i="8"/>
  <c r="O11" i="11"/>
  <c r="H25" i="5"/>
  <c r="J25" i="5" s="1"/>
  <c r="D26" i="5" s="1"/>
  <c r="E26" i="5" s="1"/>
  <c r="F26" i="5" s="1"/>
  <c r="U26" i="5" s="1"/>
  <c r="M22" i="3"/>
  <c r="H22" i="3"/>
  <c r="N22" i="3" s="1"/>
  <c r="E33" i="7"/>
  <c r="F33" i="7" s="1"/>
  <c r="F31" i="4"/>
  <c r="H31" i="4" s="1"/>
  <c r="N31" i="4" s="1"/>
  <c r="G23" i="9"/>
  <c r="J23" i="9" s="1"/>
  <c r="I23" i="9"/>
  <c r="P23" i="9" s="1"/>
  <c r="E20" i="8"/>
  <c r="F20" i="8" s="1"/>
  <c r="P11" i="11" l="1"/>
  <c r="Y11" i="11"/>
  <c r="Z11" i="11"/>
  <c r="M11" i="11"/>
  <c r="O12" i="10"/>
  <c r="Q12" i="10"/>
  <c r="A13" i="10"/>
  <c r="G33" i="7"/>
  <c r="I33" i="7" s="1"/>
  <c r="O33" i="7"/>
  <c r="D32" i="4"/>
  <c r="R31" i="4"/>
  <c r="G20" i="8"/>
  <c r="J20" i="8" s="1"/>
  <c r="A21" i="8" s="1"/>
  <c r="I20" i="8"/>
  <c r="P20" i="8" s="1"/>
  <c r="K23" i="9"/>
  <c r="D24" i="9"/>
  <c r="G26" i="5"/>
  <c r="I26" i="5" s="1"/>
  <c r="D23" i="3"/>
  <c r="R22" i="3"/>
  <c r="D34" i="7" l="1"/>
  <c r="E34" i="7" s="1"/>
  <c r="F34" i="7" s="1"/>
  <c r="J33" i="7"/>
  <c r="S11" i="11"/>
  <c r="Q11" i="11"/>
  <c r="R11" i="11" s="1"/>
  <c r="G13" i="10"/>
  <c r="B13" i="10"/>
  <c r="D13" i="10"/>
  <c r="F13" i="10"/>
  <c r="C13" i="10"/>
  <c r="T13" i="10"/>
  <c r="S13" i="10"/>
  <c r="R13" i="10"/>
  <c r="K20" i="8"/>
  <c r="F23" i="3"/>
  <c r="G23" i="3"/>
  <c r="F32" i="4"/>
  <c r="H32" i="4" s="1"/>
  <c r="N32" i="4" s="1"/>
  <c r="H26" i="5"/>
  <c r="J26" i="5" s="1"/>
  <c r="D27" i="5" s="1"/>
  <c r="E24" i="9"/>
  <c r="F24" i="9" s="1"/>
  <c r="U13" i="10" l="1"/>
  <c r="H13" i="10" s="1"/>
  <c r="T11" i="11"/>
  <c r="A12" i="11"/>
  <c r="Z12" i="10"/>
  <c r="Y12" i="10"/>
  <c r="X12" i="10"/>
  <c r="E13" i="10"/>
  <c r="N21" i="8"/>
  <c r="M21" i="8"/>
  <c r="L21" i="8"/>
  <c r="G34" i="7"/>
  <c r="I34" i="7" s="1"/>
  <c r="O34" i="7"/>
  <c r="J34" i="7"/>
  <c r="D35" i="7"/>
  <c r="I24" i="9"/>
  <c r="P24" i="9" s="1"/>
  <c r="G24" i="9"/>
  <c r="J24" i="9" s="1"/>
  <c r="D33" i="4"/>
  <c r="R32" i="4"/>
  <c r="M23" i="3"/>
  <c r="H23" i="3"/>
  <c r="N23" i="3" s="1"/>
  <c r="E27" i="5"/>
  <c r="H21" i="8"/>
  <c r="D21" i="8"/>
  <c r="E21" i="8" s="1"/>
  <c r="F21" i="8" s="1"/>
  <c r="C21" i="8"/>
  <c r="B21" i="8"/>
  <c r="C12" i="11" l="1"/>
  <c r="G12" i="11"/>
  <c r="F12" i="11"/>
  <c r="D12" i="11"/>
  <c r="B12" i="11"/>
  <c r="V12" i="11"/>
  <c r="W12" i="11"/>
  <c r="U12" i="11"/>
  <c r="X12" i="11"/>
  <c r="I13" i="10"/>
  <c r="J13" i="10"/>
  <c r="M13" i="10" s="1"/>
  <c r="O21" i="8"/>
  <c r="S20" i="8"/>
  <c r="R20" i="8"/>
  <c r="Q20" i="8"/>
  <c r="G21" i="8"/>
  <c r="J21" i="8" s="1"/>
  <c r="A22" i="8" s="1"/>
  <c r="I21" i="8"/>
  <c r="P21" i="8" s="1"/>
  <c r="F33" i="4"/>
  <c r="H33" i="4" s="1"/>
  <c r="N33" i="4" s="1"/>
  <c r="K24" i="9"/>
  <c r="D25" i="9"/>
  <c r="F27" i="5"/>
  <c r="D24" i="3"/>
  <c r="R23" i="3"/>
  <c r="E35" i="7"/>
  <c r="F35" i="7" s="1"/>
  <c r="AB11" i="11" l="1"/>
  <c r="AC11" i="11"/>
  <c r="AA11" i="11"/>
  <c r="E12" i="11"/>
  <c r="H12" i="11"/>
  <c r="L13" i="10"/>
  <c r="V13" i="10"/>
  <c r="G27" i="5"/>
  <c r="U27" i="5"/>
  <c r="G35" i="7"/>
  <c r="I35" i="7" s="1"/>
  <c r="O35" i="7"/>
  <c r="R33" i="4"/>
  <c r="D34" i="4"/>
  <c r="K21" i="8"/>
  <c r="F24" i="3"/>
  <c r="G24" i="3" s="1"/>
  <c r="E25" i="9"/>
  <c r="F25" i="9" s="1"/>
  <c r="I27" i="5" l="1"/>
  <c r="H27" i="5"/>
  <c r="J27" i="5" s="1"/>
  <c r="D28" i="5" s="1"/>
  <c r="E28" i="5" s="1"/>
  <c r="F28" i="5" s="1"/>
  <c r="U28" i="5" s="1"/>
  <c r="D36" i="7"/>
  <c r="E36" i="7" s="1"/>
  <c r="F36" i="7" s="1"/>
  <c r="J35" i="7"/>
  <c r="I12" i="11"/>
  <c r="J12" i="11" s="1"/>
  <c r="N12" i="11" s="1"/>
  <c r="K13" i="10"/>
  <c r="W13" i="10"/>
  <c r="M22" i="8"/>
  <c r="N22" i="8"/>
  <c r="L22" i="8"/>
  <c r="M24" i="3"/>
  <c r="H24" i="3"/>
  <c r="N24" i="3" s="1"/>
  <c r="I25" i="9"/>
  <c r="P25" i="9" s="1"/>
  <c r="G25" i="9"/>
  <c r="J25" i="9" s="1"/>
  <c r="F34" i="4"/>
  <c r="H34" i="4" s="1"/>
  <c r="N34" i="4" s="1"/>
  <c r="C22" i="8"/>
  <c r="B22" i="8"/>
  <c r="H22" i="8"/>
  <c r="D22" i="8"/>
  <c r="E22" i="8" s="1"/>
  <c r="F22" i="8" s="1"/>
  <c r="K12" i="11" l="1"/>
  <c r="N13" i="10"/>
  <c r="P13" i="10"/>
  <c r="O22" i="8"/>
  <c r="G36" i="7"/>
  <c r="I36" i="7" s="1"/>
  <c r="O36" i="7"/>
  <c r="Q21" i="8"/>
  <c r="R21" i="8"/>
  <c r="S21" i="8"/>
  <c r="D37" i="7"/>
  <c r="J36" i="7"/>
  <c r="I22" i="8"/>
  <c r="G22" i="8"/>
  <c r="J22" i="8" s="1"/>
  <c r="A23" i="8" s="1"/>
  <c r="G28" i="5"/>
  <c r="H28" i="5" s="1"/>
  <c r="J28" i="5" s="1"/>
  <c r="D29" i="5" s="1"/>
  <c r="D25" i="3"/>
  <c r="R24" i="3"/>
  <c r="D35" i="4"/>
  <c r="R34" i="4"/>
  <c r="K25" i="9"/>
  <c r="D26" i="9"/>
  <c r="O12" i="11" l="1"/>
  <c r="L12" i="11"/>
  <c r="A14" i="10"/>
  <c r="Q13" i="10"/>
  <c r="O13" i="10"/>
  <c r="P22" i="8"/>
  <c r="I28" i="5"/>
  <c r="E29" i="5"/>
  <c r="F35" i="4"/>
  <c r="H35" i="4" s="1"/>
  <c r="N35" i="4" s="1"/>
  <c r="E37" i="7"/>
  <c r="F37" i="7" s="1"/>
  <c r="E26" i="9"/>
  <c r="F26" i="9" s="1"/>
  <c r="F25" i="3"/>
  <c r="G25" i="3" s="1"/>
  <c r="K22" i="8"/>
  <c r="P12" i="11" l="1"/>
  <c r="Y12" i="11"/>
  <c r="D14" i="10"/>
  <c r="E14" i="10" s="1"/>
  <c r="F14" i="10"/>
  <c r="G14" i="10"/>
  <c r="B14" i="10"/>
  <c r="T14" i="10"/>
  <c r="S14" i="10"/>
  <c r="R14" i="10"/>
  <c r="U14" i="10" s="1"/>
  <c r="C14" i="10"/>
  <c r="G37" i="7"/>
  <c r="I37" i="7" s="1"/>
  <c r="O37" i="7"/>
  <c r="M23" i="8"/>
  <c r="L23" i="8"/>
  <c r="N23" i="8"/>
  <c r="F29" i="5"/>
  <c r="H25" i="3"/>
  <c r="N25" i="3" s="1"/>
  <c r="M25" i="3"/>
  <c r="G26" i="9"/>
  <c r="J26" i="9" s="1"/>
  <c r="I26" i="9"/>
  <c r="P26" i="9" s="1"/>
  <c r="D36" i="4"/>
  <c r="R35" i="4"/>
  <c r="H23" i="8"/>
  <c r="D23" i="8"/>
  <c r="C23" i="8"/>
  <c r="B23" i="8"/>
  <c r="O23" i="8" l="1"/>
  <c r="Z12" i="11"/>
  <c r="M12" i="11"/>
  <c r="J37" i="7"/>
  <c r="D38" i="7"/>
  <c r="Z13" i="10"/>
  <c r="Y13" i="10"/>
  <c r="X13" i="10"/>
  <c r="H14" i="10"/>
  <c r="G29" i="5"/>
  <c r="U29" i="5"/>
  <c r="S22" i="8"/>
  <c r="Q22" i="8"/>
  <c r="R22" i="8"/>
  <c r="D27" i="9"/>
  <c r="K26" i="9"/>
  <c r="R25" i="3"/>
  <c r="D26" i="3"/>
  <c r="E23" i="8"/>
  <c r="F23" i="8" s="1"/>
  <c r="F36" i="4"/>
  <c r="H36" i="4" s="1"/>
  <c r="N36" i="4" s="1"/>
  <c r="E38" i="7"/>
  <c r="F38" i="7" s="1"/>
  <c r="Q12" i="11" l="1"/>
  <c r="S12" i="11"/>
  <c r="I29" i="5"/>
  <c r="G30" i="5" s="1"/>
  <c r="I30" i="5" s="1"/>
  <c r="H29" i="5"/>
  <c r="J29" i="5" s="1"/>
  <c r="D30" i="5" s="1"/>
  <c r="E30" i="5" s="1"/>
  <c r="F30" i="5" s="1"/>
  <c r="U30" i="5" s="1"/>
  <c r="I14" i="10"/>
  <c r="J14" i="10" s="1"/>
  <c r="G38" i="7"/>
  <c r="I38" i="7" s="1"/>
  <c r="O38" i="7"/>
  <c r="R36" i="4"/>
  <c r="D37" i="4"/>
  <c r="I23" i="8"/>
  <c r="P23" i="8" s="1"/>
  <c r="G23" i="8"/>
  <c r="J23" i="8" s="1"/>
  <c r="A24" i="8" s="1"/>
  <c r="F26" i="3"/>
  <c r="G26" i="3" s="1"/>
  <c r="E27" i="9"/>
  <c r="F27" i="9" s="1"/>
  <c r="A13" i="11" l="1"/>
  <c r="T12" i="11"/>
  <c r="R12" i="11"/>
  <c r="J38" i="7"/>
  <c r="D39" i="7"/>
  <c r="E39" i="7" s="1"/>
  <c r="F39" i="7" s="1"/>
  <c r="D13" i="11"/>
  <c r="F13" i="11"/>
  <c r="G13" i="11"/>
  <c r="B13" i="11"/>
  <c r="C13" i="11"/>
  <c r="V13" i="11"/>
  <c r="L14" i="10"/>
  <c r="M14" i="10"/>
  <c r="V14" i="10"/>
  <c r="H30" i="5"/>
  <c r="J30" i="5" s="1"/>
  <c r="D31" i="5" s="1"/>
  <c r="E31" i="5" s="1"/>
  <c r="H26" i="3"/>
  <c r="N26" i="3" s="1"/>
  <c r="M26" i="3"/>
  <c r="F37" i="4"/>
  <c r="H37" i="4" s="1"/>
  <c r="N37" i="4" s="1"/>
  <c r="K23" i="8"/>
  <c r="G27" i="9"/>
  <c r="J27" i="9" s="1"/>
  <c r="I27" i="9"/>
  <c r="P27" i="9" s="1"/>
  <c r="W13" i="11" l="1"/>
  <c r="U13" i="11"/>
  <c r="X13" i="11" s="1"/>
  <c r="AB12" i="11"/>
  <c r="AC12" i="11"/>
  <c r="AA12" i="11"/>
  <c r="E13" i="11"/>
  <c r="H13" i="11"/>
  <c r="I13" i="11"/>
  <c r="W14" i="10"/>
  <c r="K14" i="10"/>
  <c r="G39" i="7"/>
  <c r="I39" i="7" s="1"/>
  <c r="O39" i="7"/>
  <c r="M24" i="8"/>
  <c r="N24" i="8"/>
  <c r="L24" i="8"/>
  <c r="O24" i="8" s="1"/>
  <c r="D38" i="4"/>
  <c r="R37" i="4"/>
  <c r="F31" i="5"/>
  <c r="U31" i="5" s="1"/>
  <c r="R26" i="3"/>
  <c r="D27" i="3"/>
  <c r="B24" i="8"/>
  <c r="H24" i="8"/>
  <c r="D24" i="8"/>
  <c r="E24" i="8" s="1"/>
  <c r="C24" i="8"/>
  <c r="K27" i="9"/>
  <c r="D28" i="9"/>
  <c r="D40" i="7" l="1"/>
  <c r="J39" i="7"/>
  <c r="J13" i="11"/>
  <c r="N14" i="10"/>
  <c r="P14" i="10"/>
  <c r="R23" i="8"/>
  <c r="Q23" i="8"/>
  <c r="S23" i="8"/>
  <c r="F24" i="8"/>
  <c r="F38" i="4"/>
  <c r="H38" i="4" s="1"/>
  <c r="N38" i="4" s="1"/>
  <c r="E28" i="9"/>
  <c r="F28" i="9" s="1"/>
  <c r="F27" i="3"/>
  <c r="G27" i="3" s="1"/>
  <c r="E40" i="7"/>
  <c r="F40" i="7" s="1"/>
  <c r="G31" i="5"/>
  <c r="I31" i="5" s="1"/>
  <c r="K13" i="11" l="1"/>
  <c r="N13" i="11"/>
  <c r="O14" i="10"/>
  <c r="A15" i="10"/>
  <c r="Q14" i="10"/>
  <c r="G40" i="7"/>
  <c r="I40" i="7" s="1"/>
  <c r="O40" i="7"/>
  <c r="D41" i="7"/>
  <c r="J40" i="7"/>
  <c r="H27" i="3"/>
  <c r="N27" i="3" s="1"/>
  <c r="M27" i="3"/>
  <c r="I28" i="9"/>
  <c r="P28" i="9" s="1"/>
  <c r="G28" i="9"/>
  <c r="J28" i="9" s="1"/>
  <c r="R38" i="4"/>
  <c r="D39" i="4"/>
  <c r="H31" i="5"/>
  <c r="J31" i="5" s="1"/>
  <c r="D32" i="5" s="1"/>
  <c r="G24" i="8"/>
  <c r="J24" i="8" s="1"/>
  <c r="A25" i="8" s="1"/>
  <c r="I24" i="8"/>
  <c r="P24" i="8" s="1"/>
  <c r="O13" i="11" l="1"/>
  <c r="L13" i="11"/>
  <c r="G15" i="10"/>
  <c r="B15" i="10"/>
  <c r="D15" i="10"/>
  <c r="E15" i="10" s="1"/>
  <c r="F15" i="10"/>
  <c r="C15" i="10"/>
  <c r="T15" i="10"/>
  <c r="S15" i="10"/>
  <c r="R15" i="10"/>
  <c r="U15" i="10" s="1"/>
  <c r="E41" i="7"/>
  <c r="F41" i="7" s="1"/>
  <c r="F39" i="4"/>
  <c r="H39" i="4" s="1"/>
  <c r="N39" i="4" s="1"/>
  <c r="K28" i="9"/>
  <c r="D29" i="9"/>
  <c r="E32" i="5"/>
  <c r="K24" i="8"/>
  <c r="R27" i="3"/>
  <c r="D28" i="3"/>
  <c r="P13" i="11" l="1"/>
  <c r="Y13" i="11"/>
  <c r="Y14" i="10"/>
  <c r="Z14" i="10"/>
  <c r="X14" i="10"/>
  <c r="H15" i="10"/>
  <c r="G41" i="7"/>
  <c r="I41" i="7" s="1"/>
  <c r="O41" i="7"/>
  <c r="M25" i="8"/>
  <c r="N25" i="8"/>
  <c r="L25" i="8"/>
  <c r="O25" i="8" s="1"/>
  <c r="D40" i="4"/>
  <c r="R39" i="4"/>
  <c r="D42" i="7"/>
  <c r="J41" i="7"/>
  <c r="E29" i="9"/>
  <c r="F29" i="9" s="1"/>
  <c r="B25" i="8"/>
  <c r="H25" i="8"/>
  <c r="D25" i="8"/>
  <c r="C25" i="8"/>
  <c r="F32" i="5"/>
  <c r="U32" i="5" s="1"/>
  <c r="F28" i="3"/>
  <c r="G28" i="3"/>
  <c r="Z13" i="11" l="1"/>
  <c r="M13" i="11"/>
  <c r="I15" i="10"/>
  <c r="S24" i="8"/>
  <c r="R24" i="8"/>
  <c r="Q24" i="8"/>
  <c r="I29" i="9"/>
  <c r="P29" i="9" s="1"/>
  <c r="G29" i="9"/>
  <c r="J29" i="9" s="1"/>
  <c r="H28" i="3"/>
  <c r="N28" i="3" s="1"/>
  <c r="M28" i="3"/>
  <c r="E25" i="8"/>
  <c r="F25" i="8" s="1"/>
  <c r="E42" i="7"/>
  <c r="F42" i="7" s="1"/>
  <c r="G32" i="5"/>
  <c r="I32" i="5" s="1"/>
  <c r="F40" i="4"/>
  <c r="H40" i="4" s="1"/>
  <c r="N40" i="4" s="1"/>
  <c r="L15" i="10" l="1"/>
  <c r="J15" i="10"/>
  <c r="S13" i="11"/>
  <c r="Q13" i="11"/>
  <c r="G42" i="7"/>
  <c r="I42" i="7" s="1"/>
  <c r="O42" i="7"/>
  <c r="D29" i="3"/>
  <c r="R28" i="3"/>
  <c r="G25" i="8"/>
  <c r="J25" i="8" s="1"/>
  <c r="A26" i="8" s="1"/>
  <c r="I25" i="8"/>
  <c r="P25" i="8" s="1"/>
  <c r="K29" i="9"/>
  <c r="D30" i="9"/>
  <c r="D41" i="4"/>
  <c r="R40" i="4"/>
  <c r="H32" i="5"/>
  <c r="J32" i="5" s="1"/>
  <c r="D33" i="5" s="1"/>
  <c r="J42" i="7" l="1"/>
  <c r="D43" i="7"/>
  <c r="E43" i="7" s="1"/>
  <c r="F43" i="7" s="1"/>
  <c r="V15" i="10"/>
  <c r="W15" i="10" s="1"/>
  <c r="M15" i="10"/>
  <c r="K15" i="10"/>
  <c r="R13" i="11"/>
  <c r="T13" i="11"/>
  <c r="A14" i="11"/>
  <c r="F29" i="3"/>
  <c r="G29" i="3" s="1"/>
  <c r="E33" i="5"/>
  <c r="F33" i="5" s="1"/>
  <c r="U33" i="5" s="1"/>
  <c r="K25" i="8"/>
  <c r="F41" i="4"/>
  <c r="H41" i="4" s="1"/>
  <c r="N41" i="4" s="1"/>
  <c r="E30" i="9"/>
  <c r="F30" i="9"/>
  <c r="N15" i="10" l="1"/>
  <c r="P15" i="10"/>
  <c r="F14" i="11"/>
  <c r="G14" i="11"/>
  <c r="B14" i="11"/>
  <c r="C14" i="11"/>
  <c r="D14" i="11"/>
  <c r="V14" i="11"/>
  <c r="U14" i="11"/>
  <c r="W14" i="11"/>
  <c r="G43" i="7"/>
  <c r="I43" i="7" s="1"/>
  <c r="D44" i="7" s="1"/>
  <c r="O43" i="7"/>
  <c r="L26" i="8"/>
  <c r="M26" i="8"/>
  <c r="N26" i="8"/>
  <c r="J43" i="7"/>
  <c r="R41" i="4"/>
  <c r="D42" i="4"/>
  <c r="H29" i="3"/>
  <c r="N29" i="3" s="1"/>
  <c r="M29" i="3"/>
  <c r="G30" i="9"/>
  <c r="J30" i="9" s="1"/>
  <c r="I30" i="9"/>
  <c r="P30" i="9" s="1"/>
  <c r="G33" i="5"/>
  <c r="H33" i="5" s="1"/>
  <c r="J33" i="5" s="1"/>
  <c r="D34" i="5" s="1"/>
  <c r="H26" i="8"/>
  <c r="D26" i="8"/>
  <c r="E26" i="8" s="1"/>
  <c r="C26" i="8"/>
  <c r="B26" i="8"/>
  <c r="O15" i="10" l="1"/>
  <c r="Q15" i="10"/>
  <c r="A16" i="10"/>
  <c r="X14" i="11"/>
  <c r="I14" i="11" s="1"/>
  <c r="AA13" i="11"/>
  <c r="AC13" i="11"/>
  <c r="AB13" i="11"/>
  <c r="H14" i="11"/>
  <c r="E14" i="11"/>
  <c r="O26" i="8"/>
  <c r="R25" i="8"/>
  <c r="S25" i="8"/>
  <c r="Q25" i="8"/>
  <c r="I33" i="5"/>
  <c r="E34" i="5"/>
  <c r="G34" i="5" s="1"/>
  <c r="H34" i="5" s="1"/>
  <c r="J34" i="5" s="1"/>
  <c r="D35" i="5" s="1"/>
  <c r="D30" i="3"/>
  <c r="R29" i="3"/>
  <c r="F42" i="4"/>
  <c r="H42" i="4" s="1"/>
  <c r="N42" i="4" s="1"/>
  <c r="F26" i="8"/>
  <c r="D31" i="9"/>
  <c r="K30" i="9"/>
  <c r="E44" i="7"/>
  <c r="F44" i="7" s="1"/>
  <c r="G16" i="10" l="1"/>
  <c r="F16" i="10"/>
  <c r="B16" i="10"/>
  <c r="Z15" i="10" s="1"/>
  <c r="T16" i="10"/>
  <c r="D16" i="10"/>
  <c r="E16" i="10" s="1"/>
  <c r="S16" i="10"/>
  <c r="R16" i="10"/>
  <c r="U16" i="10" s="1"/>
  <c r="H16" i="10" s="1"/>
  <c r="C16" i="10"/>
  <c r="J14" i="11"/>
  <c r="Y15" i="10"/>
  <c r="X15" i="10"/>
  <c r="G44" i="7"/>
  <c r="I44" i="7" s="1"/>
  <c r="O44" i="7"/>
  <c r="I34" i="5"/>
  <c r="E35" i="5"/>
  <c r="E31" i="9"/>
  <c r="F31" i="9" s="1"/>
  <c r="J44" i="7"/>
  <c r="D45" i="7"/>
  <c r="F30" i="3"/>
  <c r="G30" i="3" s="1"/>
  <c r="G26" i="8"/>
  <c r="J26" i="8" s="1"/>
  <c r="A27" i="8" s="1"/>
  <c r="I26" i="8"/>
  <c r="P26" i="8" s="1"/>
  <c r="D43" i="4"/>
  <c r="R42" i="4"/>
  <c r="N14" i="11" l="1"/>
  <c r="K14" i="11"/>
  <c r="L14" i="11" s="1"/>
  <c r="P14" i="11" s="1"/>
  <c r="I16" i="10"/>
  <c r="G35" i="5"/>
  <c r="M30" i="3"/>
  <c r="H30" i="3"/>
  <c r="N30" i="3" s="1"/>
  <c r="E45" i="7"/>
  <c r="F45" i="7" s="1"/>
  <c r="G31" i="9"/>
  <c r="J31" i="9" s="1"/>
  <c r="I31" i="9"/>
  <c r="P31" i="9" s="1"/>
  <c r="F43" i="4"/>
  <c r="H43" i="4" s="1"/>
  <c r="N43" i="4" s="1"/>
  <c r="K26" i="8"/>
  <c r="H35" i="5" l="1"/>
  <c r="J35" i="5" s="1"/>
  <c r="D36" i="5" s="1"/>
  <c r="E36" i="5" s="1"/>
  <c r="I35" i="5"/>
  <c r="O14" i="11"/>
  <c r="Y14" i="11"/>
  <c r="J16" i="10"/>
  <c r="L16" i="10"/>
  <c r="V16" i="10"/>
  <c r="W16" i="10" s="1"/>
  <c r="G45" i="7"/>
  <c r="I45" i="7" s="1"/>
  <c r="O45" i="7"/>
  <c r="M27" i="8"/>
  <c r="N27" i="8"/>
  <c r="L27" i="8"/>
  <c r="G36" i="5"/>
  <c r="D44" i="4"/>
  <c r="R43" i="4"/>
  <c r="K31" i="9"/>
  <c r="D32" i="9"/>
  <c r="D31" i="3"/>
  <c r="R30" i="3"/>
  <c r="D27" i="8"/>
  <c r="E27" i="8" s="1"/>
  <c r="F27" i="8" s="1"/>
  <c r="B27" i="8"/>
  <c r="H27" i="8"/>
  <c r="C27" i="8"/>
  <c r="J45" i="7" l="1"/>
  <c r="D46" i="7"/>
  <c r="E46" i="7" s="1"/>
  <c r="F46" i="7" s="1"/>
  <c r="O27" i="8"/>
  <c r="Z14" i="11"/>
  <c r="M14" i="11"/>
  <c r="M16" i="10"/>
  <c r="K16" i="10"/>
  <c r="S26" i="8"/>
  <c r="Q26" i="8"/>
  <c r="R26" i="8"/>
  <c r="H36" i="5"/>
  <c r="J36" i="5" s="1"/>
  <c r="D37" i="5" s="1"/>
  <c r="I36" i="5"/>
  <c r="G27" i="8"/>
  <c r="J27" i="8" s="1"/>
  <c r="A28" i="8" s="1"/>
  <c r="I27" i="8"/>
  <c r="P27" i="8" s="1"/>
  <c r="E32" i="9"/>
  <c r="F32" i="9"/>
  <c r="F31" i="3"/>
  <c r="G31" i="3" s="1"/>
  <c r="U3" i="7"/>
  <c r="F44" i="4"/>
  <c r="H44" i="4" s="1"/>
  <c r="N44" i="4" s="1"/>
  <c r="S14" i="11" l="1"/>
  <c r="Q14" i="11"/>
  <c r="N16" i="10"/>
  <c r="P16" i="10"/>
  <c r="O16" i="10"/>
  <c r="A15" i="11"/>
  <c r="T14" i="11"/>
  <c r="R14" i="11"/>
  <c r="Q16" i="10"/>
  <c r="A17" i="10"/>
  <c r="AB12" i="5"/>
  <c r="E37" i="5"/>
  <c r="R44" i="4"/>
  <c r="D45" i="4"/>
  <c r="G46" i="7"/>
  <c r="U4" i="7"/>
  <c r="M31" i="3"/>
  <c r="H31" i="3"/>
  <c r="N31" i="3" s="1"/>
  <c r="I32" i="9"/>
  <c r="P32" i="9" s="1"/>
  <c r="G32" i="9"/>
  <c r="J32" i="9" s="1"/>
  <c r="K27" i="8"/>
  <c r="F15" i="11" l="1"/>
  <c r="G15" i="11"/>
  <c r="C15" i="11"/>
  <c r="B15" i="11"/>
  <c r="D15" i="11"/>
  <c r="U15" i="11"/>
  <c r="V15" i="11"/>
  <c r="W15" i="11"/>
  <c r="T17" i="10"/>
  <c r="S17" i="10"/>
  <c r="R17" i="10"/>
  <c r="U17" i="10" s="1"/>
  <c r="C17" i="10"/>
  <c r="D17" i="10"/>
  <c r="E17" i="10" s="1"/>
  <c r="B17" i="10"/>
  <c r="G17" i="10"/>
  <c r="F17" i="10"/>
  <c r="G37" i="5"/>
  <c r="H37" i="5" s="1"/>
  <c r="L37" i="5"/>
  <c r="N28" i="8"/>
  <c r="M28" i="8"/>
  <c r="L28" i="8"/>
  <c r="O28" i="8" s="1"/>
  <c r="K32" i="9"/>
  <c r="D33" i="9"/>
  <c r="H46" i="7"/>
  <c r="D28" i="8"/>
  <c r="C28" i="8"/>
  <c r="H28" i="8"/>
  <c r="B28" i="8"/>
  <c r="F45" i="4"/>
  <c r="H45" i="4" s="1"/>
  <c r="N45" i="4" s="1"/>
  <c r="D32" i="3"/>
  <c r="R31" i="3"/>
  <c r="X15" i="11" l="1"/>
  <c r="AC14" i="11"/>
  <c r="AA14" i="11"/>
  <c r="AB14" i="11"/>
  <c r="E15" i="11"/>
  <c r="H15" i="11"/>
  <c r="I15" i="11" s="1"/>
  <c r="Y16" i="10"/>
  <c r="Z16" i="10"/>
  <c r="X16" i="10"/>
  <c r="H17" i="10"/>
  <c r="O37" i="5"/>
  <c r="AA4" i="5" s="1"/>
  <c r="AB13" i="5"/>
  <c r="AB14" i="5" s="1"/>
  <c r="N37" i="5"/>
  <c r="I46" i="7"/>
  <c r="O46" i="7"/>
  <c r="S27" i="8"/>
  <c r="Q27" i="8"/>
  <c r="R27" i="8"/>
  <c r="D46" i="4"/>
  <c r="R45" i="4"/>
  <c r="E28" i="8"/>
  <c r="F28" i="8" s="1"/>
  <c r="U13" i="7"/>
  <c r="U15" i="7" s="1"/>
  <c r="V14" i="7"/>
  <c r="V15" i="7" s="1"/>
  <c r="U5" i="7"/>
  <c r="U6" i="7"/>
  <c r="E33" i="9"/>
  <c r="F33" i="9"/>
  <c r="F32" i="3"/>
  <c r="G32" i="3" s="1"/>
  <c r="U8" i="7"/>
  <c r="J46" i="7"/>
  <c r="J15" i="11" l="1"/>
  <c r="I17" i="10"/>
  <c r="AA11" i="5"/>
  <c r="AA14" i="5" s="1"/>
  <c r="AC14" i="5" s="1"/>
  <c r="AA3" i="5"/>
  <c r="H32" i="3"/>
  <c r="N32" i="3" s="1"/>
  <c r="M32" i="3"/>
  <c r="I33" i="9"/>
  <c r="P33" i="9" s="1"/>
  <c r="G33" i="9"/>
  <c r="J33" i="9" s="1"/>
  <c r="G28" i="8"/>
  <c r="J28" i="8" s="1"/>
  <c r="A29" i="8" s="1"/>
  <c r="I28" i="8"/>
  <c r="P28" i="8" s="1"/>
  <c r="W15" i="7"/>
  <c r="F46" i="4"/>
  <c r="H46" i="4" s="1"/>
  <c r="N46" i="4" s="1"/>
  <c r="N15" i="11" l="1"/>
  <c r="K15" i="11"/>
  <c r="L15" i="11" s="1"/>
  <c r="P15" i="11" s="1"/>
  <c r="J17" i="10"/>
  <c r="L17" i="10"/>
  <c r="R46" i="4"/>
  <c r="D47" i="4"/>
  <c r="K28" i="8"/>
  <c r="K33" i="9"/>
  <c r="D34" i="9"/>
  <c r="R32" i="3"/>
  <c r="D33" i="3"/>
  <c r="O15" i="11" l="1"/>
  <c r="Y15" i="11"/>
  <c r="V17" i="10"/>
  <c r="M17" i="10"/>
  <c r="N29" i="8"/>
  <c r="M29" i="8"/>
  <c r="L29" i="8"/>
  <c r="O29" i="8" s="1"/>
  <c r="B29" i="8"/>
  <c r="H29" i="8"/>
  <c r="D29" i="8"/>
  <c r="E29" i="8" s="1"/>
  <c r="F29" i="8" s="1"/>
  <c r="C29" i="8"/>
  <c r="F47" i="4"/>
  <c r="G47" i="4"/>
  <c r="F33" i="3"/>
  <c r="G33" i="3" s="1"/>
  <c r="E34" i="9"/>
  <c r="F34" i="9"/>
  <c r="W17" i="10" l="1"/>
  <c r="K17" i="10"/>
  <c r="Z15" i="11"/>
  <c r="M15" i="11"/>
  <c r="N17" i="10"/>
  <c r="P17" i="10"/>
  <c r="Q28" i="8"/>
  <c r="S28" i="8"/>
  <c r="R28" i="8"/>
  <c r="G29" i="8"/>
  <c r="J29" i="8" s="1"/>
  <c r="A30" i="8" s="1"/>
  <c r="I29" i="8"/>
  <c r="P29" i="8" s="1"/>
  <c r="G34" i="9"/>
  <c r="J34" i="9" s="1"/>
  <c r="I34" i="9"/>
  <c r="P34" i="9" s="1"/>
  <c r="H33" i="3"/>
  <c r="N33" i="3" s="1"/>
  <c r="M33" i="3"/>
  <c r="M47" i="4"/>
  <c r="H47" i="4"/>
  <c r="N47" i="4" s="1"/>
  <c r="U2" i="4"/>
  <c r="G48" i="4"/>
  <c r="Q15" i="11" l="1"/>
  <c r="S15" i="11"/>
  <c r="O17" i="10"/>
  <c r="Q17" i="10"/>
  <c r="A18" i="10"/>
  <c r="R33" i="3"/>
  <c r="D34" i="3"/>
  <c r="M48" i="4"/>
  <c r="G49" i="4"/>
  <c r="D35" i="9"/>
  <c r="K34" i="9"/>
  <c r="D48" i="4"/>
  <c r="R47" i="4"/>
  <c r="K29" i="8"/>
  <c r="R15" i="11" l="1"/>
  <c r="A16" i="11"/>
  <c r="T15" i="11"/>
  <c r="D18" i="10"/>
  <c r="E18" i="10" s="1"/>
  <c r="G18" i="10"/>
  <c r="B18" i="10"/>
  <c r="F18" i="10"/>
  <c r="T18" i="10"/>
  <c r="S18" i="10"/>
  <c r="R18" i="10"/>
  <c r="U18" i="10" s="1"/>
  <c r="C18" i="10"/>
  <c r="M30" i="8"/>
  <c r="N30" i="8"/>
  <c r="L30" i="8"/>
  <c r="O30" i="8" s="1"/>
  <c r="M49" i="4"/>
  <c r="G50" i="4"/>
  <c r="E35" i="9"/>
  <c r="F35" i="9" s="1"/>
  <c r="F48" i="4"/>
  <c r="H48" i="4" s="1"/>
  <c r="N48" i="4" s="1"/>
  <c r="C30" i="8"/>
  <c r="H30" i="8"/>
  <c r="D30" i="8"/>
  <c r="B30" i="8"/>
  <c r="F34" i="3"/>
  <c r="G34" i="3" s="1"/>
  <c r="G16" i="11" l="1"/>
  <c r="B16" i="11"/>
  <c r="C16" i="11"/>
  <c r="F16" i="11"/>
  <c r="D16" i="11"/>
  <c r="U16" i="11"/>
  <c r="V16" i="11"/>
  <c r="X16" i="11" s="1"/>
  <c r="W16" i="11"/>
  <c r="Z17" i="10"/>
  <c r="Y17" i="10"/>
  <c r="X17" i="10"/>
  <c r="H18" i="10"/>
  <c r="I18" i="10" s="1"/>
  <c r="L18" i="10" s="1"/>
  <c r="Q29" i="8"/>
  <c r="R29" i="8"/>
  <c r="S29" i="8"/>
  <c r="H34" i="3"/>
  <c r="N34" i="3" s="1"/>
  <c r="M34" i="3"/>
  <c r="E30" i="8"/>
  <c r="F30" i="8" s="1"/>
  <c r="D49" i="4"/>
  <c r="R48" i="4"/>
  <c r="G35" i="9"/>
  <c r="J35" i="9" s="1"/>
  <c r="I35" i="9"/>
  <c r="P35" i="9" s="1"/>
  <c r="M50" i="4"/>
  <c r="G51" i="4"/>
  <c r="AB15" i="11" l="1"/>
  <c r="AC15" i="11"/>
  <c r="AA15" i="11"/>
  <c r="H16" i="11"/>
  <c r="E16" i="11"/>
  <c r="I16" i="11"/>
  <c r="I30" i="8"/>
  <c r="P30" i="8" s="1"/>
  <c r="G30" i="8"/>
  <c r="J30" i="8" s="1"/>
  <c r="A31" i="8" s="1"/>
  <c r="J18" i="10"/>
  <c r="R34" i="3"/>
  <c r="D35" i="3"/>
  <c r="K35" i="9"/>
  <c r="D36" i="9"/>
  <c r="M51" i="4"/>
  <c r="G52" i="4"/>
  <c r="F49" i="4"/>
  <c r="H49" i="4" s="1"/>
  <c r="N49" i="4" s="1"/>
  <c r="M18" i="10" l="1"/>
  <c r="V18" i="10"/>
  <c r="J16" i="11"/>
  <c r="W18" i="10"/>
  <c r="K18" i="10"/>
  <c r="R49" i="4"/>
  <c r="D50" i="4"/>
  <c r="F35" i="3"/>
  <c r="G35" i="3" s="1"/>
  <c r="M52" i="4"/>
  <c r="G53" i="4"/>
  <c r="K30" i="8"/>
  <c r="E36" i="9"/>
  <c r="F36" i="9"/>
  <c r="N16" i="11" l="1"/>
  <c r="K16" i="11"/>
  <c r="L16" i="11" s="1"/>
  <c r="L31" i="8"/>
  <c r="M31" i="8"/>
  <c r="N31" i="8"/>
  <c r="H35" i="3"/>
  <c r="N35" i="3" s="1"/>
  <c r="M35" i="3"/>
  <c r="F50" i="4"/>
  <c r="H50" i="4" s="1"/>
  <c r="N50" i="4" s="1"/>
  <c r="I36" i="9"/>
  <c r="P36" i="9" s="1"/>
  <c r="G36" i="9"/>
  <c r="J36" i="9" s="1"/>
  <c r="H31" i="8"/>
  <c r="D31" i="8"/>
  <c r="C31" i="8"/>
  <c r="B31" i="8"/>
  <c r="E31" i="8"/>
  <c r="N18" i="10"/>
  <c r="P18" i="10"/>
  <c r="M53" i="4"/>
  <c r="G54" i="4"/>
  <c r="O31" i="8" l="1"/>
  <c r="O16" i="11"/>
  <c r="Y16" i="11"/>
  <c r="P16" i="11"/>
  <c r="A19" i="10"/>
  <c r="Q18" i="10"/>
  <c r="Q30" i="8"/>
  <c r="R30" i="8"/>
  <c r="S30" i="8"/>
  <c r="F31" i="8"/>
  <c r="G31" i="8" s="1"/>
  <c r="J31" i="8" s="1"/>
  <c r="A32" i="8" s="1"/>
  <c r="D51" i="4"/>
  <c r="R50" i="4"/>
  <c r="D36" i="3"/>
  <c r="R35" i="3"/>
  <c r="M54" i="4"/>
  <c r="G55" i="4"/>
  <c r="K36" i="9"/>
  <c r="D37" i="9"/>
  <c r="O18" i="10"/>
  <c r="Z16" i="11" l="1"/>
  <c r="M16" i="11"/>
  <c r="T19" i="10"/>
  <c r="S19" i="10"/>
  <c r="R19" i="10"/>
  <c r="U19" i="10" s="1"/>
  <c r="C19" i="10"/>
  <c r="L32" i="8"/>
  <c r="M32" i="8"/>
  <c r="O32" i="8" s="1"/>
  <c r="N32" i="8"/>
  <c r="K31" i="8"/>
  <c r="I31" i="8"/>
  <c r="P31" i="8" s="1"/>
  <c r="B19" i="10"/>
  <c r="G19" i="10"/>
  <c r="F19" i="10"/>
  <c r="D19" i="10"/>
  <c r="E37" i="9"/>
  <c r="F37" i="9"/>
  <c r="F36" i="3"/>
  <c r="G36" i="3"/>
  <c r="M55" i="4"/>
  <c r="G56" i="4"/>
  <c r="F51" i="4"/>
  <c r="H51" i="4" s="1"/>
  <c r="N51" i="4" s="1"/>
  <c r="D32" i="8"/>
  <c r="B32" i="8"/>
  <c r="H32" i="8"/>
  <c r="C32" i="8"/>
  <c r="Q16" i="11" l="1"/>
  <c r="S16" i="11"/>
  <c r="H19" i="10"/>
  <c r="X18" i="10"/>
  <c r="Y18" i="10"/>
  <c r="Z18" i="10"/>
  <c r="Q31" i="8"/>
  <c r="S31" i="8"/>
  <c r="R31" i="8"/>
  <c r="E19" i="10"/>
  <c r="M36" i="3"/>
  <c r="H36" i="3"/>
  <c r="N36" i="3" s="1"/>
  <c r="E32" i="8"/>
  <c r="F32" i="8" s="1"/>
  <c r="D52" i="4"/>
  <c r="R51" i="4"/>
  <c r="I37" i="9"/>
  <c r="P37" i="9" s="1"/>
  <c r="G37" i="9"/>
  <c r="J37" i="9" s="1"/>
  <c r="M56" i="4"/>
  <c r="G57" i="4"/>
  <c r="T16" i="11" l="1"/>
  <c r="A17" i="11"/>
  <c r="B17" i="11" s="1"/>
  <c r="R16" i="11"/>
  <c r="I32" i="8"/>
  <c r="P32" i="8" s="1"/>
  <c r="G32" i="8"/>
  <c r="J32" i="8" s="1"/>
  <c r="A33" i="8" s="1"/>
  <c r="M57" i="4"/>
  <c r="G58" i="4"/>
  <c r="D37" i="3"/>
  <c r="R36" i="3"/>
  <c r="F52" i="4"/>
  <c r="H52" i="4" s="1"/>
  <c r="N52" i="4" s="1"/>
  <c r="K37" i="9"/>
  <c r="D38" i="9"/>
  <c r="AA16" i="11" l="1"/>
  <c r="AB16" i="11"/>
  <c r="AC16" i="11"/>
  <c r="W17" i="11"/>
  <c r="U17" i="11"/>
  <c r="V17" i="11"/>
  <c r="F17" i="11"/>
  <c r="D17" i="11"/>
  <c r="C17" i="11"/>
  <c r="G17" i="11"/>
  <c r="R52" i="4"/>
  <c r="D53" i="4"/>
  <c r="E38" i="9"/>
  <c r="F38" i="9"/>
  <c r="K32" i="8"/>
  <c r="I19" i="10"/>
  <c r="F37" i="3"/>
  <c r="G37" i="3" s="1"/>
  <c r="M58" i="4"/>
  <c r="G59" i="4"/>
  <c r="X17" i="11" l="1"/>
  <c r="E17" i="11"/>
  <c r="H17" i="11"/>
  <c r="L19" i="10"/>
  <c r="L33" i="8"/>
  <c r="M33" i="8"/>
  <c r="N33" i="8"/>
  <c r="J19" i="10"/>
  <c r="B33" i="8"/>
  <c r="D33" i="8"/>
  <c r="C33" i="8"/>
  <c r="H33" i="8"/>
  <c r="M37" i="3"/>
  <c r="H37" i="3"/>
  <c r="N37" i="3" s="1"/>
  <c r="G38" i="9"/>
  <c r="J38" i="9" s="1"/>
  <c r="I38" i="9"/>
  <c r="P38" i="9" s="1"/>
  <c r="M59" i="4"/>
  <c r="G60" i="4"/>
  <c r="F53" i="4"/>
  <c r="H53" i="4" s="1"/>
  <c r="N53" i="4" s="1"/>
  <c r="O33" i="8" l="1"/>
  <c r="I17" i="11"/>
  <c r="M19" i="10"/>
  <c r="V19" i="10"/>
  <c r="Q32" i="8"/>
  <c r="S32" i="8"/>
  <c r="R32" i="8"/>
  <c r="D54" i="4"/>
  <c r="R53" i="4"/>
  <c r="M60" i="4"/>
  <c r="G61" i="4"/>
  <c r="D38" i="3"/>
  <c r="R37" i="3"/>
  <c r="D39" i="9"/>
  <c r="K38" i="9"/>
  <c r="E33" i="8"/>
  <c r="F33" i="8" s="1"/>
  <c r="J17" i="11" l="1"/>
  <c r="W19" i="10"/>
  <c r="K19" i="10"/>
  <c r="I33" i="8"/>
  <c r="P33" i="8" s="1"/>
  <c r="G33" i="8"/>
  <c r="J33" i="8" s="1"/>
  <c r="A34" i="8" s="1"/>
  <c r="E39" i="9"/>
  <c r="F39" i="9"/>
  <c r="F54" i="4"/>
  <c r="H54" i="4" s="1"/>
  <c r="N54" i="4" s="1"/>
  <c r="F38" i="3"/>
  <c r="G38" i="3" s="1"/>
  <c r="M61" i="4"/>
  <c r="G62" i="4"/>
  <c r="N17" i="11" l="1"/>
  <c r="K17" i="11"/>
  <c r="P19" i="10"/>
  <c r="N19" i="10"/>
  <c r="M38" i="3"/>
  <c r="H38" i="3"/>
  <c r="N38" i="3" s="1"/>
  <c r="G39" i="9"/>
  <c r="J39" i="9" s="1"/>
  <c r="I39" i="9"/>
  <c r="P39" i="9" s="1"/>
  <c r="K33" i="8"/>
  <c r="M62" i="4"/>
  <c r="G63" i="4"/>
  <c r="R54" i="4"/>
  <c r="D55" i="4"/>
  <c r="O17" i="11" l="1"/>
  <c r="L17" i="11"/>
  <c r="O19" i="10"/>
  <c r="Q19" i="10"/>
  <c r="A20" i="10"/>
  <c r="L34" i="8"/>
  <c r="M34" i="8"/>
  <c r="O34" i="8" s="1"/>
  <c r="N34" i="8"/>
  <c r="K39" i="9"/>
  <c r="D40" i="9"/>
  <c r="F55" i="4"/>
  <c r="H55" i="4" s="1"/>
  <c r="N55" i="4" s="1"/>
  <c r="M63" i="4"/>
  <c r="G64" i="4"/>
  <c r="D39" i="3"/>
  <c r="R38" i="3"/>
  <c r="B34" i="8"/>
  <c r="H34" i="8"/>
  <c r="D34" i="8"/>
  <c r="E34" i="8" s="1"/>
  <c r="F34" i="8" s="1"/>
  <c r="C34" i="8"/>
  <c r="P17" i="11" l="1"/>
  <c r="Y17" i="11"/>
  <c r="B20" i="10"/>
  <c r="D20" i="10"/>
  <c r="E20" i="10" s="1"/>
  <c r="F20" i="10"/>
  <c r="G20" i="10"/>
  <c r="T20" i="10"/>
  <c r="S20" i="10"/>
  <c r="R20" i="10"/>
  <c r="U20" i="10" s="1"/>
  <c r="C20" i="10"/>
  <c r="R33" i="8"/>
  <c r="Q33" i="8"/>
  <c r="S33" i="8"/>
  <c r="G34" i="8"/>
  <c r="J34" i="8" s="1"/>
  <c r="A35" i="8" s="1"/>
  <c r="I34" i="8"/>
  <c r="P34" i="8" s="1"/>
  <c r="D56" i="4"/>
  <c r="R55" i="4"/>
  <c r="F39" i="3"/>
  <c r="G39" i="3" s="1"/>
  <c r="M64" i="4"/>
  <c r="G65" i="4"/>
  <c r="E40" i="9"/>
  <c r="F40" i="9" s="1"/>
  <c r="Z17" i="11" l="1"/>
  <c r="M17" i="11"/>
  <c r="X19" i="10"/>
  <c r="Y19" i="10"/>
  <c r="Z19" i="10"/>
  <c r="H20" i="10"/>
  <c r="H39" i="3"/>
  <c r="N39" i="3" s="1"/>
  <c r="M39" i="3"/>
  <c r="I40" i="9"/>
  <c r="P40" i="9" s="1"/>
  <c r="G40" i="9"/>
  <c r="J40" i="9" s="1"/>
  <c r="F56" i="4"/>
  <c r="H56" i="4" s="1"/>
  <c r="N56" i="4" s="1"/>
  <c r="M65" i="4"/>
  <c r="G66" i="4"/>
  <c r="K34" i="8"/>
  <c r="S17" i="11" l="1"/>
  <c r="Q17" i="11"/>
  <c r="I20" i="10"/>
  <c r="L20" i="10" s="1"/>
  <c r="J20" i="10"/>
  <c r="L35" i="8"/>
  <c r="N35" i="8"/>
  <c r="M35" i="8"/>
  <c r="D57" i="4"/>
  <c r="R56" i="4"/>
  <c r="D35" i="8"/>
  <c r="E35" i="8" s="1"/>
  <c r="F35" i="8" s="1"/>
  <c r="H35" i="8"/>
  <c r="C35" i="8"/>
  <c r="B35" i="8"/>
  <c r="K40" i="9"/>
  <c r="D41" i="9"/>
  <c r="M66" i="4"/>
  <c r="G67" i="4"/>
  <c r="D40" i="3"/>
  <c r="R39" i="3"/>
  <c r="A18" i="11" l="1"/>
  <c r="R17" i="11"/>
  <c r="T17" i="11"/>
  <c r="M20" i="10"/>
  <c r="V20" i="10"/>
  <c r="O35" i="8"/>
  <c r="Q34" i="8"/>
  <c r="R34" i="8"/>
  <c r="S34" i="8"/>
  <c r="I35" i="8"/>
  <c r="P35" i="8" s="1"/>
  <c r="G35" i="8"/>
  <c r="J35" i="8" s="1"/>
  <c r="A36" i="8" s="1"/>
  <c r="E41" i="9"/>
  <c r="F41" i="9"/>
  <c r="F40" i="3"/>
  <c r="G40" i="3" s="1"/>
  <c r="M67" i="4"/>
  <c r="G68" i="4"/>
  <c r="F57" i="4"/>
  <c r="H57" i="4" s="1"/>
  <c r="N57" i="4" s="1"/>
  <c r="U18" i="11" l="1"/>
  <c r="X18" i="11" s="1"/>
  <c r="I18" i="11" s="1"/>
  <c r="H18" i="11"/>
  <c r="V18" i="11"/>
  <c r="E18" i="11"/>
  <c r="B18" i="11"/>
  <c r="D18" i="11"/>
  <c r="G18" i="11"/>
  <c r="F18" i="11"/>
  <c r="C18" i="11"/>
  <c r="W18" i="11"/>
  <c r="W20" i="10"/>
  <c r="K20" i="10"/>
  <c r="H40" i="3"/>
  <c r="N40" i="3" s="1"/>
  <c r="M40" i="3"/>
  <c r="R57" i="4"/>
  <c r="D58" i="4"/>
  <c r="M68" i="4"/>
  <c r="G69" i="4"/>
  <c r="I41" i="9"/>
  <c r="P41" i="9" s="1"/>
  <c r="G41" i="9"/>
  <c r="J41" i="9" s="1"/>
  <c r="K35" i="8"/>
  <c r="J18" i="11" l="1"/>
  <c r="AA17" i="11"/>
  <c r="AB17" i="11"/>
  <c r="AC17" i="11"/>
  <c r="N20" i="10"/>
  <c r="P20" i="10"/>
  <c r="M36" i="8"/>
  <c r="L36" i="8"/>
  <c r="N36" i="8"/>
  <c r="M69" i="4"/>
  <c r="G70" i="4"/>
  <c r="F58" i="4"/>
  <c r="H58" i="4" s="1"/>
  <c r="N58" i="4" s="1"/>
  <c r="D36" i="8"/>
  <c r="C36" i="8"/>
  <c r="B36" i="8"/>
  <c r="H36" i="8"/>
  <c r="K41" i="9"/>
  <c r="D42" i="9"/>
  <c r="R40" i="3"/>
  <c r="D41" i="3"/>
  <c r="N18" i="11" l="1"/>
  <c r="O36" i="8"/>
  <c r="K18" i="11"/>
  <c r="O20" i="10"/>
  <c r="A21" i="10"/>
  <c r="Q20" i="10"/>
  <c r="Q35" i="8"/>
  <c r="R35" i="8"/>
  <c r="S35" i="8"/>
  <c r="D59" i="4"/>
  <c r="R58" i="4"/>
  <c r="E42" i="9"/>
  <c r="F42" i="9"/>
  <c r="M70" i="4"/>
  <c r="G71" i="4"/>
  <c r="F41" i="3"/>
  <c r="G41" i="3" s="1"/>
  <c r="E36" i="8"/>
  <c r="F36" i="8" s="1"/>
  <c r="O18" i="11" l="1"/>
  <c r="L18" i="11"/>
  <c r="B21" i="10"/>
  <c r="D21" i="10"/>
  <c r="E21" i="10" s="1"/>
  <c r="F21" i="10"/>
  <c r="G21" i="10"/>
  <c r="T21" i="10"/>
  <c r="S21" i="10"/>
  <c r="R21" i="10"/>
  <c r="U21" i="10" s="1"/>
  <c r="C21" i="10"/>
  <c r="H41" i="3"/>
  <c r="N41" i="3" s="1"/>
  <c r="M41" i="3"/>
  <c r="M71" i="4"/>
  <c r="G72" i="4"/>
  <c r="I36" i="8"/>
  <c r="P36" i="8" s="1"/>
  <c r="G36" i="8"/>
  <c r="J36" i="8" s="1"/>
  <c r="A37" i="8" s="1"/>
  <c r="G42" i="9"/>
  <c r="J42" i="9" s="1"/>
  <c r="I42" i="9"/>
  <c r="P42" i="9" s="1"/>
  <c r="F59" i="4"/>
  <c r="H59" i="4" s="1"/>
  <c r="N59" i="4" s="1"/>
  <c r="Y18" i="11" l="1"/>
  <c r="P18" i="11"/>
  <c r="Z20" i="10"/>
  <c r="Y20" i="10"/>
  <c r="X20" i="10"/>
  <c r="H21" i="10"/>
  <c r="D43" i="9"/>
  <c r="K42" i="9"/>
  <c r="K36" i="8"/>
  <c r="M72" i="4"/>
  <c r="G73" i="4"/>
  <c r="D60" i="4"/>
  <c r="R59" i="4"/>
  <c r="R41" i="3"/>
  <c r="D42" i="3"/>
  <c r="M18" i="11" l="1"/>
  <c r="Z18" i="11"/>
  <c r="I21" i="10"/>
  <c r="M37" i="8"/>
  <c r="L37" i="8"/>
  <c r="N37" i="8"/>
  <c r="F42" i="3"/>
  <c r="G42" i="3" s="1"/>
  <c r="F60" i="4"/>
  <c r="H60" i="4" s="1"/>
  <c r="N60" i="4" s="1"/>
  <c r="D37" i="8"/>
  <c r="E37" i="8" s="1"/>
  <c r="F37" i="8" s="1"/>
  <c r="B37" i="8"/>
  <c r="H37" i="8"/>
  <c r="C37" i="8"/>
  <c r="E43" i="9"/>
  <c r="F43" i="9" s="1"/>
  <c r="M73" i="4"/>
  <c r="G74" i="4"/>
  <c r="S18" i="11" l="1"/>
  <c r="Q18" i="11"/>
  <c r="O37" i="8"/>
  <c r="J21" i="10"/>
  <c r="L21" i="10"/>
  <c r="Q36" i="8"/>
  <c r="S36" i="8"/>
  <c r="R36" i="8"/>
  <c r="I37" i="8"/>
  <c r="G37" i="8"/>
  <c r="J37" i="8" s="1"/>
  <c r="A38" i="8" s="1"/>
  <c r="R60" i="4"/>
  <c r="D61" i="4"/>
  <c r="M74" i="4"/>
  <c r="G75" i="4"/>
  <c r="H42" i="3"/>
  <c r="N42" i="3" s="1"/>
  <c r="M42" i="3"/>
  <c r="I43" i="9"/>
  <c r="P43" i="9" s="1"/>
  <c r="G43" i="9"/>
  <c r="J43" i="9" s="1"/>
  <c r="R18" i="11" l="1"/>
  <c r="T18" i="11"/>
  <c r="A19" i="11"/>
  <c r="P37" i="8"/>
  <c r="M21" i="10"/>
  <c r="V21" i="10"/>
  <c r="D43" i="3"/>
  <c r="R42" i="3"/>
  <c r="M75" i="4"/>
  <c r="G76" i="4"/>
  <c r="F61" i="4"/>
  <c r="H61" i="4" s="1"/>
  <c r="N61" i="4" s="1"/>
  <c r="K43" i="9"/>
  <c r="D44" i="9"/>
  <c r="K37" i="8"/>
  <c r="E19" i="11" l="1"/>
  <c r="V19" i="11"/>
  <c r="F19" i="11"/>
  <c r="U19" i="11"/>
  <c r="X19" i="11" s="1"/>
  <c r="W19" i="11"/>
  <c r="B19" i="11"/>
  <c r="G19" i="11"/>
  <c r="C19" i="11"/>
  <c r="D19" i="11"/>
  <c r="H19" i="11" s="1"/>
  <c r="W21" i="10"/>
  <c r="K21" i="10"/>
  <c r="M38" i="8"/>
  <c r="L38" i="8"/>
  <c r="O38" i="8" s="1"/>
  <c r="N38" i="8"/>
  <c r="D62" i="4"/>
  <c r="R61" i="4"/>
  <c r="C38" i="8"/>
  <c r="D38" i="8"/>
  <c r="B38" i="8"/>
  <c r="H38" i="8"/>
  <c r="E44" i="9"/>
  <c r="F44" i="9" s="1"/>
  <c r="F43" i="3"/>
  <c r="G43" i="3" s="1"/>
  <c r="M76" i="4"/>
  <c r="G77" i="4"/>
  <c r="AA18" i="11" l="1"/>
  <c r="AC18" i="11"/>
  <c r="AB18" i="11"/>
  <c r="I19" i="11"/>
  <c r="P21" i="10"/>
  <c r="N21" i="10"/>
  <c r="S37" i="8"/>
  <c r="Q37" i="8"/>
  <c r="R37" i="8"/>
  <c r="M43" i="3"/>
  <c r="H43" i="3"/>
  <c r="N43" i="3" s="1"/>
  <c r="I44" i="9"/>
  <c r="P44" i="9" s="1"/>
  <c r="G44" i="9"/>
  <c r="J44" i="9" s="1"/>
  <c r="F62" i="4"/>
  <c r="H62" i="4" s="1"/>
  <c r="N62" i="4" s="1"/>
  <c r="M77" i="4"/>
  <c r="G78" i="4"/>
  <c r="E38" i="8"/>
  <c r="F38" i="8" s="1"/>
  <c r="J19" i="11" l="1"/>
  <c r="O21" i="10"/>
  <c r="A22" i="10"/>
  <c r="Q21" i="10"/>
  <c r="I38" i="8"/>
  <c r="P38" i="8" s="1"/>
  <c r="G38" i="8"/>
  <c r="J38" i="8" s="1"/>
  <c r="A39" i="8" s="1"/>
  <c r="R62" i="4"/>
  <c r="D63" i="4"/>
  <c r="M78" i="4"/>
  <c r="G79" i="4"/>
  <c r="K44" i="9"/>
  <c r="D45" i="9"/>
  <c r="D44" i="3"/>
  <c r="R43" i="3"/>
  <c r="N19" i="11" l="1"/>
  <c r="K19" i="11"/>
  <c r="B22" i="10"/>
  <c r="D22" i="10"/>
  <c r="F22" i="10"/>
  <c r="G22" i="10"/>
  <c r="T22" i="10"/>
  <c r="S22" i="10"/>
  <c r="R22" i="10"/>
  <c r="U22" i="10" s="1"/>
  <c r="C22" i="10"/>
  <c r="F44" i="3"/>
  <c r="G44" i="3"/>
  <c r="M79" i="4"/>
  <c r="G80" i="4"/>
  <c r="E45" i="9"/>
  <c r="F45" i="9" s="1"/>
  <c r="F63" i="4"/>
  <c r="H63" i="4" s="1"/>
  <c r="N63" i="4" s="1"/>
  <c r="K38" i="8"/>
  <c r="O19" i="11" l="1"/>
  <c r="L19" i="11"/>
  <c r="Z21" i="10"/>
  <c r="Y21" i="10"/>
  <c r="X21" i="10"/>
  <c r="E22" i="10"/>
  <c r="H22" i="10"/>
  <c r="N39" i="8"/>
  <c r="L39" i="8"/>
  <c r="M39" i="8"/>
  <c r="D64" i="4"/>
  <c r="R63" i="4"/>
  <c r="H39" i="8"/>
  <c r="B39" i="8"/>
  <c r="D39" i="8"/>
  <c r="C39" i="8"/>
  <c r="M44" i="3"/>
  <c r="H44" i="3"/>
  <c r="N44" i="3" s="1"/>
  <c r="M80" i="4"/>
  <c r="G81" i="4"/>
  <c r="I45" i="9"/>
  <c r="P45" i="9" s="1"/>
  <c r="G45" i="9"/>
  <c r="J45" i="9" s="1"/>
  <c r="Y19" i="11" l="1"/>
  <c r="Z19" i="11" s="1"/>
  <c r="M19" i="11"/>
  <c r="P19" i="11"/>
  <c r="I22" i="10"/>
  <c r="J22" i="10" s="1"/>
  <c r="M22" i="10" s="1"/>
  <c r="O39" i="8"/>
  <c r="S38" i="8"/>
  <c r="Q38" i="8"/>
  <c r="R38" i="8"/>
  <c r="D45" i="3"/>
  <c r="R44" i="3"/>
  <c r="K45" i="9"/>
  <c r="D46" i="9"/>
  <c r="M81" i="4"/>
  <c r="G82" i="4"/>
  <c r="E39" i="8"/>
  <c r="F39" i="8" s="1"/>
  <c r="F64" i="4"/>
  <c r="H64" i="4" s="1"/>
  <c r="N64" i="4" s="1"/>
  <c r="Q19" i="11" l="1"/>
  <c r="S19" i="11"/>
  <c r="L22" i="10"/>
  <c r="V22" i="10"/>
  <c r="D65" i="4"/>
  <c r="R64" i="4"/>
  <c r="E46" i="9"/>
  <c r="F46" i="9"/>
  <c r="M82" i="4"/>
  <c r="G83" i="4"/>
  <c r="F45" i="3"/>
  <c r="G45" i="3" s="1"/>
  <c r="G39" i="8"/>
  <c r="J39" i="8" s="1"/>
  <c r="A40" i="8" s="1"/>
  <c r="I39" i="8"/>
  <c r="P39" i="8" s="1"/>
  <c r="T19" i="11" l="1"/>
  <c r="R19" i="11"/>
  <c r="A20" i="11"/>
  <c r="W22" i="10"/>
  <c r="K22" i="10"/>
  <c r="M45" i="3"/>
  <c r="H45" i="3"/>
  <c r="N45" i="3" s="1"/>
  <c r="G46" i="9"/>
  <c r="M83" i="4"/>
  <c r="G84" i="4"/>
  <c r="K39" i="8"/>
  <c r="F65" i="4"/>
  <c r="H65" i="4" s="1"/>
  <c r="N65" i="4" s="1"/>
  <c r="G20" i="11" l="1"/>
  <c r="C20" i="11"/>
  <c r="D20" i="11"/>
  <c r="W20" i="11"/>
  <c r="F20" i="11"/>
  <c r="B20" i="11"/>
  <c r="V20" i="11"/>
  <c r="X20" i="11" s="1"/>
  <c r="U20" i="11"/>
  <c r="N22" i="10"/>
  <c r="P22" i="10"/>
  <c r="N40" i="8"/>
  <c r="M40" i="8"/>
  <c r="L40" i="8"/>
  <c r="O40" i="8" s="1"/>
  <c r="R65" i="4"/>
  <c r="D66" i="4"/>
  <c r="D46" i="3"/>
  <c r="R45" i="3"/>
  <c r="H46" i="9"/>
  <c r="H40" i="8"/>
  <c r="D40" i="8"/>
  <c r="C40" i="8"/>
  <c r="B40" i="8"/>
  <c r="M84" i="4"/>
  <c r="G85" i="4"/>
  <c r="AC19" i="11" l="1"/>
  <c r="AA19" i="11"/>
  <c r="AB19" i="11"/>
  <c r="H20" i="11"/>
  <c r="E20" i="11"/>
  <c r="O22" i="10"/>
  <c r="A23" i="10"/>
  <c r="Q22" i="10"/>
  <c r="Q39" i="8"/>
  <c r="S39" i="8"/>
  <c r="R39" i="8"/>
  <c r="E40" i="8"/>
  <c r="F40" i="8" s="1"/>
  <c r="I46" i="9"/>
  <c r="P46" i="9" s="1"/>
  <c r="F46" i="3"/>
  <c r="G46" i="3" s="1"/>
  <c r="M85" i="4"/>
  <c r="G86" i="4"/>
  <c r="F66" i="4"/>
  <c r="H66" i="4" s="1"/>
  <c r="N66" i="4" s="1"/>
  <c r="J46" i="9"/>
  <c r="I20" i="11" l="1"/>
  <c r="J20" i="11"/>
  <c r="N20" i="11" s="1"/>
  <c r="D23" i="10"/>
  <c r="E23" i="10" s="1"/>
  <c r="F23" i="10"/>
  <c r="G23" i="10"/>
  <c r="B23" i="10"/>
  <c r="T23" i="10"/>
  <c r="S23" i="10"/>
  <c r="R23" i="10"/>
  <c r="C23" i="10"/>
  <c r="I40" i="8"/>
  <c r="P40" i="8" s="1"/>
  <c r="G40" i="8"/>
  <c r="J40" i="8" s="1"/>
  <c r="A41" i="8" s="1"/>
  <c r="H46" i="3"/>
  <c r="N46" i="3" s="1"/>
  <c r="M46" i="3"/>
  <c r="D67" i="4"/>
  <c r="R66" i="4"/>
  <c r="M86" i="4"/>
  <c r="G87" i="4"/>
  <c r="D47" i="9"/>
  <c r="K46" i="9"/>
  <c r="V4" i="9"/>
  <c r="F47" i="9"/>
  <c r="K20" i="11" l="1"/>
  <c r="U23" i="10"/>
  <c r="H23" i="10" s="1"/>
  <c r="I23" i="10" s="1"/>
  <c r="Z22" i="10"/>
  <c r="Y22" i="10"/>
  <c r="X22" i="10"/>
  <c r="N41" i="8"/>
  <c r="M41" i="8"/>
  <c r="L41" i="8"/>
  <c r="O41" i="8" s="1"/>
  <c r="K40" i="8"/>
  <c r="M87" i="4"/>
  <c r="G88" i="4"/>
  <c r="I47" i="9"/>
  <c r="P47" i="9" s="1"/>
  <c r="F48" i="9"/>
  <c r="V5" i="9"/>
  <c r="V6" i="9"/>
  <c r="E47" i="9"/>
  <c r="G47" i="9" s="1"/>
  <c r="J47" i="9" s="1"/>
  <c r="F67" i="4"/>
  <c r="H67" i="4" s="1"/>
  <c r="N67" i="4" s="1"/>
  <c r="B41" i="8"/>
  <c r="D41" i="8"/>
  <c r="E41" i="8" s="1"/>
  <c r="C41" i="8"/>
  <c r="H41" i="8"/>
  <c r="D47" i="3"/>
  <c r="R46" i="3"/>
  <c r="O20" i="11" l="1"/>
  <c r="L20" i="11"/>
  <c r="L23" i="10"/>
  <c r="J23" i="10"/>
  <c r="S40" i="8"/>
  <c r="Q40" i="8"/>
  <c r="R40" i="8"/>
  <c r="I48" i="9"/>
  <c r="P48" i="9" s="1"/>
  <c r="F49" i="9"/>
  <c r="F41" i="8"/>
  <c r="M88" i="4"/>
  <c r="G89" i="4"/>
  <c r="D68" i="4"/>
  <c r="R67" i="4"/>
  <c r="K47" i="9"/>
  <c r="D48" i="9"/>
  <c r="F47" i="3"/>
  <c r="G47" i="3" s="1"/>
  <c r="P20" i="11" l="1"/>
  <c r="Y20" i="11"/>
  <c r="V23" i="10"/>
  <c r="M23" i="10"/>
  <c r="H47" i="3"/>
  <c r="N47" i="3" s="1"/>
  <c r="M47" i="3"/>
  <c r="I49" i="9"/>
  <c r="P49" i="9" s="1"/>
  <c r="F50" i="9"/>
  <c r="M89" i="4"/>
  <c r="F68" i="4"/>
  <c r="H68" i="4" s="1"/>
  <c r="N68" i="4" s="1"/>
  <c r="G41" i="8"/>
  <c r="J41" i="8" s="1"/>
  <c r="A42" i="8" s="1"/>
  <c r="I41" i="8"/>
  <c r="P41" i="8" s="1"/>
  <c r="E48" i="9"/>
  <c r="G48" i="9" s="1"/>
  <c r="J48" i="9" s="1"/>
  <c r="Z20" i="11" l="1"/>
  <c r="M20" i="11"/>
  <c r="K23" i="10"/>
  <c r="W23" i="10"/>
  <c r="D69" i="4"/>
  <c r="R68" i="4"/>
  <c r="K41" i="8"/>
  <c r="I50" i="9"/>
  <c r="P50" i="9" s="1"/>
  <c r="F51" i="9"/>
  <c r="K48" i="9"/>
  <c r="D49" i="9"/>
  <c r="R47" i="3"/>
  <c r="D48" i="3"/>
  <c r="S20" i="11" l="1"/>
  <c r="Q20" i="11"/>
  <c r="P23" i="10"/>
  <c r="N23" i="10"/>
  <c r="L42" i="8"/>
  <c r="N42" i="8"/>
  <c r="M42" i="8"/>
  <c r="I51" i="9"/>
  <c r="P51" i="9" s="1"/>
  <c r="F52" i="9"/>
  <c r="F48" i="3"/>
  <c r="G48" i="3" s="1"/>
  <c r="D42" i="8"/>
  <c r="E42" i="8" s="1"/>
  <c r="F42" i="8" s="1"/>
  <c r="B42" i="8"/>
  <c r="H42" i="8"/>
  <c r="C42" i="8"/>
  <c r="E49" i="9"/>
  <c r="G49" i="9" s="1"/>
  <c r="J49" i="9" s="1"/>
  <c r="F69" i="4"/>
  <c r="H69" i="4" s="1"/>
  <c r="N69" i="4" s="1"/>
  <c r="A21" i="11" l="1"/>
  <c r="R20" i="11"/>
  <c r="T20" i="11"/>
  <c r="O23" i="10"/>
  <c r="A24" i="10"/>
  <c r="Q23" i="10"/>
  <c r="O42" i="8"/>
  <c r="S41" i="8"/>
  <c r="Q41" i="8"/>
  <c r="R41" i="8"/>
  <c r="I42" i="8"/>
  <c r="P42" i="8" s="1"/>
  <c r="G42" i="8"/>
  <c r="J42" i="8" s="1"/>
  <c r="A43" i="8" s="1"/>
  <c r="D70" i="4"/>
  <c r="R69" i="4"/>
  <c r="H48" i="3"/>
  <c r="N48" i="3" s="1"/>
  <c r="M48" i="3"/>
  <c r="K49" i="9"/>
  <c r="D50" i="9"/>
  <c r="I52" i="9"/>
  <c r="P52" i="9" s="1"/>
  <c r="F53" i="9"/>
  <c r="G21" i="11" l="1"/>
  <c r="F21" i="11"/>
  <c r="C21" i="11"/>
  <c r="B21" i="11"/>
  <c r="D21" i="11"/>
  <c r="U21" i="11"/>
  <c r="X21" i="11" s="1"/>
  <c r="V21" i="11"/>
  <c r="W21" i="11"/>
  <c r="F24" i="10"/>
  <c r="G24" i="10"/>
  <c r="B24" i="10"/>
  <c r="D24" i="10"/>
  <c r="E24" i="10" s="1"/>
  <c r="T24" i="10"/>
  <c r="S24" i="10"/>
  <c r="R24" i="10"/>
  <c r="U24" i="10" s="1"/>
  <c r="C24" i="10"/>
  <c r="F70" i="4"/>
  <c r="H70" i="4" s="1"/>
  <c r="N70" i="4" s="1"/>
  <c r="E50" i="9"/>
  <c r="G50" i="9" s="1"/>
  <c r="J50" i="9" s="1"/>
  <c r="K42" i="8"/>
  <c r="I53" i="9"/>
  <c r="P53" i="9" s="1"/>
  <c r="F54" i="9"/>
  <c r="R48" i="3"/>
  <c r="D49" i="3"/>
  <c r="AA20" i="11" l="1"/>
  <c r="AC20" i="11"/>
  <c r="AB20" i="11"/>
  <c r="E21" i="11"/>
  <c r="H21" i="11"/>
  <c r="X23" i="10"/>
  <c r="Y23" i="10"/>
  <c r="Z23" i="10"/>
  <c r="H24" i="10"/>
  <c r="M43" i="8"/>
  <c r="N43" i="8"/>
  <c r="L43" i="8"/>
  <c r="R70" i="4"/>
  <c r="D71" i="4"/>
  <c r="F49" i="3"/>
  <c r="G49" i="3" s="1"/>
  <c r="D43" i="8"/>
  <c r="C43" i="8"/>
  <c r="B43" i="8"/>
  <c r="H43" i="8"/>
  <c r="D51" i="9"/>
  <c r="K50" i="9"/>
  <c r="I54" i="9"/>
  <c r="P54" i="9" s="1"/>
  <c r="F55" i="9"/>
  <c r="I21" i="11" l="1"/>
  <c r="J21" i="11" s="1"/>
  <c r="N21" i="11" s="1"/>
  <c r="I24" i="10"/>
  <c r="L24" i="10" s="1"/>
  <c r="J24" i="10"/>
  <c r="O43" i="8"/>
  <c r="S42" i="8"/>
  <c r="R42" i="8"/>
  <c r="Q42" i="8"/>
  <c r="E43" i="8"/>
  <c r="F43" i="8" s="1"/>
  <c r="H49" i="3"/>
  <c r="N49" i="3" s="1"/>
  <c r="M49" i="3"/>
  <c r="I55" i="9"/>
  <c r="P55" i="9" s="1"/>
  <c r="F56" i="9"/>
  <c r="E51" i="9"/>
  <c r="G51" i="9" s="1"/>
  <c r="J51" i="9" s="1"/>
  <c r="F71" i="4"/>
  <c r="H71" i="4" s="1"/>
  <c r="N71" i="4" s="1"/>
  <c r="K21" i="11" l="1"/>
  <c r="L21" i="11"/>
  <c r="P21" i="11" s="1"/>
  <c r="M24" i="10"/>
  <c r="V24" i="10"/>
  <c r="W24" i="10" s="1"/>
  <c r="K24" i="10"/>
  <c r="I43" i="8"/>
  <c r="P43" i="8" s="1"/>
  <c r="G43" i="8"/>
  <c r="J43" i="8" s="1"/>
  <c r="A44" i="8" s="1"/>
  <c r="K51" i="9"/>
  <c r="D52" i="9"/>
  <c r="I56" i="9"/>
  <c r="P56" i="9" s="1"/>
  <c r="F57" i="9"/>
  <c r="D50" i="3"/>
  <c r="R49" i="3"/>
  <c r="D72" i="4"/>
  <c r="R71" i="4"/>
  <c r="O21" i="11" l="1"/>
  <c r="Y21" i="11"/>
  <c r="Z21" i="11" s="1"/>
  <c r="M21" i="11"/>
  <c r="P24" i="10"/>
  <c r="N24" i="10"/>
  <c r="N44" i="8"/>
  <c r="L44" i="8"/>
  <c r="M44" i="8"/>
  <c r="K43" i="8"/>
  <c r="F50" i="3"/>
  <c r="G50" i="3" s="1"/>
  <c r="I57" i="9"/>
  <c r="P57" i="9" s="1"/>
  <c r="F58" i="9"/>
  <c r="F72" i="4"/>
  <c r="H72" i="4" s="1"/>
  <c r="N72" i="4" s="1"/>
  <c r="B44" i="8"/>
  <c r="D44" i="8"/>
  <c r="C44" i="8"/>
  <c r="H44" i="8"/>
  <c r="E52" i="9"/>
  <c r="G52" i="9" s="1"/>
  <c r="J52" i="9" s="1"/>
  <c r="Q21" i="11" l="1"/>
  <c r="S21" i="11"/>
  <c r="O24" i="10"/>
  <c r="A25" i="10"/>
  <c r="Q24" i="10"/>
  <c r="O44" i="8"/>
  <c r="S43" i="8"/>
  <c r="R43" i="8"/>
  <c r="Q43" i="8"/>
  <c r="E44" i="8"/>
  <c r="F44" i="8" s="1"/>
  <c r="D73" i="4"/>
  <c r="R72" i="4"/>
  <c r="H50" i="3"/>
  <c r="N50" i="3" s="1"/>
  <c r="M50" i="3"/>
  <c r="K52" i="9"/>
  <c r="D53" i="9"/>
  <c r="I58" i="9"/>
  <c r="P58" i="9" s="1"/>
  <c r="F59" i="9"/>
  <c r="T21" i="11" l="1"/>
  <c r="R21" i="11"/>
  <c r="A22" i="11"/>
  <c r="F25" i="10"/>
  <c r="G25" i="10"/>
  <c r="B25" i="10"/>
  <c r="D25" i="10"/>
  <c r="E25" i="10" s="1"/>
  <c r="T25" i="10"/>
  <c r="S25" i="10"/>
  <c r="R25" i="10"/>
  <c r="U25" i="10" s="1"/>
  <c r="C25" i="10"/>
  <c r="G44" i="8"/>
  <c r="J44" i="8" s="1"/>
  <c r="A45" i="8" s="1"/>
  <c r="I44" i="8"/>
  <c r="P44" i="8" s="1"/>
  <c r="D51" i="3"/>
  <c r="R50" i="3"/>
  <c r="I59" i="9"/>
  <c r="P59" i="9" s="1"/>
  <c r="F60" i="9"/>
  <c r="F73" i="4"/>
  <c r="H73" i="4" s="1"/>
  <c r="N73" i="4" s="1"/>
  <c r="E53" i="9"/>
  <c r="G53" i="9" s="1"/>
  <c r="J53" i="9" s="1"/>
  <c r="F22" i="11" l="1"/>
  <c r="D22" i="11"/>
  <c r="B22" i="11"/>
  <c r="C22" i="11"/>
  <c r="G22" i="11"/>
  <c r="W22" i="11"/>
  <c r="V22" i="11"/>
  <c r="U22" i="11"/>
  <c r="H22" i="11"/>
  <c r="X22" i="11"/>
  <c r="E22" i="11"/>
  <c r="Z24" i="10"/>
  <c r="Y24" i="10"/>
  <c r="X24" i="10"/>
  <c r="H25" i="10"/>
  <c r="R73" i="4"/>
  <c r="D74" i="4"/>
  <c r="I60" i="9"/>
  <c r="P60" i="9" s="1"/>
  <c r="F61" i="9"/>
  <c r="K53" i="9"/>
  <c r="D54" i="9"/>
  <c r="F51" i="3"/>
  <c r="G51" i="3" s="1"/>
  <c r="K44" i="8"/>
  <c r="AB21" i="11" l="1"/>
  <c r="AC21" i="11"/>
  <c r="AA21" i="11"/>
  <c r="I22" i="11"/>
  <c r="J22" i="11" s="1"/>
  <c r="N22" i="11" s="1"/>
  <c r="I25" i="10"/>
  <c r="L45" i="8"/>
  <c r="N45" i="8"/>
  <c r="M45" i="8"/>
  <c r="O45" i="8" s="1"/>
  <c r="M51" i="3"/>
  <c r="H51" i="3"/>
  <c r="N51" i="3" s="1"/>
  <c r="H45" i="8"/>
  <c r="D45" i="8"/>
  <c r="C45" i="8"/>
  <c r="B45" i="8"/>
  <c r="I61" i="9"/>
  <c r="P61" i="9" s="1"/>
  <c r="F62" i="9"/>
  <c r="E54" i="9"/>
  <c r="G54" i="9" s="1"/>
  <c r="J54" i="9" s="1"/>
  <c r="F74" i="4"/>
  <c r="H74" i="4" s="1"/>
  <c r="N74" i="4" s="1"/>
  <c r="K22" i="11" l="1"/>
  <c r="L22" i="11"/>
  <c r="P22" i="11" s="1"/>
  <c r="Y22" i="11"/>
  <c r="Z22" i="11" s="1"/>
  <c r="L25" i="10"/>
  <c r="J25" i="10"/>
  <c r="Q44" i="8"/>
  <c r="S44" i="8"/>
  <c r="R44" i="8"/>
  <c r="I62" i="9"/>
  <c r="P62" i="9" s="1"/>
  <c r="F63" i="9"/>
  <c r="D52" i="3"/>
  <c r="R51" i="3"/>
  <c r="R74" i="4"/>
  <c r="D75" i="4"/>
  <c r="E45" i="8"/>
  <c r="F45" i="8" s="1"/>
  <c r="D55" i="9"/>
  <c r="K54" i="9"/>
  <c r="O22" i="11" l="1"/>
  <c r="M22" i="11"/>
  <c r="M25" i="10"/>
  <c r="V25" i="10"/>
  <c r="I45" i="8"/>
  <c r="P45" i="8" s="1"/>
  <c r="G45" i="8"/>
  <c r="J45" i="8" s="1"/>
  <c r="A46" i="8" s="1"/>
  <c r="E55" i="9"/>
  <c r="G55" i="9" s="1"/>
  <c r="J55" i="9" s="1"/>
  <c r="F75" i="4"/>
  <c r="H75" i="4" s="1"/>
  <c r="N75" i="4" s="1"/>
  <c r="F52" i="3"/>
  <c r="G52" i="3" s="1"/>
  <c r="I63" i="9"/>
  <c r="P63" i="9" s="1"/>
  <c r="F64" i="9"/>
  <c r="S22" i="11" l="1"/>
  <c r="Q22" i="11"/>
  <c r="W25" i="10"/>
  <c r="K25" i="10"/>
  <c r="K55" i="9"/>
  <c r="D56" i="9"/>
  <c r="D76" i="4"/>
  <c r="R75" i="4"/>
  <c r="M52" i="3"/>
  <c r="H52" i="3"/>
  <c r="N52" i="3" s="1"/>
  <c r="K45" i="8"/>
  <c r="I64" i="9"/>
  <c r="P64" i="9" s="1"/>
  <c r="F65" i="9"/>
  <c r="A23" i="11" l="1"/>
  <c r="T22" i="11"/>
  <c r="R22" i="11"/>
  <c r="P25" i="10"/>
  <c r="N25" i="10"/>
  <c r="M46" i="8"/>
  <c r="N46" i="8"/>
  <c r="L46" i="8"/>
  <c r="O46" i="8" s="1"/>
  <c r="F76" i="4"/>
  <c r="H76" i="4" s="1"/>
  <c r="N76" i="4" s="1"/>
  <c r="I65" i="9"/>
  <c r="P65" i="9" s="1"/>
  <c r="F66" i="9"/>
  <c r="C46" i="8"/>
  <c r="D46" i="8"/>
  <c r="B46" i="8"/>
  <c r="E56" i="9"/>
  <c r="G56" i="9" s="1"/>
  <c r="J56" i="9" s="1"/>
  <c r="D53" i="3"/>
  <c r="R52" i="3"/>
  <c r="F23" i="11" l="1"/>
  <c r="G23" i="11"/>
  <c r="C23" i="11"/>
  <c r="B23" i="11"/>
  <c r="U23" i="11"/>
  <c r="V23" i="11"/>
  <c r="W23" i="11"/>
  <c r="D23" i="11"/>
  <c r="H23" i="11"/>
  <c r="E23" i="11"/>
  <c r="O25" i="10"/>
  <c r="Q25" i="10"/>
  <c r="A26" i="10"/>
  <c r="Q45" i="8"/>
  <c r="R45" i="8"/>
  <c r="S45" i="8"/>
  <c r="D77" i="4"/>
  <c r="R76" i="4"/>
  <c r="K56" i="9"/>
  <c r="D57" i="9"/>
  <c r="I66" i="9"/>
  <c r="P66" i="9" s="1"/>
  <c r="F67" i="9"/>
  <c r="E46" i="8"/>
  <c r="F46" i="8" s="1"/>
  <c r="F53" i="3"/>
  <c r="G53" i="3" s="1"/>
  <c r="AA22" i="11" l="1"/>
  <c r="AB22" i="11"/>
  <c r="AC22" i="11"/>
  <c r="X23" i="11"/>
  <c r="F26" i="10"/>
  <c r="G26" i="10"/>
  <c r="B26" i="10"/>
  <c r="D26" i="10"/>
  <c r="E26" i="10" s="1"/>
  <c r="T26" i="10"/>
  <c r="S26" i="10"/>
  <c r="R26" i="10"/>
  <c r="C26" i="10"/>
  <c r="M53" i="3"/>
  <c r="H53" i="3"/>
  <c r="N53" i="3" s="1"/>
  <c r="G46" i="8"/>
  <c r="I67" i="9"/>
  <c r="P67" i="9" s="1"/>
  <c r="F68" i="9"/>
  <c r="E57" i="9"/>
  <c r="G57" i="9" s="1"/>
  <c r="J57" i="9" s="1"/>
  <c r="F77" i="4"/>
  <c r="H77" i="4" s="1"/>
  <c r="N77" i="4" s="1"/>
  <c r="I23" i="11" l="1"/>
  <c r="U26" i="10"/>
  <c r="H26" i="10" s="1"/>
  <c r="Y25" i="10"/>
  <c r="X25" i="10"/>
  <c r="Z25" i="10"/>
  <c r="D78" i="4"/>
  <c r="R77" i="4"/>
  <c r="I68" i="9"/>
  <c r="P68" i="9" s="1"/>
  <c r="F69" i="9"/>
  <c r="H46" i="8"/>
  <c r="J46" i="8" s="1"/>
  <c r="A47" i="8" s="1"/>
  <c r="K57" i="9"/>
  <c r="D58" i="9"/>
  <c r="D54" i="3"/>
  <c r="R53" i="3"/>
  <c r="J23" i="11" l="1"/>
  <c r="N23" i="11" s="1"/>
  <c r="K23" i="11"/>
  <c r="O23" i="11" s="1"/>
  <c r="L23" i="11"/>
  <c r="Y23" i="11"/>
  <c r="Z23" i="11" s="1"/>
  <c r="I26" i="10"/>
  <c r="J26" i="10"/>
  <c r="M26" i="10" s="1"/>
  <c r="V4" i="8"/>
  <c r="K46" i="8"/>
  <c r="F54" i="3"/>
  <c r="G54" i="3" s="1"/>
  <c r="E58" i="9"/>
  <c r="G58" i="9" s="1"/>
  <c r="J58" i="9" s="1"/>
  <c r="I69" i="9"/>
  <c r="P69" i="9" s="1"/>
  <c r="F70" i="9"/>
  <c r="I46" i="8"/>
  <c r="P46" i="8" s="1"/>
  <c r="F78" i="4"/>
  <c r="H78" i="4" s="1"/>
  <c r="N78" i="4" s="1"/>
  <c r="P23" i="11" l="1"/>
  <c r="M23" i="11"/>
  <c r="L26" i="10"/>
  <c r="V26" i="10"/>
  <c r="M47" i="8"/>
  <c r="L47" i="8"/>
  <c r="N47" i="8"/>
  <c r="H54" i="3"/>
  <c r="N54" i="3" s="1"/>
  <c r="M54" i="3"/>
  <c r="R78" i="4"/>
  <c r="D79" i="4"/>
  <c r="I70" i="9"/>
  <c r="P70" i="9" s="1"/>
  <c r="F71" i="9"/>
  <c r="D59" i="9"/>
  <c r="K58" i="9"/>
  <c r="H47" i="8"/>
  <c r="D47" i="8"/>
  <c r="B47" i="8"/>
  <c r="C47" i="8"/>
  <c r="Q23" i="11" l="1"/>
  <c r="S23" i="11"/>
  <c r="W26" i="10"/>
  <c r="K26" i="10"/>
  <c r="O47" i="8"/>
  <c r="Q46" i="8"/>
  <c r="R46" i="8"/>
  <c r="S46" i="8"/>
  <c r="E59" i="9"/>
  <c r="G59" i="9" s="1"/>
  <c r="J59" i="9" s="1"/>
  <c r="I71" i="9"/>
  <c r="P71" i="9" s="1"/>
  <c r="F72" i="9"/>
  <c r="E47" i="8"/>
  <c r="F47" i="8" s="1"/>
  <c r="F79" i="4"/>
  <c r="H79" i="4" s="1"/>
  <c r="N79" i="4" s="1"/>
  <c r="R54" i="3"/>
  <c r="D55" i="3"/>
  <c r="A24" i="11" l="1"/>
  <c r="T23" i="11"/>
  <c r="R23" i="11"/>
  <c r="P26" i="10"/>
  <c r="N26" i="10"/>
  <c r="D80" i="4"/>
  <c r="R79" i="4"/>
  <c r="K59" i="9"/>
  <c r="D60" i="9"/>
  <c r="I72" i="9"/>
  <c r="P72" i="9" s="1"/>
  <c r="F73" i="9"/>
  <c r="F55" i="3"/>
  <c r="G55" i="3" s="1"/>
  <c r="V5" i="8"/>
  <c r="I47" i="8"/>
  <c r="P47" i="8" s="1"/>
  <c r="G47" i="8"/>
  <c r="J47" i="8" s="1"/>
  <c r="A48" i="8" s="1"/>
  <c r="B24" i="11" l="1"/>
  <c r="U24" i="11"/>
  <c r="W24" i="11"/>
  <c r="V24" i="11"/>
  <c r="G24" i="11"/>
  <c r="F24" i="11"/>
  <c r="C24" i="11"/>
  <c r="D24" i="11"/>
  <c r="Q26" i="10"/>
  <c r="A27" i="10"/>
  <c r="O26" i="10"/>
  <c r="H55" i="3"/>
  <c r="N55" i="3" s="1"/>
  <c r="M55" i="3"/>
  <c r="K47" i="8"/>
  <c r="F80" i="4"/>
  <c r="H80" i="4" s="1"/>
  <c r="N80" i="4" s="1"/>
  <c r="I73" i="9"/>
  <c r="P73" i="9" s="1"/>
  <c r="F74" i="9"/>
  <c r="E60" i="9"/>
  <c r="G60" i="9" s="1"/>
  <c r="J60" i="9" s="1"/>
  <c r="AB23" i="11" l="1"/>
  <c r="AA23" i="11"/>
  <c r="AC23" i="11"/>
  <c r="X24" i="11"/>
  <c r="E24" i="11"/>
  <c r="H24" i="11"/>
  <c r="F27" i="10"/>
  <c r="G27" i="10"/>
  <c r="B27" i="10"/>
  <c r="D27" i="10"/>
  <c r="E27" i="10" s="1"/>
  <c r="T27" i="10"/>
  <c r="S27" i="10"/>
  <c r="R27" i="10"/>
  <c r="C27" i="10"/>
  <c r="M48" i="8"/>
  <c r="N48" i="8"/>
  <c r="L48" i="8"/>
  <c r="O48" i="8" s="1"/>
  <c r="K60" i="9"/>
  <c r="D61" i="9"/>
  <c r="I74" i="9"/>
  <c r="P74" i="9" s="1"/>
  <c r="F75" i="9"/>
  <c r="D81" i="4"/>
  <c r="R80" i="4"/>
  <c r="C48" i="8"/>
  <c r="B48" i="8"/>
  <c r="H48" i="8"/>
  <c r="D48" i="8"/>
  <c r="R55" i="3"/>
  <c r="D56" i="3"/>
  <c r="I24" i="11" l="1"/>
  <c r="J24" i="11" s="1"/>
  <c r="N24" i="11" s="1"/>
  <c r="U27" i="10"/>
  <c r="H27" i="10" s="1"/>
  <c r="I27" i="10" s="1"/>
  <c r="Z26" i="10"/>
  <c r="Y26" i="10"/>
  <c r="X26" i="10"/>
  <c r="Q47" i="8"/>
  <c r="R47" i="8"/>
  <c r="S47" i="8"/>
  <c r="F56" i="3"/>
  <c r="G56" i="3" s="1"/>
  <c r="I75" i="9"/>
  <c r="P75" i="9" s="1"/>
  <c r="F76" i="9"/>
  <c r="E48" i="8"/>
  <c r="F48" i="8" s="1"/>
  <c r="E61" i="9"/>
  <c r="G61" i="9" s="1"/>
  <c r="J61" i="9" s="1"/>
  <c r="F81" i="4"/>
  <c r="H81" i="4" s="1"/>
  <c r="N81" i="4" s="1"/>
  <c r="K24" i="11" l="1"/>
  <c r="L27" i="10"/>
  <c r="J27" i="10"/>
  <c r="M27" i="10" s="1"/>
  <c r="V27" i="10"/>
  <c r="H56" i="3"/>
  <c r="N56" i="3" s="1"/>
  <c r="M56" i="3"/>
  <c r="R81" i="4"/>
  <c r="D82" i="4"/>
  <c r="I48" i="8"/>
  <c r="P48" i="8" s="1"/>
  <c r="G48" i="8"/>
  <c r="J48" i="8" s="1"/>
  <c r="A49" i="8" s="1"/>
  <c r="K61" i="9"/>
  <c r="D62" i="9"/>
  <c r="I76" i="9"/>
  <c r="P76" i="9" s="1"/>
  <c r="F77" i="9"/>
  <c r="O24" i="11" l="1"/>
  <c r="L24" i="11"/>
  <c r="W27" i="10"/>
  <c r="K27" i="10"/>
  <c r="K48" i="8"/>
  <c r="F82" i="4"/>
  <c r="H82" i="4" s="1"/>
  <c r="N82" i="4" s="1"/>
  <c r="E62" i="9"/>
  <c r="G62" i="9" s="1"/>
  <c r="J62" i="9" s="1"/>
  <c r="I77" i="9"/>
  <c r="P77" i="9" s="1"/>
  <c r="F78" i="9"/>
  <c r="R56" i="3"/>
  <c r="D57" i="3"/>
  <c r="Y24" i="11" l="1"/>
  <c r="Z24" i="11" s="1"/>
  <c r="M24" i="11"/>
  <c r="P24" i="11"/>
  <c r="N27" i="10"/>
  <c r="P27" i="10"/>
  <c r="O27" i="10"/>
  <c r="N49" i="8"/>
  <c r="M49" i="8"/>
  <c r="L49" i="8"/>
  <c r="O49" i="8" s="1"/>
  <c r="R82" i="4"/>
  <c r="D83" i="4"/>
  <c r="I78" i="9"/>
  <c r="P78" i="9" s="1"/>
  <c r="F79" i="9"/>
  <c r="K62" i="9"/>
  <c r="D63" i="9"/>
  <c r="F57" i="3"/>
  <c r="G57" i="3" s="1"/>
  <c r="B49" i="8"/>
  <c r="D49" i="8"/>
  <c r="E49" i="8" s="1"/>
  <c r="C49" i="8"/>
  <c r="H49" i="8"/>
  <c r="Q24" i="11" l="1"/>
  <c r="S24" i="11"/>
  <c r="A28" i="10"/>
  <c r="Q27" i="10"/>
  <c r="F28" i="10"/>
  <c r="Q48" i="8"/>
  <c r="R48" i="8"/>
  <c r="S48" i="8"/>
  <c r="F49" i="8"/>
  <c r="M57" i="3"/>
  <c r="H57" i="3"/>
  <c r="N57" i="3" s="1"/>
  <c r="E63" i="9"/>
  <c r="G63" i="9" s="1"/>
  <c r="J63" i="9" s="1"/>
  <c r="I79" i="9"/>
  <c r="P79" i="9" s="1"/>
  <c r="F80" i="9"/>
  <c r="F83" i="4"/>
  <c r="H83" i="4" s="1"/>
  <c r="N83" i="4" s="1"/>
  <c r="A25" i="11" l="1"/>
  <c r="R24" i="11"/>
  <c r="T24" i="11"/>
  <c r="D28" i="10"/>
  <c r="E28" i="10" s="1"/>
  <c r="B28" i="10"/>
  <c r="G28" i="10"/>
  <c r="T28" i="10"/>
  <c r="R28" i="10"/>
  <c r="S28" i="10"/>
  <c r="C28" i="10"/>
  <c r="G49" i="8"/>
  <c r="J49" i="8" s="1"/>
  <c r="A50" i="8" s="1"/>
  <c r="I49" i="8"/>
  <c r="P49" i="8" s="1"/>
  <c r="D84" i="4"/>
  <c r="R83" i="4"/>
  <c r="D64" i="9"/>
  <c r="K63" i="9"/>
  <c r="D58" i="3"/>
  <c r="R57" i="3"/>
  <c r="I80" i="9"/>
  <c r="P80" i="9" s="1"/>
  <c r="F81" i="9"/>
  <c r="H25" i="11" l="1"/>
  <c r="E25" i="11"/>
  <c r="U25" i="11"/>
  <c r="W25" i="11"/>
  <c r="V25" i="11"/>
  <c r="C25" i="11"/>
  <c r="F25" i="11"/>
  <c r="D25" i="11"/>
  <c r="B25" i="11"/>
  <c r="G25" i="11"/>
  <c r="U28" i="10"/>
  <c r="H28" i="10" s="1"/>
  <c r="I28" i="10" s="1"/>
  <c r="Y27" i="10"/>
  <c r="X27" i="10"/>
  <c r="Z27" i="10"/>
  <c r="K49" i="8"/>
  <c r="E64" i="9"/>
  <c r="G64" i="9" s="1"/>
  <c r="J64" i="9" s="1"/>
  <c r="H50" i="8"/>
  <c r="D50" i="8"/>
  <c r="E50" i="8" s="1"/>
  <c r="F50" i="8" s="1"/>
  <c r="C50" i="8"/>
  <c r="B50" i="8"/>
  <c r="I81" i="9"/>
  <c r="P81" i="9" s="1"/>
  <c r="F82" i="9"/>
  <c r="F58" i="3"/>
  <c r="G58" i="3" s="1"/>
  <c r="F84" i="4"/>
  <c r="H84" i="4" s="1"/>
  <c r="N84" i="4" s="1"/>
  <c r="AC24" i="11" l="1"/>
  <c r="AB24" i="11"/>
  <c r="AA24" i="11"/>
  <c r="X25" i="11"/>
  <c r="I25" i="11" s="1"/>
  <c r="J25" i="11"/>
  <c r="N25" i="11" s="1"/>
  <c r="L28" i="10"/>
  <c r="J28" i="10"/>
  <c r="M50" i="8"/>
  <c r="L50" i="8"/>
  <c r="N50" i="8"/>
  <c r="R49" i="8"/>
  <c r="Q49" i="8"/>
  <c r="S49" i="8"/>
  <c r="G50" i="8"/>
  <c r="J50" i="8" s="1"/>
  <c r="A51" i="8" s="1"/>
  <c r="I50" i="8"/>
  <c r="D85" i="4"/>
  <c r="R84" i="4"/>
  <c r="H58" i="3"/>
  <c r="N58" i="3" s="1"/>
  <c r="M58" i="3"/>
  <c r="I82" i="9"/>
  <c r="P82" i="9" s="1"/>
  <c r="F83" i="9"/>
  <c r="D65" i="9"/>
  <c r="K64" i="9"/>
  <c r="K25" i="11" l="1"/>
  <c r="M28" i="10"/>
  <c r="V28" i="10"/>
  <c r="O50" i="8"/>
  <c r="P50" i="8"/>
  <c r="E65" i="9"/>
  <c r="G65" i="9" s="1"/>
  <c r="J65" i="9" s="1"/>
  <c r="D59" i="3"/>
  <c r="R58" i="3"/>
  <c r="I83" i="9"/>
  <c r="P83" i="9" s="1"/>
  <c r="F84" i="9"/>
  <c r="F85" i="4"/>
  <c r="H85" i="4" s="1"/>
  <c r="N85" i="4" s="1"/>
  <c r="K50" i="8"/>
  <c r="O25" i="11" l="1"/>
  <c r="L25" i="11"/>
  <c r="W28" i="10"/>
  <c r="K28" i="10"/>
  <c r="N28" i="10" s="1"/>
  <c r="P28" i="10"/>
  <c r="N51" i="8"/>
  <c r="M51" i="8"/>
  <c r="L51" i="8"/>
  <c r="D86" i="4"/>
  <c r="R85" i="4"/>
  <c r="D66" i="9"/>
  <c r="K65" i="9"/>
  <c r="I84" i="9"/>
  <c r="P84" i="9" s="1"/>
  <c r="F85" i="9"/>
  <c r="D51" i="8"/>
  <c r="E51" i="8" s="1"/>
  <c r="F51" i="8" s="1"/>
  <c r="C51" i="8"/>
  <c r="B51" i="8"/>
  <c r="H51" i="8"/>
  <c r="F59" i="3"/>
  <c r="G59" i="3" s="1"/>
  <c r="O51" i="8" l="1"/>
  <c r="P25" i="11"/>
  <c r="Y25" i="11"/>
  <c r="Z25" i="11" s="1"/>
  <c r="M25" i="11"/>
  <c r="Q28" i="10"/>
  <c r="A29" i="10"/>
  <c r="O28" i="10"/>
  <c r="S50" i="8"/>
  <c r="R50" i="8"/>
  <c r="Q50" i="8"/>
  <c r="H59" i="3"/>
  <c r="N59" i="3" s="1"/>
  <c r="M59" i="3"/>
  <c r="G51" i="8"/>
  <c r="J51" i="8" s="1"/>
  <c r="A52" i="8" s="1"/>
  <c r="I51" i="8"/>
  <c r="P51" i="8" s="1"/>
  <c r="I85" i="9"/>
  <c r="P85" i="9" s="1"/>
  <c r="F86" i="9"/>
  <c r="E66" i="9"/>
  <c r="G66" i="9" s="1"/>
  <c r="J66" i="9" s="1"/>
  <c r="F86" i="4"/>
  <c r="H86" i="4" s="1"/>
  <c r="N86" i="4" s="1"/>
  <c r="S25" i="11" l="1"/>
  <c r="Q25" i="11"/>
  <c r="B29" i="10"/>
  <c r="D29" i="10"/>
  <c r="E29" i="10" s="1"/>
  <c r="G29" i="10"/>
  <c r="F29" i="10"/>
  <c r="T29" i="10"/>
  <c r="S29" i="10"/>
  <c r="R29" i="10"/>
  <c r="U29" i="10" s="1"/>
  <c r="C29" i="10"/>
  <c r="K66" i="9"/>
  <c r="D67" i="9"/>
  <c r="R86" i="4"/>
  <c r="D87" i="4"/>
  <c r="I86" i="9"/>
  <c r="P86" i="9" s="1"/>
  <c r="F87" i="9"/>
  <c r="K51" i="8"/>
  <c r="D60" i="3"/>
  <c r="R59" i="3"/>
  <c r="A26" i="11" l="1"/>
  <c r="T25" i="11"/>
  <c r="R25" i="11"/>
  <c r="Z28" i="10"/>
  <c r="Y28" i="10"/>
  <c r="X28" i="10"/>
  <c r="H29" i="10"/>
  <c r="L52" i="8"/>
  <c r="N52" i="8"/>
  <c r="M52" i="8"/>
  <c r="F60" i="3"/>
  <c r="G60" i="3" s="1"/>
  <c r="I87" i="9"/>
  <c r="P87" i="9" s="1"/>
  <c r="F88" i="9"/>
  <c r="E67" i="9"/>
  <c r="G67" i="9" s="1"/>
  <c r="J67" i="9" s="1"/>
  <c r="D52" i="8"/>
  <c r="B52" i="8"/>
  <c r="H52" i="8"/>
  <c r="C52" i="8"/>
  <c r="F87" i="4"/>
  <c r="H87" i="4" s="1"/>
  <c r="N87" i="4" s="1"/>
  <c r="G26" i="11" l="1"/>
  <c r="D26" i="11"/>
  <c r="U26" i="11"/>
  <c r="X26" i="11" s="1"/>
  <c r="W26" i="11"/>
  <c r="B26" i="11"/>
  <c r="V26" i="11"/>
  <c r="F26" i="11"/>
  <c r="C26" i="11"/>
  <c r="I29" i="10"/>
  <c r="O52" i="8"/>
  <c r="Q51" i="8"/>
  <c r="S51" i="8"/>
  <c r="R51" i="8"/>
  <c r="K67" i="9"/>
  <c r="D68" i="9"/>
  <c r="I88" i="9"/>
  <c r="P88" i="9" s="1"/>
  <c r="F89" i="9"/>
  <c r="E52" i="8"/>
  <c r="F52" i="8" s="1"/>
  <c r="M60" i="3"/>
  <c r="H60" i="3"/>
  <c r="N60" i="3" s="1"/>
  <c r="D88" i="4"/>
  <c r="R87" i="4"/>
  <c r="AC25" i="11" l="1"/>
  <c r="AA25" i="11"/>
  <c r="AB25" i="11"/>
  <c r="H26" i="11"/>
  <c r="E26" i="11"/>
  <c r="L29" i="10"/>
  <c r="J29" i="10"/>
  <c r="E68" i="9"/>
  <c r="G68" i="9" s="1"/>
  <c r="J68" i="9" s="1"/>
  <c r="F88" i="4"/>
  <c r="H88" i="4" s="1"/>
  <c r="N88" i="4" s="1"/>
  <c r="D61" i="3"/>
  <c r="R60" i="3"/>
  <c r="G52" i="8"/>
  <c r="J52" i="8" s="1"/>
  <c r="A53" i="8" s="1"/>
  <c r="I52" i="8"/>
  <c r="P52" i="8" s="1"/>
  <c r="I89" i="9"/>
  <c r="P89" i="9" s="1"/>
  <c r="I26" i="11" l="1"/>
  <c r="J26" i="11" s="1"/>
  <c r="N26" i="11" s="1"/>
  <c r="M29" i="10"/>
  <c r="V29" i="10"/>
  <c r="K68" i="9"/>
  <c r="D69" i="9"/>
  <c r="D89" i="4"/>
  <c r="R88" i="4"/>
  <c r="K52" i="8"/>
  <c r="F61" i="3"/>
  <c r="G61" i="3" s="1"/>
  <c r="K26" i="11" l="1"/>
  <c r="L26" i="11"/>
  <c r="W29" i="10"/>
  <c r="K29" i="10"/>
  <c r="N53" i="8"/>
  <c r="M53" i="8"/>
  <c r="L53" i="8"/>
  <c r="C53" i="8"/>
  <c r="B53" i="8"/>
  <c r="H53" i="8"/>
  <c r="D53" i="8"/>
  <c r="F89" i="4"/>
  <c r="E69" i="9"/>
  <c r="G69" i="9" s="1"/>
  <c r="J69" i="9" s="1"/>
  <c r="M61" i="3"/>
  <c r="H61" i="3"/>
  <c r="N61" i="3" s="1"/>
  <c r="O26" i="11" l="1"/>
  <c r="Y26" i="11"/>
  <c r="Z26" i="11" s="1"/>
  <c r="P26" i="11"/>
  <c r="M26" i="11"/>
  <c r="N29" i="10"/>
  <c r="P29" i="10"/>
  <c r="O53" i="8"/>
  <c r="R52" i="8"/>
  <c r="S52" i="8"/>
  <c r="Q52" i="8"/>
  <c r="D70" i="9"/>
  <c r="K69" i="9"/>
  <c r="E53" i="8"/>
  <c r="F53" i="8" s="1"/>
  <c r="U3" i="4"/>
  <c r="H89" i="4"/>
  <c r="N89" i="4" s="1"/>
  <c r="D62" i="3"/>
  <c r="R61" i="3"/>
  <c r="Q26" i="11" l="1"/>
  <c r="S26" i="11"/>
  <c r="A30" i="10"/>
  <c r="Q29" i="10"/>
  <c r="O29" i="10"/>
  <c r="I53" i="8"/>
  <c r="P53" i="8" s="1"/>
  <c r="G53" i="8"/>
  <c r="J53" i="8" s="1"/>
  <c r="A54" i="8" s="1"/>
  <c r="F62" i="3"/>
  <c r="G62" i="3" s="1"/>
  <c r="R89" i="4"/>
  <c r="U5" i="4"/>
  <c r="E70" i="9"/>
  <c r="G70" i="9" s="1"/>
  <c r="J70" i="9" s="1"/>
  <c r="R26" i="11" l="1"/>
  <c r="T26" i="11"/>
  <c r="A27" i="11"/>
  <c r="B30" i="10"/>
  <c r="D30" i="10"/>
  <c r="F30" i="10"/>
  <c r="G30" i="10"/>
  <c r="T30" i="10"/>
  <c r="S30" i="10"/>
  <c r="R30" i="10"/>
  <c r="U30" i="10" s="1"/>
  <c r="C30" i="10"/>
  <c r="K70" i="9"/>
  <c r="D71" i="9"/>
  <c r="K53" i="8"/>
  <c r="M62" i="3"/>
  <c r="H62" i="3"/>
  <c r="N62" i="3" s="1"/>
  <c r="W27" i="11" l="1"/>
  <c r="G27" i="11"/>
  <c r="V27" i="11"/>
  <c r="B27" i="11"/>
  <c r="U27" i="11"/>
  <c r="X27" i="11" s="1"/>
  <c r="F27" i="11"/>
  <c r="C27" i="11"/>
  <c r="D27" i="11"/>
  <c r="X29" i="10"/>
  <c r="Z29" i="10"/>
  <c r="Y29" i="10"/>
  <c r="E30" i="10"/>
  <c r="H30" i="10"/>
  <c r="I30" i="10"/>
  <c r="L30" i="10" s="1"/>
  <c r="J30" i="10"/>
  <c r="M30" i="10" s="1"/>
  <c r="V30" i="10"/>
  <c r="N54" i="8"/>
  <c r="L54" i="8"/>
  <c r="O54" i="8" s="1"/>
  <c r="M54" i="8"/>
  <c r="E71" i="9"/>
  <c r="G71" i="9" s="1"/>
  <c r="J71" i="9" s="1"/>
  <c r="D63" i="3"/>
  <c r="R62" i="3"/>
  <c r="C54" i="8"/>
  <c r="D54" i="8"/>
  <c r="B54" i="8"/>
  <c r="H54" i="8"/>
  <c r="AB26" i="11" l="1"/>
  <c r="AA26" i="11"/>
  <c r="AC26" i="11"/>
  <c r="H27" i="11"/>
  <c r="I27" i="11" s="1"/>
  <c r="E27" i="11"/>
  <c r="W30" i="10"/>
  <c r="K30" i="10"/>
  <c r="Q53" i="8"/>
  <c r="S53" i="8"/>
  <c r="R53" i="8"/>
  <c r="E54" i="8"/>
  <c r="F54" i="8" s="1"/>
  <c r="D72" i="9"/>
  <c r="K71" i="9"/>
  <c r="F63" i="3"/>
  <c r="G63" i="3" s="1"/>
  <c r="J27" i="11" l="1"/>
  <c r="N30" i="10"/>
  <c r="P30" i="10"/>
  <c r="A31" i="10"/>
  <c r="Q30" i="10"/>
  <c r="O30" i="10"/>
  <c r="H63" i="3"/>
  <c r="N63" i="3" s="1"/>
  <c r="M63" i="3"/>
  <c r="E72" i="9"/>
  <c r="G72" i="9" s="1"/>
  <c r="J72" i="9" s="1"/>
  <c r="G54" i="8"/>
  <c r="J54" i="8" s="1"/>
  <c r="A55" i="8" s="1"/>
  <c r="I54" i="8"/>
  <c r="P54" i="8" s="1"/>
  <c r="N27" i="11" l="1"/>
  <c r="K27" i="11"/>
  <c r="B31" i="10"/>
  <c r="F31" i="10"/>
  <c r="G31" i="10"/>
  <c r="D31" i="10"/>
  <c r="E31" i="10" s="1"/>
  <c r="T31" i="10"/>
  <c r="S31" i="10"/>
  <c r="R31" i="10"/>
  <c r="C31" i="10"/>
  <c r="D73" i="9"/>
  <c r="K72" i="9"/>
  <c r="K54" i="8"/>
  <c r="D64" i="3"/>
  <c r="R63" i="3"/>
  <c r="U31" i="10" l="1"/>
  <c r="H31" i="10" s="1"/>
  <c r="O27" i="11"/>
  <c r="L27" i="11"/>
  <c r="Z30" i="10"/>
  <c r="Y30" i="10"/>
  <c r="X30" i="10"/>
  <c r="N55" i="8"/>
  <c r="M55" i="8"/>
  <c r="L55" i="8"/>
  <c r="H55" i="8"/>
  <c r="D55" i="8"/>
  <c r="E55" i="8" s="1"/>
  <c r="C55" i="8"/>
  <c r="B55" i="8"/>
  <c r="E73" i="9"/>
  <c r="G73" i="9" s="1"/>
  <c r="J73" i="9" s="1"/>
  <c r="F64" i="3"/>
  <c r="G64" i="3" s="1"/>
  <c r="P27" i="11" l="1"/>
  <c r="Y27" i="11"/>
  <c r="I31" i="10"/>
  <c r="O55" i="8"/>
  <c r="S54" i="8"/>
  <c r="R54" i="8"/>
  <c r="Q54" i="8"/>
  <c r="H64" i="3"/>
  <c r="N64" i="3" s="1"/>
  <c r="M64" i="3"/>
  <c r="D74" i="9"/>
  <c r="K73" i="9"/>
  <c r="F55" i="8"/>
  <c r="Z27" i="11" l="1"/>
  <c r="M27" i="11"/>
  <c r="L31" i="10"/>
  <c r="J31" i="10"/>
  <c r="V31" i="10" s="1"/>
  <c r="W31" i="10" s="1"/>
  <c r="E74" i="9"/>
  <c r="G74" i="9" s="1"/>
  <c r="J74" i="9" s="1"/>
  <c r="R64" i="3"/>
  <c r="D65" i="3"/>
  <c r="G55" i="8"/>
  <c r="J55" i="8" s="1"/>
  <c r="A56" i="8" s="1"/>
  <c r="I55" i="8"/>
  <c r="P55" i="8" s="1"/>
  <c r="S27" i="11" l="1"/>
  <c r="Q27" i="11"/>
  <c r="M31" i="10"/>
  <c r="K31" i="10"/>
  <c r="K74" i="9"/>
  <c r="D75" i="9"/>
  <c r="F65" i="3"/>
  <c r="G65" i="3" s="1"/>
  <c r="K55" i="8"/>
  <c r="A28" i="11" l="1"/>
  <c r="R27" i="11"/>
  <c r="T27" i="11"/>
  <c r="P31" i="10"/>
  <c r="N31" i="10"/>
  <c r="O31" i="10"/>
  <c r="A32" i="10"/>
  <c r="Q31" i="10"/>
  <c r="M56" i="8"/>
  <c r="N56" i="8"/>
  <c r="L56" i="8"/>
  <c r="O56" i="8" s="1"/>
  <c r="M65" i="3"/>
  <c r="H65" i="3"/>
  <c r="N65" i="3" s="1"/>
  <c r="E75" i="9"/>
  <c r="G75" i="9" s="1"/>
  <c r="J75" i="9" s="1"/>
  <c r="C56" i="8"/>
  <c r="B56" i="8"/>
  <c r="H56" i="8"/>
  <c r="D56" i="8"/>
  <c r="C28" i="11" l="1"/>
  <c r="D28" i="11"/>
  <c r="B28" i="11"/>
  <c r="F28" i="11"/>
  <c r="G28" i="11"/>
  <c r="U28" i="11"/>
  <c r="W28" i="11"/>
  <c r="V28" i="11"/>
  <c r="D32" i="10"/>
  <c r="E32" i="10" s="1"/>
  <c r="F32" i="10"/>
  <c r="G32" i="10"/>
  <c r="B32" i="10"/>
  <c r="T32" i="10"/>
  <c r="S32" i="10"/>
  <c r="R32" i="10"/>
  <c r="U32" i="10" s="1"/>
  <c r="C32" i="10"/>
  <c r="R55" i="8"/>
  <c r="S55" i="8"/>
  <c r="Q55" i="8"/>
  <c r="E56" i="8"/>
  <c r="F56" i="8" s="1"/>
  <c r="D76" i="9"/>
  <c r="K75" i="9"/>
  <c r="D66" i="3"/>
  <c r="R65" i="3"/>
  <c r="AB27" i="11" l="1"/>
  <c r="AA27" i="11"/>
  <c r="AC27" i="11"/>
  <c r="X28" i="11"/>
  <c r="E28" i="11"/>
  <c r="H28" i="11"/>
  <c r="Z31" i="10"/>
  <c r="Y31" i="10"/>
  <c r="X31" i="10"/>
  <c r="H32" i="10"/>
  <c r="I56" i="8"/>
  <c r="P56" i="8" s="1"/>
  <c r="G56" i="8"/>
  <c r="J56" i="8" s="1"/>
  <c r="A57" i="8" s="1"/>
  <c r="E76" i="9"/>
  <c r="G76" i="9" s="1"/>
  <c r="J76" i="9" s="1"/>
  <c r="F66" i="3"/>
  <c r="G66" i="3" s="1"/>
  <c r="I28" i="11" l="1"/>
  <c r="J28" i="11" s="1"/>
  <c r="N28" i="11" s="1"/>
  <c r="I32" i="10"/>
  <c r="L32" i="10" s="1"/>
  <c r="J32" i="10"/>
  <c r="H66" i="3"/>
  <c r="N66" i="3" s="1"/>
  <c r="M66" i="3"/>
  <c r="K76" i="9"/>
  <c r="D77" i="9"/>
  <c r="K56" i="8"/>
  <c r="K28" i="11" l="1"/>
  <c r="L28" i="11"/>
  <c r="M32" i="10"/>
  <c r="V32" i="10"/>
  <c r="L57" i="8"/>
  <c r="N57" i="8"/>
  <c r="M57" i="8"/>
  <c r="E77" i="9"/>
  <c r="G77" i="9" s="1"/>
  <c r="J77" i="9" s="1"/>
  <c r="B57" i="8"/>
  <c r="D57" i="8"/>
  <c r="E57" i="8" s="1"/>
  <c r="F57" i="8" s="1"/>
  <c r="H57" i="8"/>
  <c r="C57" i="8"/>
  <c r="D67" i="3"/>
  <c r="R66" i="3"/>
  <c r="O57" i="8" l="1"/>
  <c r="O28" i="11"/>
  <c r="Y28" i="11"/>
  <c r="P28" i="11"/>
  <c r="W32" i="10"/>
  <c r="K32" i="10"/>
  <c r="R56" i="8"/>
  <c r="Q56" i="8"/>
  <c r="S56" i="8"/>
  <c r="I57" i="8"/>
  <c r="G57" i="8"/>
  <c r="J57" i="8" s="1"/>
  <c r="A58" i="8" s="1"/>
  <c r="F67" i="3"/>
  <c r="G67" i="3" s="1"/>
  <c r="K77" i="9"/>
  <c r="D78" i="9"/>
  <c r="P57" i="8" l="1"/>
  <c r="Z28" i="11"/>
  <c r="M28" i="11"/>
  <c r="N32" i="10"/>
  <c r="P32" i="10"/>
  <c r="M67" i="3"/>
  <c r="H67" i="3"/>
  <c r="N67" i="3" s="1"/>
  <c r="K57" i="8"/>
  <c r="E78" i="9"/>
  <c r="G78" i="9" s="1"/>
  <c r="J78" i="9" s="1"/>
  <c r="Q28" i="11" l="1"/>
  <c r="S28" i="11"/>
  <c r="O32" i="10"/>
  <c r="Q32" i="10"/>
  <c r="A33" i="10"/>
  <c r="M58" i="8"/>
  <c r="L58" i="8"/>
  <c r="N58" i="8"/>
  <c r="K78" i="9"/>
  <c r="D79" i="9"/>
  <c r="D68" i="3"/>
  <c r="R67" i="3"/>
  <c r="C58" i="8"/>
  <c r="B58" i="8"/>
  <c r="H58" i="8"/>
  <c r="D58" i="8"/>
  <c r="R28" i="11" l="1"/>
  <c r="A29" i="11"/>
  <c r="T28" i="11"/>
  <c r="F33" i="10"/>
  <c r="G33" i="10"/>
  <c r="D33" i="10"/>
  <c r="B33" i="10"/>
  <c r="T33" i="10"/>
  <c r="S33" i="10"/>
  <c r="R33" i="10"/>
  <c r="U33" i="10" s="1"/>
  <c r="C33" i="10"/>
  <c r="O58" i="8"/>
  <c r="Q57" i="8"/>
  <c r="S57" i="8"/>
  <c r="R57" i="8"/>
  <c r="E58" i="8"/>
  <c r="F58" i="8" s="1"/>
  <c r="F68" i="3"/>
  <c r="G68" i="3" s="1"/>
  <c r="E79" i="9"/>
  <c r="G79" i="9" s="1"/>
  <c r="J79" i="9" s="1"/>
  <c r="G29" i="11" l="1"/>
  <c r="F29" i="11"/>
  <c r="C29" i="11"/>
  <c r="D29" i="11"/>
  <c r="B29" i="11"/>
  <c r="U29" i="11"/>
  <c r="W29" i="11"/>
  <c r="V29" i="11"/>
  <c r="Z32" i="10"/>
  <c r="Y32" i="10"/>
  <c r="X32" i="10"/>
  <c r="E33" i="10"/>
  <c r="H33" i="10" s="1"/>
  <c r="K79" i="9"/>
  <c r="D80" i="9"/>
  <c r="I58" i="8"/>
  <c r="P58" i="8" s="1"/>
  <c r="G58" i="8"/>
  <c r="J58" i="8" s="1"/>
  <c r="A59" i="8" s="1"/>
  <c r="M68" i="3"/>
  <c r="H68" i="3"/>
  <c r="N68" i="3" s="1"/>
  <c r="AB28" i="11" l="1"/>
  <c r="AA28" i="11"/>
  <c r="AC28" i="11"/>
  <c r="X29" i="11"/>
  <c r="H29" i="11"/>
  <c r="E29" i="11"/>
  <c r="I33" i="10"/>
  <c r="J33" i="10"/>
  <c r="K58" i="8"/>
  <c r="E80" i="9"/>
  <c r="G80" i="9" s="1"/>
  <c r="J80" i="9" s="1"/>
  <c r="D69" i="3"/>
  <c r="R68" i="3"/>
  <c r="I29" i="11" l="1"/>
  <c r="L33" i="10"/>
  <c r="M33" i="10"/>
  <c r="V33" i="10"/>
  <c r="N59" i="8"/>
  <c r="M59" i="8"/>
  <c r="L59" i="8"/>
  <c r="O59" i="8" s="1"/>
  <c r="D81" i="9"/>
  <c r="K80" i="9"/>
  <c r="F69" i="3"/>
  <c r="G69" i="3" s="1"/>
  <c r="D59" i="8"/>
  <c r="C59" i="8"/>
  <c r="B59" i="8"/>
  <c r="H59" i="8"/>
  <c r="J29" i="11" l="1"/>
  <c r="W33" i="10"/>
  <c r="K33" i="10"/>
  <c r="R58" i="8"/>
  <c r="Q58" i="8"/>
  <c r="S58" i="8"/>
  <c r="M69" i="3"/>
  <c r="H69" i="3"/>
  <c r="N69" i="3" s="1"/>
  <c r="E59" i="8"/>
  <c r="F59" i="8" s="1"/>
  <c r="E81" i="9"/>
  <c r="G81" i="9" s="1"/>
  <c r="J81" i="9" s="1"/>
  <c r="N29" i="11" l="1"/>
  <c r="K29" i="11"/>
  <c r="P33" i="10"/>
  <c r="N33" i="10"/>
  <c r="G59" i="8"/>
  <c r="J59" i="8" s="1"/>
  <c r="A60" i="8" s="1"/>
  <c r="I59" i="8"/>
  <c r="P59" i="8" s="1"/>
  <c r="D82" i="9"/>
  <c r="K81" i="9"/>
  <c r="D70" i="3"/>
  <c r="R69" i="3"/>
  <c r="O29" i="11" l="1"/>
  <c r="L29" i="11"/>
  <c r="P29" i="11" s="1"/>
  <c r="Y29" i="11"/>
  <c r="Z29" i="11" s="1"/>
  <c r="M29" i="11"/>
  <c r="Q33" i="10"/>
  <c r="A34" i="10"/>
  <c r="O33" i="10"/>
  <c r="E82" i="9"/>
  <c r="G82" i="9" s="1"/>
  <c r="J82" i="9" s="1"/>
  <c r="F70" i="3"/>
  <c r="G70" i="3" s="1"/>
  <c r="K59" i="8"/>
  <c r="S29" i="11" l="1"/>
  <c r="Q29" i="11"/>
  <c r="D34" i="10"/>
  <c r="E34" i="10" s="1"/>
  <c r="F34" i="10"/>
  <c r="G34" i="10"/>
  <c r="B34" i="10"/>
  <c r="T34" i="10"/>
  <c r="S34" i="10"/>
  <c r="R34" i="10"/>
  <c r="U34" i="10" s="1"/>
  <c r="C34" i="10"/>
  <c r="L60" i="8"/>
  <c r="N60" i="8"/>
  <c r="M60" i="8"/>
  <c r="M70" i="3"/>
  <c r="H70" i="3"/>
  <c r="N70" i="3" s="1"/>
  <c r="K82" i="9"/>
  <c r="D83" i="9"/>
  <c r="H60" i="8"/>
  <c r="D60" i="8"/>
  <c r="C60" i="8"/>
  <c r="B60" i="8"/>
  <c r="R29" i="11" l="1"/>
  <c r="T29" i="11"/>
  <c r="A30" i="11"/>
  <c r="O60" i="8"/>
  <c r="Y33" i="10"/>
  <c r="Z33" i="10"/>
  <c r="X33" i="10"/>
  <c r="H34" i="10"/>
  <c r="Q59" i="8"/>
  <c r="R59" i="8"/>
  <c r="S59" i="8"/>
  <c r="E60" i="8"/>
  <c r="F60" i="8" s="1"/>
  <c r="E83" i="9"/>
  <c r="G83" i="9" s="1"/>
  <c r="J83" i="9" s="1"/>
  <c r="D71" i="3"/>
  <c r="R70" i="3"/>
  <c r="H30" i="11" l="1"/>
  <c r="E30" i="11"/>
  <c r="G30" i="11"/>
  <c r="B30" i="11"/>
  <c r="F30" i="11"/>
  <c r="D30" i="11"/>
  <c r="C30" i="11"/>
  <c r="U30" i="11"/>
  <c r="W30" i="11"/>
  <c r="V30" i="11"/>
  <c r="I34" i="10"/>
  <c r="G60" i="8"/>
  <c r="J60" i="8" s="1"/>
  <c r="A61" i="8" s="1"/>
  <c r="I60" i="8"/>
  <c r="P60" i="8" s="1"/>
  <c r="F71" i="3"/>
  <c r="G71" i="3" s="1"/>
  <c r="D84" i="9"/>
  <c r="K83" i="9"/>
  <c r="AA29" i="11" l="1"/>
  <c r="AB29" i="11"/>
  <c r="AC29" i="11"/>
  <c r="X30" i="11"/>
  <c r="L34" i="10"/>
  <c r="J34" i="10"/>
  <c r="H71" i="3"/>
  <c r="N71" i="3" s="1"/>
  <c r="M71" i="3"/>
  <c r="K60" i="8"/>
  <c r="E84" i="9"/>
  <c r="G84" i="9" s="1"/>
  <c r="J84" i="9" s="1"/>
  <c r="I30" i="11" l="1"/>
  <c r="M34" i="10"/>
  <c r="V34" i="10"/>
  <c r="L61" i="8"/>
  <c r="M61" i="8"/>
  <c r="N61" i="8"/>
  <c r="D85" i="9"/>
  <c r="K84" i="9"/>
  <c r="C61" i="8"/>
  <c r="B61" i="8"/>
  <c r="H61" i="8"/>
  <c r="D61" i="8"/>
  <c r="R71" i="3"/>
  <c r="D72" i="3"/>
  <c r="J30" i="11" l="1"/>
  <c r="O61" i="8"/>
  <c r="W34" i="10"/>
  <c r="K34" i="10"/>
  <c r="N34" i="10"/>
  <c r="P34" i="10"/>
  <c r="Q60" i="8"/>
  <c r="S60" i="8"/>
  <c r="R60" i="8"/>
  <c r="E61" i="8"/>
  <c r="F61" i="8" s="1"/>
  <c r="E85" i="9"/>
  <c r="G85" i="9" s="1"/>
  <c r="J85" i="9" s="1"/>
  <c r="F72" i="3"/>
  <c r="G72" i="3" s="1"/>
  <c r="N30" i="11" l="1"/>
  <c r="K30" i="11"/>
  <c r="O34" i="10"/>
  <c r="A35" i="10"/>
  <c r="Q34" i="10"/>
  <c r="I61" i="8"/>
  <c r="P61" i="8" s="1"/>
  <c r="G61" i="8"/>
  <c r="J61" i="8" s="1"/>
  <c r="A62" i="8" s="1"/>
  <c r="M72" i="3"/>
  <c r="H72" i="3"/>
  <c r="N72" i="3" s="1"/>
  <c r="D86" i="9"/>
  <c r="K85" i="9"/>
  <c r="O30" i="11" l="1"/>
  <c r="L30" i="11"/>
  <c r="G35" i="10"/>
  <c r="B35" i="10"/>
  <c r="D35" i="10"/>
  <c r="F35" i="10"/>
  <c r="T35" i="10"/>
  <c r="S35" i="10"/>
  <c r="R35" i="10"/>
  <c r="U35" i="10" s="1"/>
  <c r="C35" i="10"/>
  <c r="L62" i="8"/>
  <c r="N62" i="8"/>
  <c r="M62" i="8"/>
  <c r="O62" i="8" s="1"/>
  <c r="K61" i="8"/>
  <c r="C62" i="8"/>
  <c r="D62" i="8"/>
  <c r="E62" i="8" s="1"/>
  <c r="F62" i="8" s="1"/>
  <c r="H62" i="8"/>
  <c r="B62" i="8"/>
  <c r="E86" i="9"/>
  <c r="G86" i="9" s="1"/>
  <c r="J86" i="9" s="1"/>
  <c r="R72" i="3"/>
  <c r="D73" i="3"/>
  <c r="P30" i="11" l="1"/>
  <c r="Y30" i="11"/>
  <c r="Z30" i="11" s="1"/>
  <c r="M30" i="11"/>
  <c r="Y34" i="10"/>
  <c r="Z34" i="10"/>
  <c r="X34" i="10"/>
  <c r="E35" i="10"/>
  <c r="H35" i="10"/>
  <c r="Q61" i="8"/>
  <c r="R61" i="8"/>
  <c r="S61" i="8"/>
  <c r="I62" i="8"/>
  <c r="P62" i="8" s="1"/>
  <c r="G62" i="8"/>
  <c r="J62" i="8" s="1"/>
  <c r="K86" i="9"/>
  <c r="D87" i="9"/>
  <c r="F73" i="3"/>
  <c r="G73" i="3" s="1"/>
  <c r="Q30" i="11" l="1"/>
  <c r="S30" i="11"/>
  <c r="I35" i="10"/>
  <c r="K62" i="8"/>
  <c r="A63" i="8"/>
  <c r="E87" i="9"/>
  <c r="G87" i="9" s="1"/>
  <c r="J87" i="9" s="1"/>
  <c r="H73" i="3"/>
  <c r="N73" i="3" s="1"/>
  <c r="M73" i="3"/>
  <c r="R30" i="11" l="1"/>
  <c r="A31" i="11"/>
  <c r="T30" i="11"/>
  <c r="L35" i="10"/>
  <c r="J35" i="10"/>
  <c r="L63" i="8"/>
  <c r="M63" i="8"/>
  <c r="N63" i="8"/>
  <c r="D63" i="8"/>
  <c r="E63" i="8" s="1"/>
  <c r="F63" i="8" s="1"/>
  <c r="G63" i="8" s="1"/>
  <c r="H63" i="8"/>
  <c r="C63" i="8"/>
  <c r="B63" i="8"/>
  <c r="K87" i="9"/>
  <c r="D88" i="9"/>
  <c r="D74" i="3"/>
  <c r="R73" i="3"/>
  <c r="G31" i="11" l="1"/>
  <c r="C31" i="11"/>
  <c r="B31" i="11"/>
  <c r="F31" i="11"/>
  <c r="D31" i="11"/>
  <c r="V31" i="11"/>
  <c r="W31" i="11"/>
  <c r="U31" i="11"/>
  <c r="V35" i="10"/>
  <c r="M35" i="10"/>
  <c r="O63" i="8"/>
  <c r="Q62" i="8"/>
  <c r="S62" i="8"/>
  <c r="R62" i="8"/>
  <c r="J63" i="8"/>
  <c r="A64" i="8" s="1"/>
  <c r="I63" i="8"/>
  <c r="E88" i="9"/>
  <c r="G88" i="9" s="1"/>
  <c r="J88" i="9" s="1"/>
  <c r="F74" i="3"/>
  <c r="G74" i="3" s="1"/>
  <c r="AC30" i="11" l="1"/>
  <c r="AB30" i="11"/>
  <c r="AA30" i="11"/>
  <c r="X31" i="11"/>
  <c r="H31" i="11"/>
  <c r="E31" i="11"/>
  <c r="K35" i="10"/>
  <c r="W35" i="10"/>
  <c r="P63" i="8"/>
  <c r="K63" i="8"/>
  <c r="K88" i="9"/>
  <c r="D89" i="9"/>
  <c r="H74" i="3"/>
  <c r="N74" i="3" s="1"/>
  <c r="M74" i="3"/>
  <c r="I31" i="11" l="1"/>
  <c r="J31" i="11" s="1"/>
  <c r="N31" i="11" s="1"/>
  <c r="P35" i="10"/>
  <c r="N35" i="10"/>
  <c r="L64" i="8"/>
  <c r="M64" i="8"/>
  <c r="N64" i="8"/>
  <c r="H64" i="8"/>
  <c r="B64" i="8"/>
  <c r="C64" i="8"/>
  <c r="D64" i="8"/>
  <c r="E64" i="8" s="1"/>
  <c r="F64" i="8" s="1"/>
  <c r="D75" i="3"/>
  <c r="R74" i="3"/>
  <c r="E89" i="9"/>
  <c r="G89" i="9" s="1"/>
  <c r="J89" i="9" s="1"/>
  <c r="K31" i="11" l="1"/>
  <c r="O35" i="10"/>
  <c r="Q35" i="10"/>
  <c r="A36" i="10"/>
  <c r="O64" i="8"/>
  <c r="Q63" i="8"/>
  <c r="S63" i="8"/>
  <c r="R63" i="8"/>
  <c r="I64" i="8"/>
  <c r="G64" i="8"/>
  <c r="J64" i="8" s="1"/>
  <c r="A65" i="8" s="1"/>
  <c r="K89" i="9"/>
  <c r="V8" i="9"/>
  <c r="F75" i="3"/>
  <c r="G75" i="3" s="1"/>
  <c r="O31" i="11" l="1"/>
  <c r="L31" i="11"/>
  <c r="P31" i="11" s="1"/>
  <c r="Y31" i="11"/>
  <c r="Z31" i="11" s="1"/>
  <c r="M31" i="11"/>
  <c r="T36" i="10"/>
  <c r="S36" i="10"/>
  <c r="R36" i="10"/>
  <c r="C36" i="10"/>
  <c r="B36" i="10"/>
  <c r="D36" i="10"/>
  <c r="E36" i="10" s="1"/>
  <c r="F36" i="10"/>
  <c r="G36" i="10"/>
  <c r="P64" i="8"/>
  <c r="K64" i="8"/>
  <c r="M75" i="3"/>
  <c r="H75" i="3"/>
  <c r="N75" i="3" s="1"/>
  <c r="S31" i="11" l="1"/>
  <c r="Q31" i="11"/>
  <c r="U36" i="10"/>
  <c r="H36" i="10" s="1"/>
  <c r="Z35" i="10"/>
  <c r="X35" i="10"/>
  <c r="Y35" i="10"/>
  <c r="L65" i="8"/>
  <c r="N65" i="8"/>
  <c r="M65" i="8"/>
  <c r="C65" i="8"/>
  <c r="B65" i="8"/>
  <c r="H65" i="8"/>
  <c r="D65" i="8"/>
  <c r="E65" i="8" s="1"/>
  <c r="F65" i="8" s="1"/>
  <c r="D76" i="3"/>
  <c r="R75" i="3"/>
  <c r="T31" i="11" l="1"/>
  <c r="R31" i="11"/>
  <c r="A32" i="11"/>
  <c r="I36" i="10"/>
  <c r="O65" i="8"/>
  <c r="Q64" i="8"/>
  <c r="R64" i="8"/>
  <c r="S64" i="8"/>
  <c r="F76" i="3"/>
  <c r="G76" i="3" s="1"/>
  <c r="I65" i="8"/>
  <c r="G65" i="8"/>
  <c r="J65" i="8" s="1"/>
  <c r="A66" i="8" s="1"/>
  <c r="G32" i="11" l="1"/>
  <c r="C32" i="11"/>
  <c r="U32" i="11"/>
  <c r="X32" i="11" s="1"/>
  <c r="V32" i="11"/>
  <c r="D32" i="11"/>
  <c r="B32" i="11"/>
  <c r="F32" i="11"/>
  <c r="W32" i="11"/>
  <c r="L36" i="10"/>
  <c r="J36" i="10"/>
  <c r="V36" i="10" s="1"/>
  <c r="M36" i="10"/>
  <c r="P65" i="8"/>
  <c r="K65" i="8"/>
  <c r="M76" i="3"/>
  <c r="H76" i="3"/>
  <c r="N76" i="3" s="1"/>
  <c r="AA31" i="11" l="1"/>
  <c r="AC31" i="11"/>
  <c r="AB31" i="11"/>
  <c r="H32" i="11"/>
  <c r="I32" i="11" s="1"/>
  <c r="E32" i="11"/>
  <c r="K36" i="10"/>
  <c r="W36" i="10"/>
  <c r="P36" i="10"/>
  <c r="N36" i="10"/>
  <c r="L66" i="8"/>
  <c r="M66" i="8"/>
  <c r="O66" i="8" s="1"/>
  <c r="N66" i="8"/>
  <c r="H66" i="8"/>
  <c r="D66" i="8"/>
  <c r="C66" i="8"/>
  <c r="B66" i="8"/>
  <c r="D77" i="3"/>
  <c r="R76" i="3"/>
  <c r="J32" i="11" l="1"/>
  <c r="O36" i="10"/>
  <c r="Q36" i="10"/>
  <c r="A37" i="10"/>
  <c r="S65" i="8"/>
  <c r="R65" i="8"/>
  <c r="Q65" i="8"/>
  <c r="F77" i="3"/>
  <c r="G77" i="3" s="1"/>
  <c r="E66" i="8"/>
  <c r="F66" i="8" s="1"/>
  <c r="N32" i="11" l="1"/>
  <c r="K32" i="11"/>
  <c r="T37" i="10"/>
  <c r="S37" i="10"/>
  <c r="R37" i="10"/>
  <c r="U37" i="10" s="1"/>
  <c r="C37" i="10"/>
  <c r="F37" i="10"/>
  <c r="G37" i="10"/>
  <c r="D37" i="10"/>
  <c r="E37" i="10" s="1"/>
  <c r="B37" i="10"/>
  <c r="M77" i="3"/>
  <c r="H77" i="3"/>
  <c r="N77" i="3" s="1"/>
  <c r="G66" i="8"/>
  <c r="J66" i="8" s="1"/>
  <c r="A67" i="8" s="1"/>
  <c r="I66" i="8"/>
  <c r="P66" i="8" s="1"/>
  <c r="L32" i="11" l="1"/>
  <c r="O32" i="11"/>
  <c r="Z36" i="10"/>
  <c r="Y36" i="10"/>
  <c r="X36" i="10"/>
  <c r="H37" i="10"/>
  <c r="I37" i="10" s="1"/>
  <c r="L37" i="10" s="1"/>
  <c r="K66" i="8"/>
  <c r="D78" i="3"/>
  <c r="R77" i="3"/>
  <c r="P32" i="11" l="1"/>
  <c r="Y32" i="11"/>
  <c r="J37" i="10"/>
  <c r="L67" i="8"/>
  <c r="N67" i="8"/>
  <c r="M67" i="8"/>
  <c r="O67" i="8" s="1"/>
  <c r="D67" i="8"/>
  <c r="E67" i="8" s="1"/>
  <c r="F67" i="8" s="1"/>
  <c r="C67" i="8"/>
  <c r="B67" i="8"/>
  <c r="H67" i="8"/>
  <c r="F78" i="3"/>
  <c r="G78" i="3" s="1"/>
  <c r="M32" i="11" l="1"/>
  <c r="Z32" i="11"/>
  <c r="M37" i="10"/>
  <c r="V37" i="10"/>
  <c r="R66" i="8"/>
  <c r="S66" i="8"/>
  <c r="Q66" i="8"/>
  <c r="M78" i="3"/>
  <c r="H78" i="3"/>
  <c r="N78" i="3" s="1"/>
  <c r="I67" i="8"/>
  <c r="P67" i="8" s="1"/>
  <c r="G67" i="8"/>
  <c r="J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V6" i="8" s="1"/>
  <c r="S32" i="11" l="1"/>
  <c r="Q32" i="11"/>
  <c r="W37" i="10"/>
  <c r="K37" i="10"/>
  <c r="K67" i="8"/>
  <c r="D79" i="3"/>
  <c r="R78" i="3"/>
  <c r="T32" i="11" l="1"/>
  <c r="R32" i="11"/>
  <c r="A33" i="11"/>
  <c r="N37" i="10"/>
  <c r="P37" i="10"/>
  <c r="M68" i="8"/>
  <c r="N68" i="8"/>
  <c r="L68" i="8"/>
  <c r="P68" i="8"/>
  <c r="O68" i="8"/>
  <c r="F79" i="3"/>
  <c r="G79" i="3" s="1"/>
  <c r="B68" i="8"/>
  <c r="H68" i="8"/>
  <c r="D68" i="8"/>
  <c r="E68" i="8" s="1"/>
  <c r="C68" i="8"/>
  <c r="F33" i="11" l="1"/>
  <c r="V33" i="11"/>
  <c r="G33" i="11"/>
  <c r="D33" i="11"/>
  <c r="C33" i="11"/>
  <c r="B33" i="11"/>
  <c r="U33" i="11"/>
  <c r="W33" i="11"/>
  <c r="A38" i="10"/>
  <c r="Q37" i="10"/>
  <c r="O37" i="10"/>
  <c r="Q68" i="8"/>
  <c r="R68" i="8"/>
  <c r="S68" i="8"/>
  <c r="R67" i="8"/>
  <c r="Q67" i="8"/>
  <c r="S67" i="8"/>
  <c r="F68" i="8"/>
  <c r="I68" i="8" s="1"/>
  <c r="H79" i="3"/>
  <c r="N79" i="3" s="1"/>
  <c r="M79" i="3"/>
  <c r="AB32" i="11" l="1"/>
  <c r="AC32" i="11"/>
  <c r="AA32" i="11"/>
  <c r="X33" i="11"/>
  <c r="I33" i="11" s="1"/>
  <c r="H33" i="11"/>
  <c r="E33" i="11"/>
  <c r="T38" i="10"/>
  <c r="S38" i="10"/>
  <c r="R38" i="10"/>
  <c r="U38" i="10" s="1"/>
  <c r="C38" i="10"/>
  <c r="G38" i="10"/>
  <c r="F38" i="10"/>
  <c r="D38" i="10"/>
  <c r="E38" i="10" s="1"/>
  <c r="B38" i="10"/>
  <c r="G68" i="8"/>
  <c r="J68" i="8" s="1"/>
  <c r="R79" i="3"/>
  <c r="D80" i="3"/>
  <c r="K68" i="8"/>
  <c r="K33" i="11" l="1"/>
  <c r="J33" i="11"/>
  <c r="N33" i="11"/>
  <c r="Z37" i="10"/>
  <c r="Y37" i="10"/>
  <c r="X37" i="10"/>
  <c r="H38" i="10"/>
  <c r="N69" i="8"/>
  <c r="P69" i="8"/>
  <c r="M69" i="8"/>
  <c r="O69" i="8"/>
  <c r="L69" i="8"/>
  <c r="F80" i="3"/>
  <c r="G80" i="3" s="1"/>
  <c r="D69" i="8"/>
  <c r="E69" i="8" s="1"/>
  <c r="C69" i="8"/>
  <c r="H69" i="8"/>
  <c r="B69" i="8"/>
  <c r="O33" i="11" l="1"/>
  <c r="Y33" i="11"/>
  <c r="L33" i="11"/>
  <c r="P33" i="11" s="1"/>
  <c r="I38" i="10"/>
  <c r="S69" i="8"/>
  <c r="R69" i="8"/>
  <c r="Q69" i="8"/>
  <c r="H80" i="3"/>
  <c r="N80" i="3" s="1"/>
  <c r="M80" i="3"/>
  <c r="F69" i="8"/>
  <c r="Z33" i="11" l="1"/>
  <c r="M33" i="11"/>
  <c r="L38" i="10"/>
  <c r="J38" i="10"/>
  <c r="I69" i="8"/>
  <c r="G69" i="8"/>
  <c r="J69" i="8" s="1"/>
  <c r="R80" i="3"/>
  <c r="D81" i="3"/>
  <c r="S33" i="11" l="1"/>
  <c r="Q33" i="11"/>
  <c r="M38" i="10"/>
  <c r="V38" i="10"/>
  <c r="K69" i="8"/>
  <c r="F81" i="3"/>
  <c r="G81" i="3" s="1"/>
  <c r="T33" i="11" l="1"/>
  <c r="R33" i="11"/>
  <c r="A34" i="11"/>
  <c r="W38" i="10"/>
  <c r="K38" i="10"/>
  <c r="P70" i="8"/>
  <c r="O70" i="8"/>
  <c r="M70" i="8"/>
  <c r="N70" i="8"/>
  <c r="L70" i="8"/>
  <c r="D70" i="8"/>
  <c r="C70" i="8"/>
  <c r="B70" i="8"/>
  <c r="H70" i="8"/>
  <c r="H81" i="3"/>
  <c r="N81" i="3" s="1"/>
  <c r="M81" i="3"/>
  <c r="F34" i="11" l="1"/>
  <c r="V34" i="11"/>
  <c r="X34" i="11" s="1"/>
  <c r="B34" i="11"/>
  <c r="C34" i="11"/>
  <c r="W34" i="11"/>
  <c r="U34" i="11"/>
  <c r="G34" i="11"/>
  <c r="D34" i="11"/>
  <c r="H34" i="11"/>
  <c r="E34" i="11"/>
  <c r="P38" i="10"/>
  <c r="N38" i="10"/>
  <c r="Q70" i="8"/>
  <c r="R70" i="8"/>
  <c r="S70" i="8"/>
  <c r="R81" i="3"/>
  <c r="D82" i="3"/>
  <c r="E70" i="8"/>
  <c r="F70" i="8"/>
  <c r="AB33" i="11" l="1"/>
  <c r="AA33" i="11"/>
  <c r="AC33" i="11"/>
  <c r="I34" i="11"/>
  <c r="Q38" i="10"/>
  <c r="A39" i="10"/>
  <c r="O38" i="10"/>
  <c r="F82" i="3"/>
  <c r="G82" i="3" s="1"/>
  <c r="I70" i="8"/>
  <c r="G70" i="8"/>
  <c r="J70" i="8" s="1"/>
  <c r="J34" i="11" l="1"/>
  <c r="T39" i="10"/>
  <c r="S39" i="10"/>
  <c r="R39" i="10"/>
  <c r="C39" i="10"/>
  <c r="D39" i="10"/>
  <c r="E39" i="10" s="1"/>
  <c r="B39" i="10"/>
  <c r="G39" i="10"/>
  <c r="F39" i="10"/>
  <c r="H82" i="3"/>
  <c r="N82" i="3" s="1"/>
  <c r="M82" i="3"/>
  <c r="K70" i="8"/>
  <c r="U39" i="10" l="1"/>
  <c r="N34" i="11"/>
  <c r="K34" i="11"/>
  <c r="Z38" i="10"/>
  <c r="Y38" i="10"/>
  <c r="X38" i="10"/>
  <c r="H39" i="10"/>
  <c r="N71" i="8"/>
  <c r="O71" i="8"/>
  <c r="L71" i="8"/>
  <c r="P71" i="8"/>
  <c r="M71" i="8"/>
  <c r="H71" i="8"/>
  <c r="B71" i="8"/>
  <c r="D71" i="8"/>
  <c r="E71" i="8" s="1"/>
  <c r="F71" i="8" s="1"/>
  <c r="C71" i="8"/>
  <c r="D83" i="3"/>
  <c r="R82" i="3"/>
  <c r="L34" i="11" l="1"/>
  <c r="O34" i="11"/>
  <c r="I39" i="10"/>
  <c r="R71" i="8"/>
  <c r="Q71" i="8"/>
  <c r="S71" i="8"/>
  <c r="I71" i="8"/>
  <c r="G71" i="8"/>
  <c r="J71" i="8" s="1"/>
  <c r="F83" i="3"/>
  <c r="G83" i="3" s="1"/>
  <c r="Y34" i="11" l="1"/>
  <c r="P34" i="11"/>
  <c r="L39" i="10"/>
  <c r="J39" i="10"/>
  <c r="M39" i="10" s="1"/>
  <c r="V39" i="10"/>
  <c r="H83" i="3"/>
  <c r="N83" i="3" s="1"/>
  <c r="M83" i="3"/>
  <c r="K71" i="8"/>
  <c r="Z34" i="11" l="1"/>
  <c r="M34" i="11"/>
  <c r="W39" i="10"/>
  <c r="K39" i="10"/>
  <c r="P72" i="8"/>
  <c r="M72" i="8"/>
  <c r="O72" i="8"/>
  <c r="L72" i="8"/>
  <c r="N72" i="8"/>
  <c r="D72" i="8"/>
  <c r="C72" i="8"/>
  <c r="B72" i="8"/>
  <c r="H72" i="8"/>
  <c r="D84" i="3"/>
  <c r="R83" i="3"/>
  <c r="Q34" i="11" l="1"/>
  <c r="S34" i="11"/>
  <c r="N39" i="10"/>
  <c r="P39" i="10"/>
  <c r="S72" i="8"/>
  <c r="Q72" i="8"/>
  <c r="R72" i="8"/>
  <c r="E72" i="8"/>
  <c r="F72" i="8" s="1"/>
  <c r="F84" i="3"/>
  <c r="G84" i="3" s="1"/>
  <c r="A35" i="11" l="1"/>
  <c r="T34" i="11"/>
  <c r="R34" i="11"/>
  <c r="Q39" i="10"/>
  <c r="A40" i="10"/>
  <c r="O39" i="10"/>
  <c r="I72" i="8"/>
  <c r="G72" i="8"/>
  <c r="J72" i="8" s="1"/>
  <c r="K72" i="8" s="1"/>
  <c r="M84" i="3"/>
  <c r="H84" i="3"/>
  <c r="N84" i="3" s="1"/>
  <c r="G35" i="11" l="1"/>
  <c r="C35" i="11"/>
  <c r="D35" i="11"/>
  <c r="B35" i="11"/>
  <c r="F35" i="11"/>
  <c r="U35" i="11"/>
  <c r="V35" i="11"/>
  <c r="W35" i="11"/>
  <c r="T40" i="10"/>
  <c r="S40" i="10"/>
  <c r="R40" i="10"/>
  <c r="U40" i="10" s="1"/>
  <c r="C40" i="10"/>
  <c r="F40" i="10"/>
  <c r="G40" i="10"/>
  <c r="D40" i="10"/>
  <c r="E40" i="10" s="1"/>
  <c r="B40" i="10"/>
  <c r="C73" i="8"/>
  <c r="B73" i="8"/>
  <c r="H73" i="8"/>
  <c r="D73" i="8"/>
  <c r="E73" i="8" s="1"/>
  <c r="D85" i="3"/>
  <c r="R84" i="3"/>
  <c r="AA34" i="11" l="1"/>
  <c r="AC34" i="11"/>
  <c r="AB34" i="11"/>
  <c r="X35" i="11"/>
  <c r="E35" i="11"/>
  <c r="H35" i="11"/>
  <c r="Z39" i="10"/>
  <c r="Y39" i="10"/>
  <c r="X39" i="10"/>
  <c r="H40" i="10"/>
  <c r="P73" i="8"/>
  <c r="N73" i="8"/>
  <c r="M73" i="8"/>
  <c r="O73" i="8"/>
  <c r="L73" i="8"/>
  <c r="S73" i="8"/>
  <c r="Q73" i="8"/>
  <c r="R73" i="8"/>
  <c r="F73" i="8"/>
  <c r="I73" i="8" s="1"/>
  <c r="F85" i="3"/>
  <c r="G85" i="3"/>
  <c r="I35" i="11" l="1"/>
  <c r="J35" i="11"/>
  <c r="N35" i="11" s="1"/>
  <c r="I40" i="10"/>
  <c r="G73" i="8"/>
  <c r="J73" i="8" s="1"/>
  <c r="K73" i="8"/>
  <c r="M85" i="3"/>
  <c r="H85" i="3"/>
  <c r="N85" i="3" s="1"/>
  <c r="K35" i="11" l="1"/>
  <c r="L40" i="10"/>
  <c r="J40" i="10"/>
  <c r="N74" i="8"/>
  <c r="O74" i="8"/>
  <c r="L74" i="8"/>
  <c r="P74" i="8"/>
  <c r="M74" i="8"/>
  <c r="H74" i="8"/>
  <c r="D74" i="8"/>
  <c r="C74" i="8"/>
  <c r="B74" i="8"/>
  <c r="D86" i="3"/>
  <c r="R85" i="3"/>
  <c r="O35" i="11" l="1"/>
  <c r="L35" i="11"/>
  <c r="P35" i="11" s="1"/>
  <c r="Y35" i="11"/>
  <c r="V40" i="10"/>
  <c r="M40" i="10"/>
  <c r="Q74" i="8"/>
  <c r="S74" i="8"/>
  <c r="R74" i="8"/>
  <c r="E74" i="8"/>
  <c r="F74" i="8" s="1"/>
  <c r="F86" i="3"/>
  <c r="G86" i="3" s="1"/>
  <c r="Z35" i="11" l="1"/>
  <c r="M35" i="11"/>
  <c r="W40" i="10"/>
  <c r="K40" i="10"/>
  <c r="G74" i="8"/>
  <c r="J74" i="8" s="1"/>
  <c r="I74" i="8"/>
  <c r="M86" i="3"/>
  <c r="H86" i="3"/>
  <c r="N86" i="3" s="1"/>
  <c r="S35" i="11" l="1"/>
  <c r="Q35" i="11"/>
  <c r="P40" i="10"/>
  <c r="N40" i="10"/>
  <c r="K74" i="8"/>
  <c r="D87" i="3"/>
  <c r="R86" i="3"/>
  <c r="D75" i="8"/>
  <c r="C75" i="8"/>
  <c r="B75" i="8"/>
  <c r="H75" i="8"/>
  <c r="T35" i="11" l="1"/>
  <c r="R35" i="11"/>
  <c r="A36" i="11"/>
  <c r="O40" i="10"/>
  <c r="A41" i="10"/>
  <c r="Q40" i="10"/>
  <c r="P75" i="8"/>
  <c r="M75" i="8"/>
  <c r="N75" i="8"/>
  <c r="O75" i="8"/>
  <c r="L75" i="8"/>
  <c r="R75" i="8"/>
  <c r="Q75" i="8"/>
  <c r="S75" i="8"/>
  <c r="E75" i="8"/>
  <c r="F75" i="8" s="1"/>
  <c r="F87" i="3"/>
  <c r="G87" i="3" s="1"/>
  <c r="W36" i="11" l="1"/>
  <c r="V36" i="11"/>
  <c r="U36" i="11"/>
  <c r="X36" i="11" s="1"/>
  <c r="C36" i="11"/>
  <c r="B36" i="11"/>
  <c r="F36" i="11"/>
  <c r="D36" i="11"/>
  <c r="E36" i="11" s="1"/>
  <c r="G36" i="11"/>
  <c r="H36" i="11"/>
  <c r="T41" i="10"/>
  <c r="S41" i="10"/>
  <c r="R41" i="10"/>
  <c r="U41" i="10" s="1"/>
  <c r="C41" i="10"/>
  <c r="F41" i="10"/>
  <c r="G41" i="10"/>
  <c r="D41" i="10"/>
  <c r="B41" i="10"/>
  <c r="E41" i="10"/>
  <c r="H87" i="3"/>
  <c r="N87" i="3" s="1"/>
  <c r="M87" i="3"/>
  <c r="I75" i="8"/>
  <c r="G75" i="8"/>
  <c r="J75" i="8" s="1"/>
  <c r="AB35" i="11" l="1"/>
  <c r="AA35" i="11"/>
  <c r="AC35" i="11"/>
  <c r="I36" i="11"/>
  <c r="Z40" i="10"/>
  <c r="Y40" i="10"/>
  <c r="X40" i="10"/>
  <c r="H41" i="10"/>
  <c r="K75" i="8"/>
  <c r="R87" i="3"/>
  <c r="D88" i="3"/>
  <c r="J36" i="11" l="1"/>
  <c r="K36" i="11"/>
  <c r="I41" i="10"/>
  <c r="N76" i="8"/>
  <c r="L76" i="8"/>
  <c r="P76" i="8"/>
  <c r="O76" i="8"/>
  <c r="M76" i="8"/>
  <c r="F88" i="3"/>
  <c r="G88" i="3" s="1"/>
  <c r="B76" i="8"/>
  <c r="H76" i="8"/>
  <c r="C76" i="8"/>
  <c r="D76" i="8"/>
  <c r="E76" i="8" s="1"/>
  <c r="F76" i="8" s="1"/>
  <c r="N36" i="11" l="1"/>
  <c r="L36" i="11"/>
  <c r="O36" i="11"/>
  <c r="L41" i="10"/>
  <c r="J41" i="10"/>
  <c r="S76" i="8"/>
  <c r="Q76" i="8"/>
  <c r="R76" i="8"/>
  <c r="I76" i="8"/>
  <c r="G76" i="8"/>
  <c r="J76" i="8" s="1"/>
  <c r="H88" i="3"/>
  <c r="N88" i="3" s="1"/>
  <c r="M88" i="3"/>
  <c r="P36" i="11" l="1"/>
  <c r="Y36" i="11"/>
  <c r="M41" i="10"/>
  <c r="V41" i="10"/>
  <c r="K76" i="8"/>
  <c r="R88" i="3"/>
  <c r="D89" i="3"/>
  <c r="M36" i="11" l="1"/>
  <c r="Z36" i="11"/>
  <c r="W41" i="10"/>
  <c r="K41" i="10"/>
  <c r="O77" i="8"/>
  <c r="N77" i="8"/>
  <c r="L77" i="8"/>
  <c r="P77" i="8"/>
  <c r="M77" i="8"/>
  <c r="F89" i="3"/>
  <c r="G89" i="3"/>
  <c r="E77" i="8"/>
  <c r="F77" i="8" s="1"/>
  <c r="D77" i="8"/>
  <c r="C77" i="8"/>
  <c r="B77" i="8"/>
  <c r="H77" i="8"/>
  <c r="Q36" i="11" l="1"/>
  <c r="S36" i="11"/>
  <c r="P41" i="10"/>
  <c r="N41" i="10"/>
  <c r="S77" i="8"/>
  <c r="Q77" i="8"/>
  <c r="R77" i="8"/>
  <c r="G77" i="8"/>
  <c r="J77" i="8" s="1"/>
  <c r="I77" i="8"/>
  <c r="H89" i="3"/>
  <c r="N89" i="3" s="1"/>
  <c r="M89" i="3"/>
  <c r="U4" i="4"/>
  <c r="W7" i="3"/>
  <c r="U7" i="7"/>
  <c r="T36" i="11" l="1"/>
  <c r="R36" i="11"/>
  <c r="A37" i="11"/>
  <c r="Q41" i="10"/>
  <c r="A42" i="10"/>
  <c r="O41" i="10"/>
  <c r="R89" i="3"/>
  <c r="W8" i="3"/>
  <c r="K77" i="8"/>
  <c r="V37" i="11" l="1"/>
  <c r="X37" i="11" s="1"/>
  <c r="U37" i="11"/>
  <c r="F37" i="11"/>
  <c r="D37" i="11"/>
  <c r="C37" i="11"/>
  <c r="B37" i="11"/>
  <c r="G37" i="11"/>
  <c r="W37" i="11"/>
  <c r="T42" i="10"/>
  <c r="S42" i="10"/>
  <c r="R42" i="10"/>
  <c r="C42" i="10"/>
  <c r="F42" i="10"/>
  <c r="B42" i="10"/>
  <c r="D42" i="10"/>
  <c r="G42" i="10"/>
  <c r="E42" i="10"/>
  <c r="P78" i="8"/>
  <c r="O78" i="8"/>
  <c r="M78" i="8"/>
  <c r="N78" i="8"/>
  <c r="L78" i="8"/>
  <c r="D78" i="8"/>
  <c r="C78" i="8"/>
  <c r="B78" i="8"/>
  <c r="H78" i="8"/>
  <c r="E78" i="8"/>
  <c r="F78" i="8" s="1"/>
  <c r="AC36" i="11" l="1"/>
  <c r="AB36" i="11"/>
  <c r="AA36" i="11"/>
  <c r="U42" i="10"/>
  <c r="E37" i="11"/>
  <c r="H37" i="11"/>
  <c r="I37" i="11" s="1"/>
  <c r="J37" i="11" s="1"/>
  <c r="N37" i="11" s="1"/>
  <c r="Y41" i="10"/>
  <c r="X41" i="10"/>
  <c r="Z41" i="10"/>
  <c r="H42" i="10"/>
  <c r="S78" i="8"/>
  <c r="R78" i="8"/>
  <c r="Q78" i="8"/>
  <c r="I78" i="8"/>
  <c r="G78" i="8"/>
  <c r="J78" i="8" s="1"/>
  <c r="K37" i="11" l="1"/>
  <c r="I42" i="10"/>
  <c r="J42" i="10" s="1"/>
  <c r="M42" i="10" s="1"/>
  <c r="K78" i="8"/>
  <c r="O37" i="11" l="1"/>
  <c r="L37" i="11"/>
  <c r="P37" i="11" s="1"/>
  <c r="Y37" i="11"/>
  <c r="L42" i="10"/>
  <c r="V42" i="10"/>
  <c r="O79" i="8"/>
  <c r="L79" i="8"/>
  <c r="N79" i="8"/>
  <c r="P79" i="8"/>
  <c r="M79" i="8"/>
  <c r="F79" i="8"/>
  <c r="E79" i="8"/>
  <c r="D79" i="8"/>
  <c r="B79" i="8"/>
  <c r="K79" i="8"/>
  <c r="I79" i="8"/>
  <c r="J79" i="8"/>
  <c r="H79" i="8"/>
  <c r="C79" i="8"/>
  <c r="G79" i="8"/>
  <c r="Z37" i="11" l="1"/>
  <c r="M37" i="11"/>
  <c r="W42" i="10"/>
  <c r="K42" i="10"/>
  <c r="S79" i="8"/>
  <c r="R79" i="8"/>
  <c r="Q79" i="8"/>
  <c r="P80" i="8"/>
  <c r="O80" i="8"/>
  <c r="N80" i="8"/>
  <c r="L80" i="8"/>
  <c r="M80" i="8"/>
  <c r="C80" i="8"/>
  <c r="K80" i="8"/>
  <c r="B80" i="8"/>
  <c r="J80" i="8"/>
  <c r="I80" i="8"/>
  <c r="H80" i="8"/>
  <c r="F80" i="8"/>
  <c r="G80" i="8"/>
  <c r="E80" i="8"/>
  <c r="D80" i="8"/>
  <c r="Q37" i="11" l="1"/>
  <c r="S37" i="11"/>
  <c r="P42" i="10"/>
  <c r="N42" i="10"/>
  <c r="S80" i="8"/>
  <c r="R80" i="8"/>
  <c r="Q80" i="8"/>
  <c r="O81" i="8"/>
  <c r="M81" i="8"/>
  <c r="N81" i="8"/>
  <c r="L81" i="8"/>
  <c r="P81" i="8"/>
  <c r="J81" i="8"/>
  <c r="I81" i="8"/>
  <c r="K81" i="8"/>
  <c r="F81" i="8"/>
  <c r="H81" i="8"/>
  <c r="E81" i="8"/>
  <c r="G81" i="8"/>
  <c r="D81" i="8"/>
  <c r="C81" i="8"/>
  <c r="B81" i="8"/>
  <c r="T37" i="11" l="1"/>
  <c r="A38" i="11"/>
  <c r="R37" i="11"/>
  <c r="O42" i="10"/>
  <c r="Q42" i="10"/>
  <c r="A43" i="10"/>
  <c r="T43" i="10"/>
  <c r="S43" i="10"/>
  <c r="R43" i="10"/>
  <c r="U43" i="10" s="1"/>
  <c r="C43" i="10"/>
  <c r="B43" i="10"/>
  <c r="F43" i="10"/>
  <c r="G43" i="10"/>
  <c r="D43" i="10"/>
  <c r="M82" i="8"/>
  <c r="P82" i="8"/>
  <c r="L82" i="8"/>
  <c r="O82" i="8"/>
  <c r="N82" i="8"/>
  <c r="R81" i="8"/>
  <c r="Q81" i="8"/>
  <c r="S81" i="8"/>
  <c r="C82" i="8"/>
  <c r="G82" i="8"/>
  <c r="I82" i="8"/>
  <c r="E82" i="8"/>
  <c r="H82" i="8"/>
  <c r="J82" i="8"/>
  <c r="B82" i="8"/>
  <c r="F82" i="8"/>
  <c r="K82" i="8"/>
  <c r="D82" i="8"/>
  <c r="B38" i="11" l="1"/>
  <c r="F38" i="11"/>
  <c r="G38" i="11"/>
  <c r="D38" i="11"/>
  <c r="C38" i="11"/>
  <c r="U38" i="11"/>
  <c r="V38" i="11"/>
  <c r="W38" i="11"/>
  <c r="X38" i="11" s="1"/>
  <c r="E38" i="11"/>
  <c r="H38" i="11"/>
  <c r="Z42" i="10"/>
  <c r="Y42" i="10"/>
  <c r="X42" i="10"/>
  <c r="E43" i="10"/>
  <c r="H43" i="10" s="1"/>
  <c r="N83" i="8"/>
  <c r="P83" i="8"/>
  <c r="L83" i="8"/>
  <c r="O83" i="8"/>
  <c r="M83" i="8"/>
  <c r="Q82" i="8"/>
  <c r="S82" i="8"/>
  <c r="R82" i="8"/>
  <c r="D83" i="8"/>
  <c r="C83" i="8"/>
  <c r="B83" i="8"/>
  <c r="K83" i="8"/>
  <c r="H83" i="8"/>
  <c r="J83" i="8"/>
  <c r="G83" i="8"/>
  <c r="I83" i="8"/>
  <c r="F83" i="8"/>
  <c r="E83" i="8"/>
  <c r="AA37" i="11" l="1"/>
  <c r="AB37" i="11"/>
  <c r="AC37" i="11"/>
  <c r="I38" i="11"/>
  <c r="J38" i="11" s="1"/>
  <c r="N38" i="11" s="1"/>
  <c r="I43" i="10"/>
  <c r="Q83" i="8"/>
  <c r="S83" i="8"/>
  <c r="R83" i="8"/>
  <c r="P84" i="8"/>
  <c r="L84" i="8"/>
  <c r="O84" i="8"/>
  <c r="M84" i="8"/>
  <c r="N84" i="8"/>
  <c r="C84" i="8"/>
  <c r="H84" i="8"/>
  <c r="G84" i="8"/>
  <c r="F84" i="8"/>
  <c r="B84" i="8"/>
  <c r="E84" i="8"/>
  <c r="J84" i="8"/>
  <c r="D84" i="8"/>
  <c r="I84" i="8"/>
  <c r="K84" i="8"/>
  <c r="K38" i="11" l="1"/>
  <c r="L38" i="11"/>
  <c r="P38" i="11" s="1"/>
  <c r="L43" i="10"/>
  <c r="J43" i="10"/>
  <c r="S84" i="8"/>
  <c r="Q84" i="8"/>
  <c r="R84" i="8"/>
  <c r="N85" i="8"/>
  <c r="O85" i="8"/>
  <c r="P85" i="8"/>
  <c r="L85" i="8"/>
  <c r="M85" i="8"/>
  <c r="B85" i="8"/>
  <c r="C85" i="8"/>
  <c r="D85" i="8"/>
  <c r="I85" i="8"/>
  <c r="H85" i="8"/>
  <c r="E85" i="8"/>
  <c r="J85" i="8"/>
  <c r="K85" i="8"/>
  <c r="G85" i="8"/>
  <c r="F85" i="8"/>
  <c r="O38" i="11" l="1"/>
  <c r="Y38" i="11"/>
  <c r="Z38" i="11" s="1"/>
  <c r="M38" i="11"/>
  <c r="M43" i="10"/>
  <c r="V43" i="10"/>
  <c r="R85" i="8"/>
  <c r="S85" i="8"/>
  <c r="Q85" i="8"/>
  <c r="N86" i="8"/>
  <c r="L86" i="8"/>
  <c r="O86" i="8"/>
  <c r="P86" i="8"/>
  <c r="M86" i="8"/>
  <c r="H86" i="8"/>
  <c r="D86" i="8"/>
  <c r="G86" i="8"/>
  <c r="C86" i="8"/>
  <c r="I86" i="8"/>
  <c r="F86" i="8"/>
  <c r="B86" i="8"/>
  <c r="E86" i="8"/>
  <c r="K86" i="8"/>
  <c r="J86" i="8"/>
  <c r="Q38" i="11" l="1"/>
  <c r="S38" i="11"/>
  <c r="W43" i="10"/>
  <c r="K43" i="10"/>
  <c r="Q86" i="8"/>
  <c r="S86" i="8"/>
  <c r="R86" i="8"/>
  <c r="P87" i="8"/>
  <c r="M87" i="8"/>
  <c r="O87" i="8"/>
  <c r="L87" i="8"/>
  <c r="N87" i="8"/>
  <c r="D87" i="8"/>
  <c r="F87" i="8"/>
  <c r="K87" i="8"/>
  <c r="E87" i="8"/>
  <c r="H87" i="8"/>
  <c r="C87" i="8"/>
  <c r="J87" i="8"/>
  <c r="B87" i="8"/>
  <c r="I87" i="8"/>
  <c r="G87" i="8"/>
  <c r="T38" i="11" l="1"/>
  <c r="R38" i="11"/>
  <c r="A39" i="11"/>
  <c r="N43" i="10"/>
  <c r="P43" i="10"/>
  <c r="N88" i="8"/>
  <c r="P88" i="8"/>
  <c r="O88" i="8"/>
  <c r="M88" i="8"/>
  <c r="L88" i="8"/>
  <c r="S87" i="8"/>
  <c r="R87" i="8"/>
  <c r="Q87" i="8"/>
  <c r="B88" i="8"/>
  <c r="I88" i="8"/>
  <c r="C88" i="8"/>
  <c r="K88" i="8"/>
  <c r="E88" i="8"/>
  <c r="J88" i="8"/>
  <c r="F88" i="8"/>
  <c r="H88" i="8"/>
  <c r="D88" i="8"/>
  <c r="G88" i="8"/>
  <c r="W39" i="11" l="1"/>
  <c r="B39" i="11"/>
  <c r="D39" i="11"/>
  <c r="G39" i="11"/>
  <c r="F39" i="11"/>
  <c r="U39" i="11"/>
  <c r="V39" i="11"/>
  <c r="C39" i="11"/>
  <c r="E39" i="11"/>
  <c r="X39" i="11"/>
  <c r="I39" i="11" s="1"/>
  <c r="H39" i="11"/>
  <c r="O43" i="10"/>
  <c r="Q43" i="10"/>
  <c r="A44" i="10"/>
  <c r="R88" i="8"/>
  <c r="Q88" i="8"/>
  <c r="S88" i="8"/>
  <c r="O89" i="8"/>
  <c r="L89" i="8"/>
  <c r="P89" i="8"/>
  <c r="N89" i="8"/>
  <c r="M89" i="8"/>
  <c r="B89" i="8"/>
  <c r="D89" i="8"/>
  <c r="K89" i="8"/>
  <c r="J89" i="8"/>
  <c r="C89" i="8"/>
  <c r="I89" i="8"/>
  <c r="F89" i="8"/>
  <c r="H89" i="8"/>
  <c r="E89" i="8"/>
  <c r="G89" i="8"/>
  <c r="AB38" i="11" l="1"/>
  <c r="AA38" i="11"/>
  <c r="AC38" i="11"/>
  <c r="J39" i="11"/>
  <c r="T44" i="10"/>
  <c r="S44" i="10"/>
  <c r="R44" i="10"/>
  <c r="U44" i="10" s="1"/>
  <c r="C44" i="10"/>
  <c r="B44" i="10"/>
  <c r="F44" i="10"/>
  <c r="D44" i="10"/>
  <c r="E44" i="10" s="1"/>
  <c r="G44" i="10"/>
  <c r="S89" i="8"/>
  <c r="R89" i="8"/>
  <c r="Q89" i="8"/>
  <c r="P90" i="8"/>
  <c r="M90" i="8"/>
  <c r="N90" i="8"/>
  <c r="L90" i="8"/>
  <c r="O90" i="8"/>
  <c r="F90" i="8"/>
  <c r="I90" i="8"/>
  <c r="E90" i="8"/>
  <c r="C90" i="8"/>
  <c r="G90" i="8"/>
  <c r="B90" i="8"/>
  <c r="D90" i="8"/>
  <c r="K90" i="8"/>
  <c r="H90" i="8"/>
  <c r="J90" i="8"/>
  <c r="N39" i="11" l="1"/>
  <c r="K39" i="11"/>
  <c r="Z43" i="10"/>
  <c r="Y43" i="10"/>
  <c r="X43" i="10"/>
  <c r="H44" i="10"/>
  <c r="R90" i="8"/>
  <c r="Q90" i="8"/>
  <c r="S90" i="8"/>
  <c r="O91" i="8"/>
  <c r="L91" i="8"/>
  <c r="P91" i="8"/>
  <c r="M91" i="8"/>
  <c r="N91" i="8"/>
  <c r="F91" i="8"/>
  <c r="I91" i="8"/>
  <c r="C91" i="8"/>
  <c r="E91" i="8"/>
  <c r="D91" i="8"/>
  <c r="B91" i="8"/>
  <c r="H91" i="8"/>
  <c r="J91" i="8"/>
  <c r="G91" i="8"/>
  <c r="K91" i="8"/>
  <c r="O39" i="11" l="1"/>
  <c r="L39" i="11"/>
  <c r="I44" i="10"/>
  <c r="J44" i="10" s="1"/>
  <c r="M44" i="10" s="1"/>
  <c r="S91" i="8"/>
  <c r="Q91" i="8"/>
  <c r="R91" i="8"/>
  <c r="P92" i="8"/>
  <c r="L92" i="8"/>
  <c r="O92" i="8"/>
  <c r="M92" i="8"/>
  <c r="N92" i="8"/>
  <c r="C92" i="8"/>
  <c r="J92" i="8"/>
  <c r="I92" i="8"/>
  <c r="K92" i="8"/>
  <c r="H92" i="8"/>
  <c r="G92" i="8"/>
  <c r="F92" i="8"/>
  <c r="E92" i="8"/>
  <c r="B92" i="8"/>
  <c r="D92" i="8"/>
  <c r="P39" i="11" l="1"/>
  <c r="Y39" i="11"/>
  <c r="L44" i="10"/>
  <c r="V44" i="10"/>
  <c r="M93" i="8"/>
  <c r="N93" i="8"/>
  <c r="O93" i="8"/>
  <c r="L93" i="8"/>
  <c r="P93" i="8"/>
  <c r="S92" i="8"/>
  <c r="Q92" i="8"/>
  <c r="R92" i="8"/>
  <c r="H93" i="8"/>
  <c r="K93" i="8"/>
  <c r="F93" i="8"/>
  <c r="G93" i="8"/>
  <c r="E93" i="8"/>
  <c r="J93" i="8"/>
  <c r="D93" i="8"/>
  <c r="B93" i="8"/>
  <c r="C93" i="8"/>
  <c r="I93" i="8"/>
  <c r="Z39" i="11" l="1"/>
  <c r="M39" i="11"/>
  <c r="W44" i="10"/>
  <c r="K44" i="10"/>
  <c r="N94" i="8"/>
  <c r="M94" i="8"/>
  <c r="P94" i="8"/>
  <c r="O94" i="8"/>
  <c r="L94" i="8"/>
  <c r="Q93" i="8"/>
  <c r="S93" i="8"/>
  <c r="R93" i="8"/>
  <c r="K94" i="8"/>
  <c r="J94" i="8"/>
  <c r="I94" i="8"/>
  <c r="H94" i="8"/>
  <c r="D94" i="8"/>
  <c r="G94" i="8"/>
  <c r="C94" i="8"/>
  <c r="F94" i="8"/>
  <c r="B94" i="8"/>
  <c r="E94" i="8"/>
  <c r="Q39" i="11" l="1"/>
  <c r="S39" i="11"/>
  <c r="N44" i="10"/>
  <c r="P44" i="10"/>
  <c r="M95" i="8"/>
  <c r="P95" i="8"/>
  <c r="N95" i="8"/>
  <c r="O95" i="8"/>
  <c r="L95" i="8"/>
  <c r="R94" i="8"/>
  <c r="Q94" i="8"/>
  <c r="S94" i="8"/>
  <c r="J95" i="8"/>
  <c r="G95" i="8"/>
  <c r="B95" i="8"/>
  <c r="H95" i="8"/>
  <c r="I95" i="8"/>
  <c r="D95" i="8"/>
  <c r="F95" i="8"/>
  <c r="K95" i="8"/>
  <c r="E95" i="8"/>
  <c r="C95" i="8"/>
  <c r="A40" i="11" l="1"/>
  <c r="T39" i="11"/>
  <c r="R39" i="11"/>
  <c r="A45" i="10"/>
  <c r="Q44" i="10"/>
  <c r="O44" i="10"/>
  <c r="P96" i="8"/>
  <c r="L96" i="8"/>
  <c r="N96" i="8"/>
  <c r="O96" i="8"/>
  <c r="M96" i="8"/>
  <c r="R95" i="8"/>
  <c r="S95" i="8"/>
  <c r="Q95" i="8"/>
  <c r="C96" i="8"/>
  <c r="B96" i="8"/>
  <c r="J96" i="8"/>
  <c r="E96" i="8"/>
  <c r="K96" i="8"/>
  <c r="H96" i="8"/>
  <c r="F96" i="8"/>
  <c r="G96" i="8"/>
  <c r="D96" i="8"/>
  <c r="I96" i="8"/>
  <c r="W40" i="11" l="1"/>
  <c r="V40" i="11"/>
  <c r="U40" i="11"/>
  <c r="X40" i="11" s="1"/>
  <c r="G40" i="11"/>
  <c r="D40" i="11"/>
  <c r="B40" i="11"/>
  <c r="C40" i="11"/>
  <c r="F40" i="11"/>
  <c r="H40" i="11"/>
  <c r="E40" i="11"/>
  <c r="I40" i="11"/>
  <c r="T45" i="10"/>
  <c r="S45" i="10"/>
  <c r="R45" i="10"/>
  <c r="U45" i="10" s="1"/>
  <c r="C45" i="10"/>
  <c r="B45" i="10"/>
  <c r="G45" i="10"/>
  <c r="F45" i="10"/>
  <c r="D45" i="10"/>
  <c r="E45" i="10" s="1"/>
  <c r="Q96" i="8"/>
  <c r="R96" i="8"/>
  <c r="S96" i="8"/>
  <c r="P97" i="8"/>
  <c r="L97" i="8"/>
  <c r="N97" i="8"/>
  <c r="M97" i="8"/>
  <c r="O97" i="8"/>
  <c r="G97" i="8"/>
  <c r="C97" i="8"/>
  <c r="K97" i="8"/>
  <c r="J97" i="8"/>
  <c r="B97" i="8"/>
  <c r="F97" i="8"/>
  <c r="I97" i="8"/>
  <c r="E97" i="8"/>
  <c r="H97" i="8"/>
  <c r="D97" i="8"/>
  <c r="AA39" i="11" l="1"/>
  <c r="AB39" i="11"/>
  <c r="AC39" i="11"/>
  <c r="J40" i="11"/>
  <c r="N40" i="11" s="1"/>
  <c r="K40" i="11"/>
  <c r="Z44" i="10"/>
  <c r="Y44" i="10"/>
  <c r="X44" i="10"/>
  <c r="H45" i="10"/>
  <c r="I45" i="10"/>
  <c r="L45" i="10" s="1"/>
  <c r="M98" i="8"/>
  <c r="N98" i="8"/>
  <c r="O98" i="8"/>
  <c r="L98" i="8"/>
  <c r="P98" i="8"/>
  <c r="R97" i="8"/>
  <c r="Q97" i="8"/>
  <c r="S97" i="8"/>
  <c r="B98" i="8"/>
  <c r="E98" i="8"/>
  <c r="I98" i="8"/>
  <c r="G98" i="8"/>
  <c r="F98" i="8"/>
  <c r="K98" i="8"/>
  <c r="D98" i="8"/>
  <c r="C98" i="8"/>
  <c r="H98" i="8"/>
  <c r="J98" i="8"/>
  <c r="O40" i="11" l="1"/>
  <c r="Y40" i="11"/>
  <c r="L40" i="11"/>
  <c r="P40" i="11" s="1"/>
  <c r="J45" i="10"/>
  <c r="R98" i="8"/>
  <c r="Q98" i="8"/>
  <c r="S98" i="8"/>
  <c r="M99" i="8"/>
  <c r="O99" i="8"/>
  <c r="L99" i="8"/>
  <c r="P99" i="8"/>
  <c r="N99" i="8"/>
  <c r="G99" i="8"/>
  <c r="K99" i="8"/>
  <c r="I99" i="8"/>
  <c r="E99" i="8"/>
  <c r="D99" i="8"/>
  <c r="F99" i="8"/>
  <c r="J99" i="8"/>
  <c r="C99" i="8"/>
  <c r="B99" i="8"/>
  <c r="H99" i="8"/>
  <c r="Z40" i="11" l="1"/>
  <c r="M40" i="11"/>
  <c r="M45" i="10"/>
  <c r="V45" i="10"/>
  <c r="M100" i="8"/>
  <c r="P100" i="8"/>
  <c r="N100" i="8"/>
  <c r="L100" i="8"/>
  <c r="O100" i="8"/>
  <c r="Q99" i="8"/>
  <c r="S99" i="8"/>
  <c r="R99" i="8"/>
  <c r="E100" i="8"/>
  <c r="F100" i="8"/>
  <c r="K100" i="8"/>
  <c r="J100" i="8"/>
  <c r="I100" i="8"/>
  <c r="H100" i="8"/>
  <c r="D100" i="8"/>
  <c r="B100" i="8"/>
  <c r="C100" i="8"/>
  <c r="G100" i="8"/>
  <c r="S40" i="11" l="1"/>
  <c r="Q40" i="11"/>
  <c r="W45" i="10"/>
  <c r="K45" i="10"/>
  <c r="P101" i="8"/>
  <c r="O101" i="8"/>
  <c r="N101" i="8"/>
  <c r="M101" i="8"/>
  <c r="L101" i="8"/>
  <c r="S100" i="8"/>
  <c r="R100" i="8"/>
  <c r="Q100" i="8"/>
  <c r="I101" i="8"/>
  <c r="K101" i="8"/>
  <c r="B101" i="8"/>
  <c r="D101" i="8"/>
  <c r="H101" i="8"/>
  <c r="G101" i="8"/>
  <c r="C101" i="8"/>
  <c r="F101" i="8"/>
  <c r="E101" i="8"/>
  <c r="J101" i="8"/>
  <c r="R40" i="11" l="1"/>
  <c r="T40" i="11"/>
  <c r="A41" i="11"/>
  <c r="P45" i="10"/>
  <c r="N45" i="10"/>
  <c r="S101" i="8"/>
  <c r="R101" i="8"/>
  <c r="Q101" i="8"/>
  <c r="P102" i="8"/>
  <c r="O102" i="8"/>
  <c r="N102" i="8"/>
  <c r="M102" i="8"/>
  <c r="L102" i="8"/>
  <c r="F102" i="8"/>
  <c r="C102" i="8"/>
  <c r="E102" i="8"/>
  <c r="B102" i="8"/>
  <c r="D102" i="8"/>
  <c r="K102" i="8"/>
  <c r="G102" i="8"/>
  <c r="J102" i="8"/>
  <c r="I102" i="8"/>
  <c r="H102" i="8"/>
  <c r="F41" i="11" l="1"/>
  <c r="G41" i="11"/>
  <c r="D41" i="11"/>
  <c r="W41" i="11"/>
  <c r="B41" i="11"/>
  <c r="C41" i="11"/>
  <c r="U41" i="11"/>
  <c r="X41" i="11" s="1"/>
  <c r="V41" i="11"/>
  <c r="Q45" i="10"/>
  <c r="A46" i="10"/>
  <c r="O45" i="10"/>
  <c r="S102" i="8"/>
  <c r="R102" i="8"/>
  <c r="Q102" i="8"/>
  <c r="P103" i="8"/>
  <c r="O103" i="8"/>
  <c r="N103" i="8"/>
  <c r="M103" i="8"/>
  <c r="L103" i="8"/>
  <c r="K103" i="8"/>
  <c r="F103" i="8"/>
  <c r="B103" i="8"/>
  <c r="C103" i="8"/>
  <c r="J103" i="8"/>
  <c r="E103" i="8"/>
  <c r="D103" i="8"/>
  <c r="G103" i="8"/>
  <c r="I103" i="8"/>
  <c r="H103" i="8"/>
  <c r="AA40" i="11" l="1"/>
  <c r="AB40" i="11"/>
  <c r="AC40" i="11"/>
  <c r="E41" i="11"/>
  <c r="H41" i="11"/>
  <c r="T46" i="10"/>
  <c r="S46" i="10"/>
  <c r="R46" i="10"/>
  <c r="U46" i="10" s="1"/>
  <c r="H46" i="10" s="1"/>
  <c r="C46" i="10"/>
  <c r="F46" i="10"/>
  <c r="B46" i="10"/>
  <c r="G46" i="10"/>
  <c r="D46" i="10"/>
  <c r="E46" i="10" s="1"/>
  <c r="S103" i="8"/>
  <c r="R103" i="8"/>
  <c r="Q103" i="8"/>
  <c r="I41" i="11" l="1"/>
  <c r="J41" i="11" s="1"/>
  <c r="N41" i="11" s="1"/>
  <c r="Z45" i="10"/>
  <c r="Y45" i="10"/>
  <c r="X45" i="10"/>
  <c r="AC3" i="10"/>
  <c r="AC14" i="10"/>
  <c r="I46" i="10"/>
  <c r="K41" i="11" l="1"/>
  <c r="L46" i="10"/>
  <c r="J46" i="10"/>
  <c r="O41" i="11" l="1"/>
  <c r="L41" i="11"/>
  <c r="Y41" i="11"/>
  <c r="Z41" i="11" s="1"/>
  <c r="AD15" i="10"/>
  <c r="M46" i="10"/>
  <c r="AC5" i="10" s="1"/>
  <c r="V46" i="10"/>
  <c r="K46" i="10" s="1"/>
  <c r="P41" i="11" l="1"/>
  <c r="M41" i="11"/>
  <c r="P46" i="10"/>
  <c r="N46" i="10"/>
  <c r="AD16" i="10"/>
  <c r="W46" i="10"/>
  <c r="AC9" i="10" s="1"/>
  <c r="AC8" i="10"/>
  <c r="AD17" i="10"/>
  <c r="S41" i="11" l="1"/>
  <c r="Q41" i="11"/>
  <c r="O46" i="10"/>
  <c r="A47" i="10"/>
  <c r="Q46" i="10"/>
  <c r="AD19" i="10"/>
  <c r="AD20" i="10" s="1"/>
  <c r="AC4" i="10"/>
  <c r="AC18" i="10"/>
  <c r="AC20" i="10" s="1"/>
  <c r="AE20" i="10" s="1"/>
  <c r="R41" i="11" l="1"/>
  <c r="T41" i="11"/>
  <c r="A42" i="11"/>
  <c r="T47" i="10"/>
  <c r="S47" i="10"/>
  <c r="R47" i="10"/>
  <c r="U47" i="10" s="1"/>
  <c r="C47" i="10"/>
  <c r="G47" i="10"/>
  <c r="D47" i="10"/>
  <c r="B47" i="10"/>
  <c r="F47" i="10"/>
  <c r="X42" i="11" l="1"/>
  <c r="G42" i="11"/>
  <c r="D42" i="11"/>
  <c r="B42" i="11"/>
  <c r="C42" i="11"/>
  <c r="F42" i="11"/>
  <c r="U42" i="11"/>
  <c r="V42" i="11"/>
  <c r="W42" i="11"/>
  <c r="Z46" i="10"/>
  <c r="Y46" i="10"/>
  <c r="X46" i="10"/>
  <c r="E47" i="10"/>
  <c r="H47" i="10" s="1"/>
  <c r="I47" i="10" s="1"/>
  <c r="L47" i="10" s="1"/>
  <c r="AC6" i="10"/>
  <c r="AA41" i="11" l="1"/>
  <c r="AB41" i="11"/>
  <c r="AC41" i="11"/>
  <c r="H42" i="11"/>
  <c r="I42" i="11" s="1"/>
  <c r="E42" i="11"/>
  <c r="J47" i="10"/>
  <c r="L42" i="11" l="1"/>
  <c r="P42" i="11" s="1"/>
  <c r="K42" i="11"/>
  <c r="J42" i="11"/>
  <c r="N42" i="11"/>
  <c r="M47" i="10"/>
  <c r="V47" i="10"/>
  <c r="O42" i="11" l="1"/>
  <c r="Y42" i="11"/>
  <c r="Z42" i="11" s="1"/>
  <c r="M42" i="11"/>
  <c r="W47" i="10"/>
  <c r="K47" i="10"/>
  <c r="Q42" i="11" l="1"/>
  <c r="S42" i="11"/>
  <c r="P47" i="10"/>
  <c r="N47" i="10"/>
  <c r="T42" i="11" l="1"/>
  <c r="A43" i="11"/>
  <c r="R42" i="11"/>
  <c r="O47" i="10"/>
  <c r="Q47" i="10"/>
  <c r="A48" i="10"/>
  <c r="X43" i="11" l="1"/>
  <c r="D43" i="11"/>
  <c r="B43" i="11"/>
  <c r="C43" i="11"/>
  <c r="G43" i="11"/>
  <c r="F43" i="11"/>
  <c r="U43" i="11"/>
  <c r="V43" i="11"/>
  <c r="W43" i="11"/>
  <c r="T48" i="10"/>
  <c r="S48" i="10"/>
  <c r="R48" i="10"/>
  <c r="U48" i="10" s="1"/>
  <c r="C48" i="10"/>
  <c r="F48" i="10"/>
  <c r="G48" i="10"/>
  <c r="D48" i="10"/>
  <c r="B48" i="10"/>
  <c r="AA42" i="11" l="1"/>
  <c r="AB42" i="11"/>
  <c r="AC42" i="11"/>
  <c r="E43" i="11"/>
  <c r="H43" i="11"/>
  <c r="Z47" i="10"/>
  <c r="Y47" i="10"/>
  <c r="X47" i="10"/>
  <c r="E48" i="10"/>
  <c r="H48" i="10" s="1"/>
  <c r="I43" i="11" l="1"/>
  <c r="J43" i="11"/>
  <c r="N43" i="11" s="1"/>
  <c r="I48" i="10"/>
  <c r="Y43" i="11" l="1"/>
  <c r="L43" i="11"/>
  <c r="P43" i="11" s="1"/>
  <c r="K43" i="11"/>
  <c r="O43" i="11" s="1"/>
  <c r="L48" i="10"/>
  <c r="J48" i="10"/>
  <c r="Z43" i="11" l="1"/>
  <c r="M43" i="11"/>
  <c r="M48" i="10"/>
  <c r="V48" i="10"/>
  <c r="S43" i="11" l="1"/>
  <c r="Q43" i="11"/>
  <c r="W48" i="10"/>
  <c r="K48" i="10"/>
  <c r="R43" i="11" l="1"/>
  <c r="T43" i="11"/>
  <c r="A44" i="11"/>
  <c r="P48" i="10"/>
  <c r="N48" i="10"/>
  <c r="F44" i="11" l="1"/>
  <c r="B44" i="11"/>
  <c r="C44" i="11"/>
  <c r="U44" i="11"/>
  <c r="X44" i="11" s="1"/>
  <c r="V44" i="11"/>
  <c r="W44" i="11"/>
  <c r="G44" i="11"/>
  <c r="D44" i="11"/>
  <c r="Q48" i="10"/>
  <c r="A49" i="10"/>
  <c r="O48" i="10"/>
  <c r="AA43" i="11" l="1"/>
  <c r="AB43" i="11"/>
  <c r="AC43" i="11"/>
  <c r="T49" i="10"/>
  <c r="F49" i="10"/>
  <c r="D49" i="10"/>
  <c r="E49" i="10" s="1"/>
  <c r="G49" i="10"/>
  <c r="B49" i="10"/>
  <c r="C49" i="10"/>
  <c r="R49" i="10"/>
  <c r="S49" i="10"/>
  <c r="H44" i="11"/>
  <c r="E44" i="11"/>
  <c r="X48" i="10" l="1"/>
  <c r="Y48" i="10"/>
  <c r="Z48" i="10"/>
  <c r="I44" i="11"/>
  <c r="J44" i="11"/>
  <c r="N44" i="11" s="1"/>
  <c r="U49" i="10"/>
  <c r="H49" i="10" s="1"/>
  <c r="K44" i="11" l="1"/>
  <c r="I49" i="10"/>
  <c r="L49" i="10" s="1"/>
  <c r="J49" i="10"/>
  <c r="O44" i="11" l="1"/>
  <c r="L44" i="11"/>
  <c r="Y44" i="11"/>
  <c r="Z44" i="11" s="1"/>
  <c r="M49" i="10"/>
  <c r="V49" i="10"/>
  <c r="W49" i="10"/>
  <c r="K49" i="10"/>
  <c r="P44" i="11" l="1"/>
  <c r="M44" i="11"/>
  <c r="P49" i="10"/>
  <c r="N49" i="10"/>
  <c r="S44" i="11" l="1"/>
  <c r="Q44" i="11"/>
  <c r="A50" i="10"/>
  <c r="Q49" i="10"/>
  <c r="O49" i="10"/>
  <c r="A45" i="11" l="1"/>
  <c r="R44" i="11"/>
  <c r="T44" i="11"/>
  <c r="T50" i="10"/>
  <c r="S50" i="10"/>
  <c r="R50" i="10"/>
  <c r="C50" i="10"/>
  <c r="D50" i="10"/>
  <c r="E50" i="10" s="1"/>
  <c r="B50" i="10"/>
  <c r="G50" i="10"/>
  <c r="F50" i="10"/>
  <c r="E45" i="11" l="1"/>
  <c r="X45" i="11"/>
  <c r="B45" i="11"/>
  <c r="H45" i="11"/>
  <c r="F45" i="11"/>
  <c r="G45" i="11"/>
  <c r="C45" i="11"/>
  <c r="D45" i="11"/>
  <c r="U45" i="11"/>
  <c r="V45" i="11"/>
  <c r="W45" i="11"/>
  <c r="U50" i="10"/>
  <c r="H50" i="10" s="1"/>
  <c r="X49" i="10"/>
  <c r="Z49" i="10"/>
  <c r="Y49" i="10"/>
  <c r="AC44" i="11" l="1"/>
  <c r="AA44" i="11"/>
  <c r="AB44" i="11"/>
  <c r="I45" i="11"/>
  <c r="I50" i="10"/>
  <c r="J45" i="11" l="1"/>
  <c r="L50" i="10"/>
  <c r="J50" i="10"/>
  <c r="N45" i="11" l="1"/>
  <c r="L45" i="11"/>
  <c r="K45" i="11"/>
  <c r="V50" i="10"/>
  <c r="M50" i="10"/>
  <c r="O45" i="11" l="1"/>
  <c r="P45" i="11"/>
  <c r="Y45" i="11"/>
  <c r="K50" i="10"/>
  <c r="W50" i="10"/>
  <c r="Z45" i="11" l="1"/>
  <c r="M45" i="11"/>
  <c r="N50" i="10"/>
  <c r="P50" i="10"/>
  <c r="Q45" i="11" l="1"/>
  <c r="S45" i="11"/>
  <c r="A51" i="10"/>
  <c r="O50" i="10"/>
  <c r="Q50" i="10"/>
  <c r="A46" i="11" l="1"/>
  <c r="R45" i="11"/>
  <c r="T45" i="11"/>
  <c r="C51" i="10"/>
  <c r="T51" i="10"/>
  <c r="S51" i="10"/>
  <c r="R51" i="10"/>
  <c r="U51" i="10" s="1"/>
  <c r="D51" i="10"/>
  <c r="E51" i="10" s="1"/>
  <c r="G51" i="10"/>
  <c r="F51" i="10"/>
  <c r="B51" i="10"/>
  <c r="X46" i="11" l="1"/>
  <c r="E46" i="11"/>
  <c r="D46" i="11"/>
  <c r="B46" i="11"/>
  <c r="C46" i="11"/>
  <c r="G46" i="11"/>
  <c r="U46" i="11"/>
  <c r="V46" i="11"/>
  <c r="W46" i="11"/>
  <c r="Z50" i="10"/>
  <c r="Y50" i="10"/>
  <c r="X50" i="10"/>
  <c r="H51" i="10"/>
  <c r="I46" i="11" l="1"/>
  <c r="AB45" i="11"/>
  <c r="AA45" i="11"/>
  <c r="AC45" i="11"/>
  <c r="H46" i="11"/>
  <c r="F46" i="11"/>
  <c r="I51" i="10"/>
  <c r="AF19" i="11" l="1"/>
  <c r="J46" i="11"/>
  <c r="AG16" i="11"/>
  <c r="AF15" i="11"/>
  <c r="N46" i="11"/>
  <c r="AG18" i="11"/>
  <c r="AF17" i="11"/>
  <c r="AF6" i="11"/>
  <c r="L51" i="10"/>
  <c r="J51" i="10"/>
  <c r="AF25" i="11" l="1"/>
  <c r="AG20" i="11"/>
  <c r="K46" i="11"/>
  <c r="L46" i="11"/>
  <c r="M51" i="10"/>
  <c r="V51" i="10"/>
  <c r="K51" i="10" s="1"/>
  <c r="W51" i="10"/>
  <c r="O46" i="11" l="1"/>
  <c r="AG21" i="11"/>
  <c r="P46" i="11"/>
  <c r="AG22" i="11"/>
  <c r="Y46" i="11"/>
  <c r="P51" i="10"/>
  <c r="N51" i="10"/>
  <c r="M46" i="11" l="1"/>
  <c r="Z46" i="11"/>
  <c r="AF11" i="11"/>
  <c r="AG23" i="11"/>
  <c r="A52" i="10"/>
  <c r="Q51" i="10"/>
  <c r="O51" i="10"/>
  <c r="Q46" i="11" l="1"/>
  <c r="AF8" i="11" s="1"/>
  <c r="S46" i="11"/>
  <c r="AF7" i="11"/>
  <c r="AG24" i="11"/>
  <c r="AG25" i="11" s="1"/>
  <c r="AH25" i="11" s="1"/>
  <c r="T52" i="10"/>
  <c r="S52" i="10"/>
  <c r="R52" i="10"/>
  <c r="U52" i="10" s="1"/>
  <c r="C52" i="10"/>
  <c r="B52" i="10"/>
  <c r="D52" i="10"/>
  <c r="G52" i="10"/>
  <c r="F52" i="10"/>
  <c r="E52" i="10"/>
  <c r="T46" i="11" l="1"/>
  <c r="R46" i="11"/>
  <c r="A47" i="11"/>
  <c r="Z51" i="10"/>
  <c r="Y51" i="10"/>
  <c r="X51" i="10"/>
  <c r="H52" i="10"/>
  <c r="F47" i="11" l="1"/>
  <c r="G47" i="11"/>
  <c r="D47" i="11"/>
  <c r="C47" i="11"/>
  <c r="B47" i="11"/>
  <c r="U47" i="11"/>
  <c r="V47" i="11"/>
  <c r="W47" i="11"/>
  <c r="I52" i="10"/>
  <c r="J52" i="10" s="1"/>
  <c r="AA46" i="11" l="1"/>
  <c r="AB46" i="11"/>
  <c r="AC46" i="11"/>
  <c r="X47" i="11"/>
  <c r="E47" i="11"/>
  <c r="H47" i="11"/>
  <c r="L52" i="10"/>
  <c r="V52" i="10"/>
  <c r="M52" i="10"/>
  <c r="I47" i="11" l="1"/>
  <c r="W52" i="10"/>
  <c r="K52" i="10"/>
  <c r="J47" i="11" l="1"/>
  <c r="N47" i="11" s="1"/>
  <c r="K47" i="11"/>
  <c r="L47" i="11"/>
  <c r="P52" i="10"/>
  <c r="N52" i="10"/>
  <c r="O47" i="11" l="1"/>
  <c r="M47" i="11"/>
  <c r="P47" i="11"/>
  <c r="Y47" i="11"/>
  <c r="Z47" i="11" s="1"/>
  <c r="O52" i="10"/>
  <c r="A53" i="10"/>
  <c r="Q52" i="10"/>
  <c r="Q47" i="11" l="1"/>
  <c r="S47" i="11"/>
  <c r="R53" i="10"/>
  <c r="S53" i="10"/>
  <c r="T53" i="10"/>
  <c r="C53" i="10"/>
  <c r="G53" i="10"/>
  <c r="B53" i="10"/>
  <c r="F53" i="10"/>
  <c r="D53" i="10"/>
  <c r="T47" i="11" l="1"/>
  <c r="A48" i="11"/>
  <c r="R47" i="11"/>
  <c r="U53" i="10"/>
  <c r="H53" i="10" s="1"/>
  <c r="Z52" i="10"/>
  <c r="X52" i="10"/>
  <c r="Y52" i="10"/>
  <c r="E53" i="10"/>
  <c r="D48" i="11" l="1"/>
  <c r="C48" i="11"/>
  <c r="B48" i="11"/>
  <c r="G48" i="11"/>
  <c r="F48" i="11" s="1"/>
  <c r="U48" i="11"/>
  <c r="X48" i="11" s="1"/>
  <c r="V48" i="11"/>
  <c r="W48" i="11"/>
  <c r="I53" i="10"/>
  <c r="AB47" i="11" l="1"/>
  <c r="AA47" i="11"/>
  <c r="AC47" i="11"/>
  <c r="H48" i="11"/>
  <c r="E48" i="11"/>
  <c r="L53" i="10"/>
  <c r="J53" i="10"/>
  <c r="V53" i="10"/>
  <c r="W53" i="10" s="1"/>
  <c r="M53" i="10"/>
  <c r="K53" i="10"/>
  <c r="I48" i="11" l="1"/>
  <c r="J48" i="11"/>
  <c r="N48" i="11" s="1"/>
  <c r="N53" i="10"/>
  <c r="P53" i="10"/>
  <c r="L48" i="11" l="1"/>
  <c r="K48" i="11"/>
  <c r="O53" i="10"/>
  <c r="A54" i="10"/>
  <c r="Q53" i="10"/>
  <c r="P48" i="11" l="1"/>
  <c r="O48" i="11"/>
  <c r="Y48" i="11"/>
  <c r="R54" i="10"/>
  <c r="S54" i="10"/>
  <c r="T54" i="10"/>
  <c r="C54" i="10"/>
  <c r="B54" i="10"/>
  <c r="D54" i="10"/>
  <c r="G54" i="10"/>
  <c r="F54" i="10"/>
  <c r="E54" i="10"/>
  <c r="U54" i="10" l="1"/>
  <c r="Z48" i="11"/>
  <c r="M48" i="11"/>
  <c r="Z53" i="10"/>
  <c r="X53" i="10"/>
  <c r="Y53" i="10"/>
  <c r="H54" i="10"/>
  <c r="S48" i="11" l="1"/>
  <c r="Q48" i="11"/>
  <c r="I54" i="10"/>
  <c r="A49" i="11" l="1"/>
  <c r="R48" i="11"/>
  <c r="T48" i="11"/>
  <c r="L54" i="10"/>
  <c r="J54" i="10"/>
  <c r="E49" i="11" l="1"/>
  <c r="B49" i="11"/>
  <c r="W49" i="11"/>
  <c r="V49" i="11"/>
  <c r="X49" i="11" s="1"/>
  <c r="U49" i="11"/>
  <c r="D49" i="11"/>
  <c r="H49" i="11" s="1"/>
  <c r="G49" i="11"/>
  <c r="F49" i="11" s="1"/>
  <c r="C49" i="11"/>
  <c r="M54" i="10"/>
  <c r="V54" i="10"/>
  <c r="W54" i="10"/>
  <c r="K54" i="10"/>
  <c r="AB48" i="11" l="1"/>
  <c r="AA48" i="11"/>
  <c r="AC48" i="11"/>
  <c r="I49" i="11"/>
  <c r="N54" i="10"/>
  <c r="P54" i="10"/>
  <c r="J49" i="11" l="1"/>
  <c r="O54" i="10"/>
  <c r="Q54" i="10"/>
  <c r="A55" i="10"/>
  <c r="N49" i="11" l="1"/>
  <c r="K49" i="11"/>
  <c r="T55" i="10"/>
  <c r="S55" i="10"/>
  <c r="R55" i="10"/>
  <c r="U55" i="10" s="1"/>
  <c r="C55" i="10"/>
  <c r="G55" i="10"/>
  <c r="D55" i="10"/>
  <c r="B55" i="10"/>
  <c r="F55" i="10"/>
  <c r="E55" i="10"/>
  <c r="O49" i="11" l="1"/>
  <c r="L49" i="11"/>
  <c r="Y49" i="11"/>
  <c r="Z49" i="11" s="1"/>
  <c r="X54" i="10"/>
  <c r="Z54" i="10"/>
  <c r="Y54" i="10"/>
  <c r="H55" i="10"/>
  <c r="P49" i="11" l="1"/>
  <c r="M49" i="11"/>
  <c r="I55" i="10"/>
  <c r="Q49" i="11" l="1"/>
  <c r="S49" i="11"/>
  <c r="L55" i="10"/>
  <c r="J55" i="10"/>
  <c r="T49" i="11" l="1"/>
  <c r="A50" i="11"/>
  <c r="R49" i="11"/>
  <c r="V55" i="10"/>
  <c r="M55" i="10"/>
  <c r="W50" i="11" l="1"/>
  <c r="V50" i="11"/>
  <c r="U50" i="11"/>
  <c r="X50" i="11" s="1"/>
  <c r="C50" i="11"/>
  <c r="D50" i="11"/>
  <c r="G50" i="11"/>
  <c r="B50" i="11"/>
  <c r="H50" i="11"/>
  <c r="W55" i="10"/>
  <c r="K55" i="10"/>
  <c r="AC49" i="11" l="1"/>
  <c r="AA49" i="11"/>
  <c r="AB49" i="11"/>
  <c r="E50" i="11"/>
  <c r="F50" i="11"/>
  <c r="I50" i="11" s="1"/>
  <c r="N55" i="10"/>
  <c r="P55" i="10"/>
  <c r="J50" i="11" l="1"/>
  <c r="Q55" i="10"/>
  <c r="A56" i="10"/>
  <c r="O55" i="10"/>
  <c r="N50" i="11" l="1"/>
  <c r="K50" i="11"/>
  <c r="L50" i="11"/>
  <c r="P50" i="11" s="1"/>
  <c r="T56" i="10"/>
  <c r="S56" i="10"/>
  <c r="R56" i="10"/>
  <c r="C56" i="10"/>
  <c r="D56" i="10"/>
  <c r="F56" i="10"/>
  <c r="B56" i="10"/>
  <c r="G56" i="10"/>
  <c r="E56" i="10"/>
  <c r="U56" i="10" l="1"/>
  <c r="H56" i="10" s="1"/>
  <c r="O50" i="11"/>
  <c r="Y50" i="11"/>
  <c r="Z50" i="11" s="1"/>
  <c r="M50" i="11"/>
  <c r="Z55" i="10"/>
  <c r="Y55" i="10"/>
  <c r="X55" i="10"/>
  <c r="Q50" i="11" l="1"/>
  <c r="S50" i="11"/>
  <c r="I56" i="10"/>
  <c r="A51" i="11" l="1"/>
  <c r="R50" i="11"/>
  <c r="T50" i="11"/>
  <c r="L56" i="10"/>
  <c r="J56" i="10"/>
  <c r="W51" i="11" l="1"/>
  <c r="V51" i="11"/>
  <c r="X51" i="11" s="1"/>
  <c r="U51" i="11"/>
  <c r="C51" i="11"/>
  <c r="G51" i="11"/>
  <c r="D51" i="11"/>
  <c r="B51" i="11"/>
  <c r="H51" i="11"/>
  <c r="M56" i="10"/>
  <c r="V56" i="10"/>
  <c r="F51" i="11" l="1"/>
  <c r="E51" i="11"/>
  <c r="AC50" i="11"/>
  <c r="AB50" i="11"/>
  <c r="AA50" i="11"/>
  <c r="W56" i="10"/>
  <c r="K56" i="10"/>
  <c r="I51" i="11" l="1"/>
  <c r="N56" i="10"/>
  <c r="P56" i="10"/>
  <c r="O56" i="10"/>
  <c r="J51" i="11" l="1"/>
  <c r="Q56" i="10"/>
  <c r="A57" i="10"/>
  <c r="N51" i="11" l="1"/>
  <c r="L51" i="11"/>
  <c r="P51" i="11" s="1"/>
  <c r="K51" i="11"/>
  <c r="D57" i="10"/>
  <c r="E57" i="10" s="1"/>
  <c r="H57" i="10" s="1"/>
  <c r="T57" i="10"/>
  <c r="S57" i="10"/>
  <c r="R57" i="10"/>
  <c r="U57" i="10" s="1"/>
  <c r="C57" i="10"/>
  <c r="G57" i="10"/>
  <c r="F57" i="10"/>
  <c r="B57" i="10"/>
  <c r="Z56" i="10"/>
  <c r="X56" i="10"/>
  <c r="Y56" i="10"/>
  <c r="O51" i="11" l="1"/>
  <c r="Y51" i="11"/>
  <c r="I57" i="10"/>
  <c r="L57" i="10" s="1"/>
  <c r="J57" i="10"/>
  <c r="Z51" i="11" l="1"/>
  <c r="M51" i="11"/>
  <c r="M57" i="10"/>
  <c r="V57" i="10"/>
  <c r="Q51" i="11" l="1"/>
  <c r="S51" i="11"/>
  <c r="W57" i="10"/>
  <c r="K57" i="10"/>
  <c r="R51" i="11" l="1"/>
  <c r="T51" i="11"/>
  <c r="A52" i="11"/>
  <c r="P57" i="10"/>
  <c r="N57" i="10"/>
  <c r="X52" i="11" l="1"/>
  <c r="W52" i="11"/>
  <c r="V52" i="11"/>
  <c r="U52" i="11"/>
  <c r="D52" i="11"/>
  <c r="C52" i="11"/>
  <c r="G52" i="11"/>
  <c r="F52" i="11" s="1"/>
  <c r="B52" i="11"/>
  <c r="O57" i="10"/>
  <c r="Q57" i="10"/>
  <c r="A58" i="10"/>
  <c r="AC51" i="11" l="1"/>
  <c r="AB51" i="11"/>
  <c r="AA51" i="11"/>
  <c r="E52" i="11"/>
  <c r="H52" i="11"/>
  <c r="T58" i="10"/>
  <c r="S58" i="10"/>
  <c r="R58" i="10"/>
  <c r="U58" i="10" s="1"/>
  <c r="C58" i="10"/>
  <c r="D58" i="10"/>
  <c r="F58" i="10"/>
  <c r="B58" i="10"/>
  <c r="G58" i="10"/>
  <c r="I52" i="11" l="1"/>
  <c r="Z57" i="10"/>
  <c r="Y57" i="10"/>
  <c r="X57" i="10"/>
  <c r="E58" i="10"/>
  <c r="H58" i="10" s="1"/>
  <c r="J52" i="11" l="1"/>
  <c r="I58" i="10"/>
  <c r="J58" i="10"/>
  <c r="M58" i="10" s="1"/>
  <c r="N52" i="11" l="1"/>
  <c r="K52" i="11"/>
  <c r="L58" i="10"/>
  <c r="V58" i="10"/>
  <c r="O52" i="11" l="1"/>
  <c r="L52" i="11"/>
  <c r="W58" i="10"/>
  <c r="K58" i="10"/>
  <c r="P52" i="11" l="1"/>
  <c r="Y52" i="11"/>
  <c r="P58" i="10"/>
  <c r="N58" i="10"/>
  <c r="Z52" i="11" l="1"/>
  <c r="M52" i="11"/>
  <c r="O58" i="10"/>
  <c r="A59" i="10"/>
  <c r="Q58" i="10"/>
  <c r="S52" i="11" l="1"/>
  <c r="Q52" i="11"/>
  <c r="C59" i="10"/>
  <c r="T59" i="10"/>
  <c r="S59" i="10"/>
  <c r="R59" i="10"/>
  <c r="D59" i="10"/>
  <c r="E59" i="10" s="1"/>
  <c r="G59" i="10"/>
  <c r="F59" i="10"/>
  <c r="B59" i="10"/>
  <c r="R52" i="11" l="1"/>
  <c r="A53" i="11"/>
  <c r="T52" i="11"/>
  <c r="U59" i="10"/>
  <c r="H59" i="10" s="1"/>
  <c r="Z58" i="10"/>
  <c r="Y58" i="10"/>
  <c r="X58" i="10"/>
  <c r="V53" i="11" l="1"/>
  <c r="U53" i="11"/>
  <c r="W53" i="11"/>
  <c r="B53" i="11"/>
  <c r="G53" i="11"/>
  <c r="D53" i="11"/>
  <c r="C53" i="11"/>
  <c r="H53" i="11"/>
  <c r="X53" i="11"/>
  <c r="I59" i="10"/>
  <c r="AC52" i="11" l="1"/>
  <c r="AB52" i="11"/>
  <c r="AA52" i="11"/>
  <c r="F53" i="11"/>
  <c r="E53" i="11"/>
  <c r="L59" i="10"/>
  <c r="J59" i="10"/>
  <c r="I53" i="11" l="1"/>
  <c r="V59" i="10"/>
  <c r="M59" i="10"/>
  <c r="J53" i="11" l="1"/>
  <c r="K59" i="10"/>
  <c r="W59" i="10"/>
  <c r="N53" i="11" l="1"/>
  <c r="K53" i="11"/>
  <c r="O53" i="11" s="1"/>
  <c r="L53" i="11"/>
  <c r="P53" i="11" s="1"/>
  <c r="Y53" i="11"/>
  <c r="N59" i="10"/>
  <c r="P59" i="10"/>
  <c r="Z53" i="11" l="1"/>
  <c r="M53" i="11"/>
  <c r="Q59" i="10"/>
  <c r="O59" i="10"/>
  <c r="A60" i="10"/>
  <c r="S53" i="11" l="1"/>
  <c r="Q53" i="11"/>
  <c r="T60" i="10"/>
  <c r="S60" i="10"/>
  <c r="R60" i="10"/>
  <c r="U60" i="10" s="1"/>
  <c r="C60" i="10"/>
  <c r="B60" i="10"/>
  <c r="G60" i="10"/>
  <c r="F60" i="10"/>
  <c r="D60" i="10"/>
  <c r="E60" i="10" s="1"/>
  <c r="R53" i="11" l="1"/>
  <c r="A54" i="11"/>
  <c r="T53" i="11"/>
  <c r="Z59" i="10"/>
  <c r="Y59" i="10"/>
  <c r="X59" i="10"/>
  <c r="H60" i="10"/>
  <c r="I60" i="10" s="1"/>
  <c r="L60" i="10" s="1"/>
  <c r="W54" i="11" l="1"/>
  <c r="V54" i="11"/>
  <c r="C54" i="11"/>
  <c r="G54" i="11"/>
  <c r="B54" i="11"/>
  <c r="U54" i="11"/>
  <c r="D54" i="11"/>
  <c r="X54" i="11"/>
  <c r="E54" i="11"/>
  <c r="H54" i="11"/>
  <c r="F54" i="11"/>
  <c r="I54" i="11"/>
  <c r="J60" i="10"/>
  <c r="AC53" i="11" l="1"/>
  <c r="AB53" i="11"/>
  <c r="AA53" i="11"/>
  <c r="J54" i="11"/>
  <c r="M60" i="10"/>
  <c r="V60" i="10"/>
  <c r="W60" i="10"/>
  <c r="K60" i="10"/>
  <c r="K54" i="11" l="1"/>
  <c r="N54" i="11"/>
  <c r="P60" i="10"/>
  <c r="N60" i="10"/>
  <c r="O54" i="11" l="1"/>
  <c r="L54" i="11"/>
  <c r="A61" i="10"/>
  <c r="Q60" i="10"/>
  <c r="O60" i="10"/>
  <c r="Y54" i="11" l="1"/>
  <c r="P54" i="11"/>
  <c r="T61" i="10"/>
  <c r="S61" i="10"/>
  <c r="R61" i="10"/>
  <c r="U61" i="10" s="1"/>
  <c r="C61" i="10"/>
  <c r="G61" i="10"/>
  <c r="F61" i="10"/>
  <c r="D61" i="10"/>
  <c r="B61" i="10"/>
  <c r="Z54" i="11" l="1"/>
  <c r="M54" i="11"/>
  <c r="Z60" i="10"/>
  <c r="Y60" i="10"/>
  <c r="X60" i="10"/>
  <c r="E61" i="10"/>
  <c r="H61" i="10" s="1"/>
  <c r="S54" i="11" l="1"/>
  <c r="Q54" i="11"/>
  <c r="I61" i="10"/>
  <c r="R54" i="11" l="1"/>
  <c r="A55" i="11"/>
  <c r="T54" i="11"/>
  <c r="L61" i="10"/>
  <c r="J61" i="10"/>
  <c r="W55" i="11" l="1"/>
  <c r="V55" i="11"/>
  <c r="U55" i="11"/>
  <c r="C55" i="11"/>
  <c r="D55" i="11"/>
  <c r="B55" i="11"/>
  <c r="G55" i="11"/>
  <c r="H55" i="11"/>
  <c r="E55" i="11"/>
  <c r="X55" i="11"/>
  <c r="F55" i="11"/>
  <c r="M61" i="10"/>
  <c r="V61" i="10"/>
  <c r="W61" i="10" s="1"/>
  <c r="K61" i="10"/>
  <c r="AC54" i="11" l="1"/>
  <c r="AA54" i="11"/>
  <c r="AB54" i="11"/>
  <c r="I55" i="11"/>
  <c r="P61" i="10"/>
  <c r="N61" i="10"/>
  <c r="J55" i="11" l="1"/>
  <c r="K55" i="11"/>
  <c r="A62" i="10"/>
  <c r="Q61" i="10"/>
  <c r="O61" i="10"/>
  <c r="N55" i="11" l="1"/>
  <c r="O55" i="11"/>
  <c r="L55" i="11"/>
  <c r="T62" i="10"/>
  <c r="S62" i="10"/>
  <c r="R62" i="10"/>
  <c r="U62" i="10" s="1"/>
  <c r="C62" i="10"/>
  <c r="B62" i="10"/>
  <c r="D62" i="10"/>
  <c r="G62" i="10"/>
  <c r="F62" i="10"/>
  <c r="P55" i="11" l="1"/>
  <c r="Y55" i="11"/>
  <c r="Z61" i="10"/>
  <c r="Y61" i="10"/>
  <c r="X61" i="10"/>
  <c r="E62" i="10"/>
  <c r="H62" i="10" s="1"/>
  <c r="Z55" i="11" l="1"/>
  <c r="M55" i="11"/>
  <c r="I62" i="10"/>
  <c r="Q55" i="11" l="1"/>
  <c r="S55" i="11"/>
  <c r="L62" i="10"/>
  <c r="J62" i="10"/>
  <c r="R55" i="11" l="1"/>
  <c r="A56" i="11"/>
  <c r="T55" i="11"/>
  <c r="M62" i="10"/>
  <c r="V62" i="10"/>
  <c r="W56" i="11" l="1"/>
  <c r="V56" i="11"/>
  <c r="U56" i="11"/>
  <c r="C56" i="11"/>
  <c r="B56" i="11"/>
  <c r="D56" i="11"/>
  <c r="G56" i="11"/>
  <c r="E56" i="11"/>
  <c r="X56" i="11"/>
  <c r="W62" i="10"/>
  <c r="K62" i="10"/>
  <c r="AA55" i="11" l="1"/>
  <c r="AC55" i="11"/>
  <c r="AB55" i="11"/>
  <c r="P62" i="10"/>
  <c r="N62" i="10"/>
  <c r="H56" i="11"/>
  <c r="F56" i="11"/>
  <c r="O62" i="10" l="1"/>
  <c r="A63" i="10"/>
  <c r="Q62" i="10"/>
  <c r="I56" i="11"/>
  <c r="B63" i="10" l="1"/>
  <c r="D63" i="10"/>
  <c r="E63" i="10" s="1"/>
  <c r="F63" i="10"/>
  <c r="G63" i="10"/>
  <c r="C63" i="10"/>
  <c r="R63" i="10"/>
  <c r="S63" i="10"/>
  <c r="T63" i="10"/>
  <c r="J56" i="11"/>
  <c r="K56" i="11"/>
  <c r="O56" i="11" s="1"/>
  <c r="Y62" i="10" l="1"/>
  <c r="X62" i="10"/>
  <c r="Z62" i="10"/>
  <c r="U63" i="10"/>
  <c r="H63" i="10" s="1"/>
  <c r="N56" i="11"/>
  <c r="L56" i="11"/>
  <c r="P56" i="11" s="1"/>
  <c r="Y56" i="11"/>
  <c r="Z56" i="11" s="1"/>
  <c r="M56" i="11"/>
  <c r="Q56" i="11" l="1"/>
  <c r="S56" i="11"/>
  <c r="I63" i="10"/>
  <c r="L63" i="10" s="1"/>
  <c r="J63" i="10"/>
  <c r="K63" i="10" s="1"/>
  <c r="M63" i="10"/>
  <c r="V63" i="10"/>
  <c r="W63" i="10" s="1"/>
  <c r="T56" i="11" l="1"/>
  <c r="A57" i="11"/>
  <c r="R56" i="11"/>
  <c r="N63" i="10"/>
  <c r="P63" i="10"/>
  <c r="W57" i="11" l="1"/>
  <c r="V57" i="11"/>
  <c r="U57" i="11"/>
  <c r="X57" i="11" s="1"/>
  <c r="B57" i="11"/>
  <c r="C57" i="11"/>
  <c r="G57" i="11"/>
  <c r="D57" i="11"/>
  <c r="E57" i="11"/>
  <c r="H57" i="11"/>
  <c r="A64" i="10"/>
  <c r="Q63" i="10"/>
  <c r="O63" i="10"/>
  <c r="AC56" i="11" l="1"/>
  <c r="AB56" i="11"/>
  <c r="AA56" i="11"/>
  <c r="F57" i="11"/>
  <c r="T64" i="10"/>
  <c r="S64" i="10"/>
  <c r="R64" i="10"/>
  <c r="C64" i="10"/>
  <c r="G64" i="10"/>
  <c r="D64" i="10"/>
  <c r="B64" i="10"/>
  <c r="F64" i="10"/>
  <c r="I57" i="11" l="1"/>
  <c r="U64" i="10"/>
  <c r="Z63" i="10"/>
  <c r="Y63" i="10"/>
  <c r="X63" i="10"/>
  <c r="E64" i="10"/>
  <c r="J57" i="11" l="1"/>
  <c r="H64" i="10"/>
  <c r="I64" i="10" s="1"/>
  <c r="J64" i="10" s="1"/>
  <c r="N57" i="11" l="1"/>
  <c r="K57" i="11"/>
  <c r="M64" i="10"/>
  <c r="V64" i="10"/>
  <c r="L64" i="10"/>
  <c r="O57" i="11" l="1"/>
  <c r="L57" i="11"/>
  <c r="W64" i="10"/>
  <c r="K64" i="10"/>
  <c r="P57" i="11" l="1"/>
  <c r="Y57" i="11"/>
  <c r="P64" i="10"/>
  <c r="N64" i="10"/>
  <c r="Z57" i="11" l="1"/>
  <c r="M57" i="11"/>
  <c r="A65" i="10"/>
  <c r="O64" i="10"/>
  <c r="Q64" i="10"/>
  <c r="Q57" i="11" l="1"/>
  <c r="S57" i="11"/>
  <c r="T65" i="10"/>
  <c r="S65" i="10"/>
  <c r="R65" i="10"/>
  <c r="U65" i="10" s="1"/>
  <c r="C65" i="10"/>
  <c r="F65" i="10"/>
  <c r="D65" i="10"/>
  <c r="B65" i="10"/>
  <c r="G65" i="10"/>
  <c r="T57" i="11" l="1"/>
  <c r="R57" i="11"/>
  <c r="A58" i="11"/>
  <c r="Z64" i="10"/>
  <c r="Y64" i="10"/>
  <c r="X64" i="10"/>
  <c r="E65" i="10"/>
  <c r="H65" i="10" s="1"/>
  <c r="U58" i="11" l="1"/>
  <c r="X58" i="11" s="1"/>
  <c r="B58" i="11"/>
  <c r="G58" i="11"/>
  <c r="C58" i="11"/>
  <c r="V58" i="11"/>
  <c r="D58" i="11"/>
  <c r="H58" i="11"/>
  <c r="E58" i="11"/>
  <c r="W58" i="11"/>
  <c r="I65" i="10"/>
  <c r="AC57" i="11" l="1"/>
  <c r="AB57" i="11"/>
  <c r="AA57" i="11"/>
  <c r="F58" i="11"/>
  <c r="L65" i="10"/>
  <c r="J65" i="10"/>
  <c r="I58" i="11" l="1"/>
  <c r="M65" i="10"/>
  <c r="V65" i="10"/>
  <c r="J58" i="11" l="1"/>
  <c r="N58" i="11" s="1"/>
  <c r="K58" i="11"/>
  <c r="O58" i="11" s="1"/>
  <c r="L58" i="11"/>
  <c r="P58" i="11" s="1"/>
  <c r="Y58" i="11"/>
  <c r="W65" i="10"/>
  <c r="K65" i="10"/>
  <c r="Z58" i="11" l="1"/>
  <c r="M58" i="11"/>
  <c r="N65" i="10"/>
  <c r="P65" i="10"/>
  <c r="S58" i="11" l="1"/>
  <c r="Q58" i="11"/>
  <c r="O65" i="10"/>
  <c r="Q65" i="10"/>
  <c r="A66" i="10"/>
  <c r="A59" i="11" l="1"/>
  <c r="R58" i="11"/>
  <c r="T58" i="11"/>
  <c r="T66" i="10"/>
  <c r="S66" i="10"/>
  <c r="R66" i="10"/>
  <c r="U66" i="10" s="1"/>
  <c r="C66" i="10"/>
  <c r="D66" i="10"/>
  <c r="G66" i="10"/>
  <c r="F66" i="10"/>
  <c r="B66" i="10"/>
  <c r="E66" i="10"/>
  <c r="W59" i="11" l="1"/>
  <c r="X59" i="11" s="1"/>
  <c r="G59" i="11"/>
  <c r="C59" i="11"/>
  <c r="V59" i="11"/>
  <c r="U59" i="11"/>
  <c r="B59" i="11"/>
  <c r="D59" i="11"/>
  <c r="H59" i="11"/>
  <c r="E59" i="11"/>
  <c r="Y65" i="10"/>
  <c r="Z65" i="10"/>
  <c r="X65" i="10"/>
  <c r="H66" i="10"/>
  <c r="AC58" i="11" l="1"/>
  <c r="AB58" i="11"/>
  <c r="AA58" i="11"/>
  <c r="I59" i="11"/>
  <c r="F59" i="11"/>
  <c r="I66" i="10"/>
  <c r="J66" i="10" s="1"/>
  <c r="J59" i="11" l="1"/>
  <c r="L66" i="10"/>
  <c r="M66" i="10"/>
  <c r="V66" i="10"/>
  <c r="N59" i="11" l="1"/>
  <c r="L59" i="11"/>
  <c r="K59" i="11"/>
  <c r="O59" i="11" s="1"/>
  <c r="W66" i="10"/>
  <c r="K66" i="10"/>
  <c r="P59" i="11" l="1"/>
  <c r="M59" i="11"/>
  <c r="Y59" i="11"/>
  <c r="Z59" i="11" s="1"/>
  <c r="N66" i="10"/>
  <c r="P66" i="10"/>
  <c r="Q59" i="11" l="1"/>
  <c r="S59" i="11"/>
  <c r="O66" i="10"/>
  <c r="A67" i="10"/>
  <c r="Q66" i="10"/>
  <c r="A60" i="11" l="1"/>
  <c r="T59" i="11"/>
  <c r="R59" i="11"/>
  <c r="C67" i="10"/>
  <c r="T67" i="10"/>
  <c r="S67" i="10"/>
  <c r="R67" i="10"/>
  <c r="U67" i="10" s="1"/>
  <c r="B67" i="10"/>
  <c r="F67" i="10"/>
  <c r="D67" i="10"/>
  <c r="G67" i="10"/>
  <c r="E67" i="10"/>
  <c r="W60" i="11" l="1"/>
  <c r="V60" i="11"/>
  <c r="U60" i="11"/>
  <c r="X60" i="11" s="1"/>
  <c r="C60" i="11"/>
  <c r="G60" i="11"/>
  <c r="D60" i="11"/>
  <c r="B60" i="11"/>
  <c r="H60" i="11"/>
  <c r="E60" i="11"/>
  <c r="X66" i="10"/>
  <c r="Y66" i="10"/>
  <c r="Z66" i="10"/>
  <c r="H67" i="10"/>
  <c r="AC59" i="11" l="1"/>
  <c r="AB59" i="11"/>
  <c r="AA59" i="11"/>
  <c r="F60" i="11"/>
  <c r="I67" i="10"/>
  <c r="I60" i="11" l="1"/>
  <c r="L67" i="10"/>
  <c r="J67" i="10"/>
  <c r="J60" i="11" l="1"/>
  <c r="M67" i="10"/>
  <c r="V67" i="10"/>
  <c r="N60" i="11" l="1"/>
  <c r="K60" i="11"/>
  <c r="O60" i="11" s="1"/>
  <c r="L60" i="11"/>
  <c r="W67" i="10"/>
  <c r="K67" i="10"/>
  <c r="P60" i="11" l="1"/>
  <c r="Y60" i="11"/>
  <c r="P67" i="10"/>
  <c r="N67" i="10"/>
  <c r="M60" i="11" l="1"/>
  <c r="Z60" i="11"/>
  <c r="Q67" i="10"/>
  <c r="A68" i="10"/>
  <c r="O67" i="10"/>
  <c r="Q60" i="11" l="1"/>
  <c r="S60" i="11"/>
  <c r="T68" i="10"/>
  <c r="S68" i="10"/>
  <c r="R68" i="10"/>
  <c r="U68" i="10" s="1"/>
  <c r="C68" i="10"/>
  <c r="B68" i="10"/>
  <c r="D68" i="10"/>
  <c r="G68" i="10"/>
  <c r="F68" i="10"/>
  <c r="R60" i="11" l="1"/>
  <c r="A61" i="11"/>
  <c r="T60" i="11"/>
  <c r="Y67" i="10"/>
  <c r="X67" i="10"/>
  <c r="Z67" i="10"/>
  <c r="E68" i="10"/>
  <c r="H68" i="10" s="1"/>
  <c r="V61" i="11" l="1"/>
  <c r="U61" i="11"/>
  <c r="B61" i="11"/>
  <c r="E61" i="11"/>
  <c r="F61" i="11"/>
  <c r="D61" i="11"/>
  <c r="C61" i="11"/>
  <c r="W61" i="11"/>
  <c r="X61" i="11" s="1"/>
  <c r="G61" i="11"/>
  <c r="I68" i="10"/>
  <c r="AA60" i="11" l="1"/>
  <c r="AC60" i="11"/>
  <c r="AB60" i="11"/>
  <c r="H61" i="11"/>
  <c r="I61" i="11"/>
  <c r="L68" i="10"/>
  <c r="J68" i="10"/>
  <c r="V68" i="10"/>
  <c r="W68" i="10" s="1"/>
  <c r="J61" i="11" l="1"/>
  <c r="M68" i="10"/>
  <c r="K68" i="10"/>
  <c r="N61" i="11" l="1"/>
  <c r="K61" i="11"/>
  <c r="P68" i="10"/>
  <c r="N68" i="10"/>
  <c r="L61" i="11" l="1"/>
  <c r="O61" i="11"/>
  <c r="O68" i="10"/>
  <c r="A69" i="10"/>
  <c r="Q68" i="10"/>
  <c r="P61" i="11" l="1"/>
  <c r="Y61" i="11"/>
  <c r="Z61" i="11" s="1"/>
  <c r="M61" i="11"/>
  <c r="T69" i="10"/>
  <c r="S69" i="10"/>
  <c r="R69" i="10"/>
  <c r="U69" i="10" s="1"/>
  <c r="C69" i="10"/>
  <c r="D69" i="10"/>
  <c r="B69" i="10"/>
  <c r="F69" i="10"/>
  <c r="G69" i="10"/>
  <c r="S61" i="11" l="1"/>
  <c r="Q61" i="11"/>
  <c r="X68" i="10"/>
  <c r="Z68" i="10"/>
  <c r="Y68" i="10"/>
  <c r="E69" i="10"/>
  <c r="H69" i="10" s="1"/>
  <c r="A62" i="11" l="1"/>
  <c r="T61" i="11"/>
  <c r="R61" i="11"/>
  <c r="I69" i="10"/>
  <c r="L69" i="10" s="1"/>
  <c r="J69" i="10"/>
  <c r="M69" i="10" s="1"/>
  <c r="V69" i="10"/>
  <c r="C62" i="11" l="1"/>
  <c r="G62" i="11"/>
  <c r="F62" i="11" s="1"/>
  <c r="D62" i="11"/>
  <c r="E62" i="11" s="1"/>
  <c r="B62" i="11"/>
  <c r="H62" i="11"/>
  <c r="W62" i="11"/>
  <c r="X62" i="11" s="1"/>
  <c r="I62" i="11" s="1"/>
  <c r="V62" i="11"/>
  <c r="U62" i="11"/>
  <c r="W69" i="10"/>
  <c r="K69" i="10"/>
  <c r="AB61" i="11" l="1"/>
  <c r="AA61" i="11"/>
  <c r="AC61" i="11"/>
  <c r="J62" i="11"/>
  <c r="P69" i="10"/>
  <c r="N69" i="10"/>
  <c r="N62" i="11" l="1"/>
  <c r="K62" i="11"/>
  <c r="O69" i="10"/>
  <c r="A70" i="10"/>
  <c r="D70" i="10" s="1"/>
  <c r="E70" i="10" s="1"/>
  <c r="Q69" i="10"/>
  <c r="T70" i="10"/>
  <c r="S70" i="10"/>
  <c r="R70" i="10"/>
  <c r="U70" i="10" s="1"/>
  <c r="C70" i="10"/>
  <c r="G70" i="10"/>
  <c r="B70" i="10"/>
  <c r="F70" i="10"/>
  <c r="O62" i="11" l="1"/>
  <c r="Y62" i="11"/>
  <c r="L62" i="11"/>
  <c r="P62" i="11" s="1"/>
  <c r="Z69" i="10"/>
  <c r="Y69" i="10"/>
  <c r="X69" i="10"/>
  <c r="H70" i="10"/>
  <c r="Z62" i="11" l="1"/>
  <c r="M62" i="11"/>
  <c r="I70" i="10"/>
  <c r="Q62" i="11" l="1"/>
  <c r="S62" i="11"/>
  <c r="L70" i="10"/>
  <c r="J70" i="10"/>
  <c r="M70" i="10"/>
  <c r="V70" i="10"/>
  <c r="A63" i="11" l="1"/>
  <c r="T62" i="11"/>
  <c r="R62" i="11"/>
  <c r="W70" i="10"/>
  <c r="K70" i="10"/>
  <c r="P70" i="10" s="1"/>
  <c r="N70" i="10"/>
  <c r="W63" i="11" l="1"/>
  <c r="V63" i="11"/>
  <c r="U63" i="11"/>
  <c r="B63" i="11"/>
  <c r="C63" i="11"/>
  <c r="D63" i="11"/>
  <c r="G63" i="11"/>
  <c r="E63" i="11"/>
  <c r="H63" i="11"/>
  <c r="X63" i="11"/>
  <c r="F63" i="11"/>
  <c r="A71" i="10"/>
  <c r="Q70" i="10"/>
  <c r="O70" i="10"/>
  <c r="AB62" i="11" l="1"/>
  <c r="AC62" i="11"/>
  <c r="AA62" i="11"/>
  <c r="I63" i="11"/>
  <c r="T71" i="10"/>
  <c r="S71" i="10"/>
  <c r="R71" i="10"/>
  <c r="U71" i="10" s="1"/>
  <c r="C71" i="10"/>
  <c r="D71" i="10"/>
  <c r="F71" i="10"/>
  <c r="B71" i="10"/>
  <c r="G71" i="10"/>
  <c r="J63" i="11" l="1"/>
  <c r="K63" i="11"/>
  <c r="Z70" i="10"/>
  <c r="Y70" i="10"/>
  <c r="X70" i="10"/>
  <c r="E71" i="10"/>
  <c r="H71" i="10" s="1"/>
  <c r="N63" i="11" l="1"/>
  <c r="O63" i="11"/>
  <c r="L63" i="11"/>
  <c r="I71" i="10"/>
  <c r="Y63" i="11" l="1"/>
  <c r="P63" i="11"/>
  <c r="L71" i="10"/>
  <c r="J71" i="10"/>
  <c r="M63" i="11" l="1"/>
  <c r="Z63" i="11"/>
  <c r="M71" i="10"/>
  <c r="V71" i="10"/>
  <c r="Q63" i="11" l="1"/>
  <c r="S63" i="11"/>
  <c r="W71" i="10"/>
  <c r="K71" i="10"/>
  <c r="T63" i="11" l="1"/>
  <c r="R63" i="11"/>
  <c r="A64" i="11"/>
  <c r="N71" i="10"/>
  <c r="P71" i="10"/>
  <c r="U64" i="11" l="1"/>
  <c r="X64" i="11" s="1"/>
  <c r="C64" i="11"/>
  <c r="B64" i="11"/>
  <c r="D64" i="11"/>
  <c r="G64" i="11"/>
  <c r="W64" i="11"/>
  <c r="V64" i="11"/>
  <c r="O71" i="10"/>
  <c r="A72" i="10"/>
  <c r="Q71" i="10"/>
  <c r="AC63" i="11" l="1"/>
  <c r="AB63" i="11"/>
  <c r="AA63" i="11"/>
  <c r="H64" i="11"/>
  <c r="I64" i="11" s="1"/>
  <c r="E64" i="11"/>
  <c r="F64" i="11"/>
  <c r="T72" i="10"/>
  <c r="S72" i="10"/>
  <c r="R72" i="10"/>
  <c r="U72" i="10" s="1"/>
  <c r="C72" i="10"/>
  <c r="G72" i="10"/>
  <c r="B72" i="10"/>
  <c r="D72" i="10"/>
  <c r="F72" i="10"/>
  <c r="J64" i="11" l="1"/>
  <c r="Y71" i="10"/>
  <c r="X71" i="10"/>
  <c r="Z71" i="10"/>
  <c r="E72" i="10"/>
  <c r="H72" i="10" s="1"/>
  <c r="I72" i="10" s="1"/>
  <c r="L72" i="10" s="1"/>
  <c r="N64" i="11" l="1"/>
  <c r="L64" i="11"/>
  <c r="K64" i="11"/>
  <c r="O64" i="11" s="1"/>
  <c r="J72" i="10"/>
  <c r="V72" i="10" s="1"/>
  <c r="W72" i="10" s="1"/>
  <c r="P64" i="11" l="1"/>
  <c r="Y64" i="11"/>
  <c r="M72" i="10"/>
  <c r="K72" i="10"/>
  <c r="Z64" i="11" l="1"/>
  <c r="M64" i="11"/>
  <c r="N72" i="10"/>
  <c r="P72" i="10"/>
  <c r="S64" i="11" l="1"/>
  <c r="Q64" i="11"/>
  <c r="O72" i="10"/>
  <c r="Q72" i="10"/>
  <c r="A73" i="10"/>
  <c r="R64" i="11" l="1"/>
  <c r="T64" i="11"/>
  <c r="A65" i="11"/>
  <c r="T73" i="10"/>
  <c r="S73" i="10"/>
  <c r="R73" i="10"/>
  <c r="C73" i="10"/>
  <c r="G73" i="10"/>
  <c r="D73" i="10"/>
  <c r="F73" i="10"/>
  <c r="B73" i="10"/>
  <c r="B65" i="11" l="1"/>
  <c r="V65" i="11"/>
  <c r="U65" i="11"/>
  <c r="W65" i="11"/>
  <c r="D65" i="11"/>
  <c r="C65" i="11"/>
  <c r="G65" i="11"/>
  <c r="F65" i="11"/>
  <c r="U73" i="10"/>
  <c r="Z72" i="10"/>
  <c r="Y72" i="10"/>
  <c r="X72" i="10"/>
  <c r="E73" i="10"/>
  <c r="AC64" i="11" l="1"/>
  <c r="AA64" i="11"/>
  <c r="AB64" i="11"/>
  <c r="X65" i="11"/>
  <c r="I65" i="11" s="1"/>
  <c r="H65" i="11"/>
  <c r="E65" i="11"/>
  <c r="H73" i="10"/>
  <c r="L65" i="11" l="1"/>
  <c r="P65" i="11" s="1"/>
  <c r="K65" i="11"/>
  <c r="J65" i="11"/>
  <c r="N65" i="11" s="1"/>
  <c r="I73" i="10"/>
  <c r="L73" i="10" s="1"/>
  <c r="J73" i="10"/>
  <c r="M73" i="10"/>
  <c r="V73" i="10"/>
  <c r="O65" i="11" l="1"/>
  <c r="Y65" i="11"/>
  <c r="W73" i="10"/>
  <c r="K73" i="10"/>
  <c r="Z65" i="11" l="1"/>
  <c r="M65" i="11"/>
  <c r="P73" i="10"/>
  <c r="N73" i="10"/>
  <c r="S65" i="11" l="1"/>
  <c r="Q65" i="11"/>
  <c r="O73" i="10"/>
  <c r="Q73" i="10"/>
  <c r="A74" i="10"/>
  <c r="R65" i="11" l="1"/>
  <c r="A66" i="11"/>
  <c r="T65" i="11"/>
  <c r="T74" i="10"/>
  <c r="S74" i="10"/>
  <c r="R74" i="10"/>
  <c r="U74" i="10" s="1"/>
  <c r="C74" i="10"/>
  <c r="F74" i="10"/>
  <c r="D74" i="10"/>
  <c r="G74" i="10"/>
  <c r="B74" i="10"/>
  <c r="V66" i="11" l="1"/>
  <c r="W66" i="11"/>
  <c r="U66" i="11"/>
  <c r="C66" i="11"/>
  <c r="D66" i="11"/>
  <c r="B66" i="11"/>
  <c r="H66" i="11"/>
  <c r="G66" i="11"/>
  <c r="X66" i="11"/>
  <c r="E66" i="11"/>
  <c r="X73" i="10"/>
  <c r="Z73" i="10"/>
  <c r="Y73" i="10"/>
  <c r="E74" i="10"/>
  <c r="H74" i="10" s="1"/>
  <c r="I74" i="10" s="1"/>
  <c r="L74" i="10" s="1"/>
  <c r="AB65" i="11" l="1"/>
  <c r="AA65" i="11"/>
  <c r="AC65" i="11"/>
  <c r="F66" i="11"/>
  <c r="J74" i="10"/>
  <c r="I66" i="11" l="1"/>
  <c r="M74" i="10"/>
  <c r="V74" i="10"/>
  <c r="J66" i="11" l="1"/>
  <c r="N66" i="11" s="1"/>
  <c r="K66" i="11"/>
  <c r="W74" i="10"/>
  <c r="K74" i="10"/>
  <c r="O66" i="11" l="1"/>
  <c r="L66" i="11"/>
  <c r="N74" i="10"/>
  <c r="P74" i="10"/>
  <c r="O74" i="10"/>
  <c r="A75" i="10"/>
  <c r="Q74" i="10"/>
  <c r="P66" i="11" l="1"/>
  <c r="Y66" i="11"/>
  <c r="C75" i="10"/>
  <c r="T75" i="10"/>
  <c r="S75" i="10"/>
  <c r="R75" i="10"/>
  <c r="U75" i="10" s="1"/>
  <c r="B75" i="10"/>
  <c r="D75" i="10"/>
  <c r="E75" i="10" s="1"/>
  <c r="G75" i="10"/>
  <c r="F75" i="10"/>
  <c r="Z66" i="11" l="1"/>
  <c r="M66" i="11"/>
  <c r="X74" i="10"/>
  <c r="Z74" i="10"/>
  <c r="Y74" i="10"/>
  <c r="H75" i="10"/>
  <c r="S66" i="11" l="1"/>
  <c r="Q66" i="11"/>
  <c r="I75" i="10"/>
  <c r="J75" i="10" s="1"/>
  <c r="A67" i="11" l="1"/>
  <c r="T66" i="11"/>
  <c r="R66" i="11"/>
  <c r="L75" i="10"/>
  <c r="M75" i="10"/>
  <c r="V75" i="10"/>
  <c r="W67" i="11" l="1"/>
  <c r="U67" i="11"/>
  <c r="X67" i="11" s="1"/>
  <c r="V67" i="11"/>
  <c r="D67" i="11"/>
  <c r="H67" i="11" s="1"/>
  <c r="B67" i="11"/>
  <c r="G67" i="11"/>
  <c r="C67" i="11"/>
  <c r="E67" i="11"/>
  <c r="F67" i="11"/>
  <c r="W75" i="10"/>
  <c r="K75" i="10"/>
  <c r="AA66" i="11" l="1"/>
  <c r="AB66" i="11"/>
  <c r="AC66" i="11"/>
  <c r="I67" i="11"/>
  <c r="N75" i="10"/>
  <c r="P75" i="10"/>
  <c r="J67" i="11" l="1"/>
  <c r="A76" i="10"/>
  <c r="Q75" i="10"/>
  <c r="O75" i="10"/>
  <c r="N67" i="11" l="1"/>
  <c r="K67" i="11"/>
  <c r="T76" i="10"/>
  <c r="S76" i="10"/>
  <c r="R76" i="10"/>
  <c r="U76" i="10" s="1"/>
  <c r="C76" i="10"/>
  <c r="F76" i="10"/>
  <c r="D76" i="10"/>
  <c r="B76" i="10"/>
  <c r="G76" i="10"/>
  <c r="E76" i="10"/>
  <c r="L67" i="11" l="1"/>
  <c r="O67" i="11"/>
  <c r="Z75" i="10"/>
  <c r="Y75" i="10"/>
  <c r="X75" i="10"/>
  <c r="H76" i="10"/>
  <c r="Y67" i="11" l="1"/>
  <c r="P67" i="11"/>
  <c r="I76" i="10"/>
  <c r="M67" i="11" l="1"/>
  <c r="Z67" i="11"/>
  <c r="L76" i="10"/>
  <c r="J76" i="10"/>
  <c r="S67" i="11" l="1"/>
  <c r="Q67" i="11"/>
  <c r="M76" i="10"/>
  <c r="V76" i="10"/>
  <c r="T67" i="11" l="1"/>
  <c r="A68" i="11"/>
  <c r="R67" i="11"/>
  <c r="W76" i="10"/>
  <c r="K76" i="10"/>
  <c r="P76" i="10"/>
  <c r="N76" i="10"/>
  <c r="U68" i="11" l="1"/>
  <c r="X68" i="11" s="1"/>
  <c r="C68" i="11"/>
  <c r="D68" i="11"/>
  <c r="G68" i="11"/>
  <c r="H68" i="11"/>
  <c r="E68" i="11"/>
  <c r="W68" i="11"/>
  <c r="B68" i="11"/>
  <c r="V68" i="11"/>
  <c r="O76" i="10"/>
  <c r="Q76" i="10"/>
  <c r="A77" i="10"/>
  <c r="AB67" i="11" l="1"/>
  <c r="AA67" i="11"/>
  <c r="AC67" i="11"/>
  <c r="F68" i="11"/>
  <c r="I68" i="11" s="1"/>
  <c r="T77" i="10"/>
  <c r="S77" i="10"/>
  <c r="R77" i="10"/>
  <c r="C77" i="10"/>
  <c r="F77" i="10"/>
  <c r="G77" i="10"/>
  <c r="D77" i="10"/>
  <c r="B77" i="10"/>
  <c r="J68" i="11" l="1"/>
  <c r="U77" i="10"/>
  <c r="Y76" i="10"/>
  <c r="X76" i="10"/>
  <c r="Z76" i="10"/>
  <c r="E77" i="10"/>
  <c r="H77" i="10" l="1"/>
  <c r="I77" i="10" s="1"/>
  <c r="N68" i="11"/>
  <c r="K68" i="11"/>
  <c r="O68" i="11" l="1"/>
  <c r="L68" i="11"/>
  <c r="L77" i="10"/>
  <c r="J77" i="10"/>
  <c r="V77" i="10" s="1"/>
  <c r="W77" i="10" s="1"/>
  <c r="Y68" i="11" l="1"/>
  <c r="P68" i="11"/>
  <c r="M77" i="10"/>
  <c r="K77" i="10"/>
  <c r="M68" i="11" l="1"/>
  <c r="Z68" i="11"/>
  <c r="P77" i="10"/>
  <c r="N77" i="10"/>
  <c r="S68" i="11" l="1"/>
  <c r="Q68" i="11"/>
  <c r="O77" i="10"/>
  <c r="A78" i="10"/>
  <c r="Q77" i="10"/>
  <c r="T68" i="11" l="1"/>
  <c r="A69" i="11"/>
  <c r="R68" i="11"/>
  <c r="T78" i="10"/>
  <c r="S78" i="10"/>
  <c r="R78" i="10"/>
  <c r="C78" i="10"/>
  <c r="B78" i="10"/>
  <c r="G78" i="10"/>
  <c r="F78" i="10"/>
  <c r="D78" i="10"/>
  <c r="W69" i="11" l="1"/>
  <c r="V69" i="11"/>
  <c r="U69" i="11"/>
  <c r="B69" i="11"/>
  <c r="C69" i="11"/>
  <c r="G69" i="11"/>
  <c r="F69" i="11" s="1"/>
  <c r="D69" i="11"/>
  <c r="U78" i="10"/>
  <c r="H78" i="10" s="1"/>
  <c r="Y77" i="10"/>
  <c r="X77" i="10"/>
  <c r="Z77" i="10"/>
  <c r="E78" i="10"/>
  <c r="AC68" i="11" l="1"/>
  <c r="AB68" i="11"/>
  <c r="AA68" i="11"/>
  <c r="X69" i="11"/>
  <c r="E69" i="11"/>
  <c r="H69" i="11"/>
  <c r="I78" i="10"/>
  <c r="I69" i="11" l="1"/>
  <c r="J69" i="11" s="1"/>
  <c r="N69" i="11" s="1"/>
  <c r="L78" i="10"/>
  <c r="J78" i="10"/>
  <c r="K69" i="11" l="1"/>
  <c r="M78" i="10"/>
  <c r="V78" i="10"/>
  <c r="O69" i="11" l="1"/>
  <c r="L69" i="11"/>
  <c r="W78" i="10"/>
  <c r="K78" i="10"/>
  <c r="P69" i="11" l="1"/>
  <c r="Y69" i="11"/>
  <c r="P78" i="10"/>
  <c r="N78" i="10"/>
  <c r="Z69" i="11" l="1"/>
  <c r="M69" i="11"/>
  <c r="A79" i="10"/>
  <c r="O78" i="10"/>
  <c r="Q78" i="10"/>
  <c r="Q69" i="11" l="1"/>
  <c r="S69" i="11"/>
  <c r="T79" i="10"/>
  <c r="S79" i="10"/>
  <c r="R79" i="10"/>
  <c r="U79" i="10"/>
  <c r="H79" i="10" s="1"/>
  <c r="I79" i="10" s="1"/>
  <c r="L79" i="10" s="1"/>
  <c r="F79" i="10"/>
  <c r="G79" i="10"/>
  <c r="C79" i="10"/>
  <c r="B79" i="10"/>
  <c r="D79" i="10"/>
  <c r="E79" i="10" s="1"/>
  <c r="A70" i="11" l="1"/>
  <c r="R69" i="11"/>
  <c r="T69" i="11"/>
  <c r="Z78" i="10"/>
  <c r="X78" i="10"/>
  <c r="Y78" i="10"/>
  <c r="J79" i="10"/>
  <c r="V70" i="11" l="1"/>
  <c r="U70" i="11"/>
  <c r="W70" i="11"/>
  <c r="X70" i="11" s="1"/>
  <c r="I70" i="11" s="1"/>
  <c r="G70" i="11"/>
  <c r="D70" i="11"/>
  <c r="B70" i="11"/>
  <c r="C70" i="11"/>
  <c r="H70" i="11"/>
  <c r="E70" i="11"/>
  <c r="M79" i="10"/>
  <c r="V79" i="10"/>
  <c r="AA69" i="11" l="1"/>
  <c r="AB69" i="11"/>
  <c r="AC69" i="11"/>
  <c r="F70" i="11"/>
  <c r="J70" i="11"/>
  <c r="N70" i="11"/>
  <c r="W79" i="10"/>
  <c r="K79" i="10"/>
  <c r="K70" i="11" l="1"/>
  <c r="N79" i="10"/>
  <c r="P79" i="10"/>
  <c r="O70" i="11" l="1"/>
  <c r="L70" i="11"/>
  <c r="Y70" i="11" s="1"/>
  <c r="Z70" i="11" s="1"/>
  <c r="Q79" i="10"/>
  <c r="A80" i="10"/>
  <c r="O79" i="10"/>
  <c r="M70" i="11" l="1"/>
  <c r="P70" i="11"/>
  <c r="S80" i="10"/>
  <c r="R80" i="10"/>
  <c r="C80" i="10"/>
  <c r="T80" i="10"/>
  <c r="B80" i="10"/>
  <c r="G80" i="10"/>
  <c r="F80" i="10"/>
  <c r="D80" i="10"/>
  <c r="E80" i="10"/>
  <c r="S70" i="11" l="1"/>
  <c r="Q70" i="11"/>
  <c r="U80" i="10"/>
  <c r="Y79" i="10"/>
  <c r="Z79" i="10"/>
  <c r="X79" i="10"/>
  <c r="H80" i="10"/>
  <c r="A71" i="11" l="1"/>
  <c r="T70" i="11"/>
  <c r="R70" i="11"/>
  <c r="I80" i="10"/>
  <c r="F71" i="11" l="1"/>
  <c r="D71" i="11"/>
  <c r="G71" i="11"/>
  <c r="C71" i="11"/>
  <c r="B71" i="11"/>
  <c r="U71" i="11"/>
  <c r="V71" i="11"/>
  <c r="W71" i="11"/>
  <c r="L80" i="10"/>
  <c r="J80" i="10"/>
  <c r="AC70" i="11" l="1"/>
  <c r="AB70" i="11"/>
  <c r="AA70" i="11"/>
  <c r="X71" i="11"/>
  <c r="I71" i="11" s="1"/>
  <c r="H71" i="11"/>
  <c r="E71" i="11"/>
  <c r="M80" i="10"/>
  <c r="V80" i="10"/>
  <c r="J71" i="11" l="1"/>
  <c r="N71" i="11"/>
  <c r="W80" i="10"/>
  <c r="K80" i="10"/>
  <c r="K71" i="11" l="1"/>
  <c r="N80" i="10"/>
  <c r="P80" i="10"/>
  <c r="L71" i="11" l="1"/>
  <c r="Y71" i="11"/>
  <c r="Z71" i="11" s="1"/>
  <c r="O71" i="11"/>
  <c r="O80" i="10"/>
  <c r="A81" i="10"/>
  <c r="Q80" i="10"/>
  <c r="M71" i="11" l="1"/>
  <c r="P71" i="11"/>
  <c r="C81" i="10"/>
  <c r="R81" i="10"/>
  <c r="S81" i="10"/>
  <c r="T81" i="10"/>
  <c r="D81" i="10"/>
  <c r="E81" i="10" s="1"/>
  <c r="F81" i="10"/>
  <c r="G81" i="10"/>
  <c r="B81" i="10"/>
  <c r="Q71" i="11" l="1"/>
  <c r="S71" i="11"/>
  <c r="U81" i="10"/>
  <c r="H81" i="10" s="1"/>
  <c r="X80" i="10"/>
  <c r="Z80" i="10"/>
  <c r="Y80" i="10"/>
  <c r="T71" i="11" l="1"/>
  <c r="A72" i="11"/>
  <c r="R71" i="11"/>
  <c r="I81" i="10"/>
  <c r="V72" i="11" l="1"/>
  <c r="U72" i="11"/>
  <c r="W72" i="11"/>
  <c r="G72" i="11"/>
  <c r="F72" i="11" s="1"/>
  <c r="D72" i="11"/>
  <c r="B72" i="11"/>
  <c r="C72" i="11"/>
  <c r="X72" i="11"/>
  <c r="L81" i="10"/>
  <c r="J81" i="10"/>
  <c r="M81" i="10"/>
  <c r="V81" i="10"/>
  <c r="AC71" i="11" l="1"/>
  <c r="AA71" i="11"/>
  <c r="AB71" i="11"/>
  <c r="E72" i="11"/>
  <c r="H72" i="11"/>
  <c r="W81" i="10"/>
  <c r="K81" i="10"/>
  <c r="I72" i="11" l="1"/>
  <c r="J72" i="11" s="1"/>
  <c r="N72" i="11" s="1"/>
  <c r="N81" i="10"/>
  <c r="P81" i="10"/>
  <c r="K72" i="11" l="1"/>
  <c r="A82" i="10"/>
  <c r="Q81" i="10"/>
  <c r="O81" i="10"/>
  <c r="O72" i="11" l="1"/>
  <c r="L72" i="11"/>
  <c r="T82" i="10"/>
  <c r="R82" i="10"/>
  <c r="C82" i="10"/>
  <c r="S82" i="10"/>
  <c r="B82" i="10"/>
  <c r="D82" i="10"/>
  <c r="G82" i="10"/>
  <c r="F82" i="10"/>
  <c r="U82" i="10" l="1"/>
  <c r="P72" i="11"/>
  <c r="Y72" i="11"/>
  <c r="X81" i="10"/>
  <c r="Y81" i="10"/>
  <c r="Z81" i="10"/>
  <c r="E82" i="10"/>
  <c r="H82" i="10" s="1"/>
  <c r="Z72" i="11" l="1"/>
  <c r="M72" i="11"/>
  <c r="J82" i="10"/>
  <c r="M82" i="10" s="1"/>
  <c r="I82" i="10"/>
  <c r="Q72" i="11" l="1"/>
  <c r="S72" i="11"/>
  <c r="V82" i="10"/>
  <c r="W82" i="10" s="1"/>
  <c r="L82" i="10"/>
  <c r="K82" i="10"/>
  <c r="R72" i="11" l="1"/>
  <c r="A73" i="11"/>
  <c r="T72" i="11"/>
  <c r="N82" i="10"/>
  <c r="P82" i="10"/>
  <c r="V73" i="11" l="1"/>
  <c r="G73" i="11"/>
  <c r="B73" i="11"/>
  <c r="D73" i="11"/>
  <c r="C73" i="11"/>
  <c r="W73" i="11"/>
  <c r="U73" i="11"/>
  <c r="O82" i="10"/>
  <c r="Q82" i="10"/>
  <c r="A83" i="10"/>
  <c r="AB72" i="11" l="1"/>
  <c r="AC72" i="11"/>
  <c r="AA72" i="11"/>
  <c r="X73" i="11"/>
  <c r="F73" i="11"/>
  <c r="E73" i="11"/>
  <c r="H73" i="11"/>
  <c r="C83" i="10"/>
  <c r="R83" i="10"/>
  <c r="T83" i="10"/>
  <c r="S83" i="10"/>
  <c r="D83" i="10"/>
  <c r="B83" i="10"/>
  <c r="F83" i="10"/>
  <c r="G83" i="10"/>
  <c r="E83" i="10"/>
  <c r="I73" i="11" l="1"/>
  <c r="J73" i="11"/>
  <c r="N73" i="11" s="1"/>
  <c r="U83" i="10"/>
  <c r="H83" i="10" s="1"/>
  <c r="X82" i="10"/>
  <c r="Y82" i="10"/>
  <c r="Z82" i="10"/>
  <c r="L73" i="11" l="1"/>
  <c r="Y73" i="11"/>
  <c r="Z73" i="11" s="1"/>
  <c r="K73" i="11"/>
  <c r="O73" i="11" s="1"/>
  <c r="I83" i="10"/>
  <c r="P73" i="11" l="1"/>
  <c r="M73" i="11"/>
  <c r="L83" i="10"/>
  <c r="J83" i="10"/>
  <c r="S73" i="11" l="1"/>
  <c r="Q73" i="11"/>
  <c r="M83" i="10"/>
  <c r="V83" i="10"/>
  <c r="W83" i="10" s="1"/>
  <c r="K83" i="10"/>
  <c r="A74" i="11" l="1"/>
  <c r="T73" i="11"/>
  <c r="R73" i="11"/>
  <c r="P83" i="10"/>
  <c r="N83" i="10"/>
  <c r="V74" i="11" l="1"/>
  <c r="U74" i="11"/>
  <c r="X74" i="11" s="1"/>
  <c r="W74" i="11"/>
  <c r="C74" i="11"/>
  <c r="G74" i="11"/>
  <c r="B74" i="11"/>
  <c r="D74" i="11"/>
  <c r="H74" i="11"/>
  <c r="E74" i="11"/>
  <c r="O83" i="10"/>
  <c r="A84" i="10"/>
  <c r="Q83" i="10"/>
  <c r="AA73" i="11" l="1"/>
  <c r="AB73" i="11"/>
  <c r="AC73" i="11"/>
  <c r="F74" i="11"/>
  <c r="S84" i="10"/>
  <c r="T84" i="10"/>
  <c r="C84" i="10"/>
  <c r="R84" i="10"/>
  <c r="U84" i="10" s="1"/>
  <c r="G84" i="10"/>
  <c r="D84" i="10"/>
  <c r="E84" i="10" s="1"/>
  <c r="F84" i="10"/>
  <c r="B84" i="10"/>
  <c r="I74" i="11" l="1"/>
  <c r="X83" i="10"/>
  <c r="Y83" i="10"/>
  <c r="Z83" i="10"/>
  <c r="H84" i="10"/>
  <c r="I84" i="10" s="1"/>
  <c r="J74" i="11" l="1"/>
  <c r="L84" i="10"/>
  <c r="J84" i="10"/>
  <c r="N74" i="11" l="1"/>
  <c r="K74" i="11"/>
  <c r="V84" i="10"/>
  <c r="M84" i="10"/>
  <c r="O74" i="11" l="1"/>
  <c r="L74" i="11"/>
  <c r="W84" i="10"/>
  <c r="K84" i="10"/>
  <c r="P74" i="11" l="1"/>
  <c r="Y74" i="11"/>
  <c r="P84" i="10"/>
  <c r="N84" i="10"/>
  <c r="Z74" i="11" l="1"/>
  <c r="M74" i="11"/>
  <c r="O84" i="10"/>
  <c r="Q84" i="10"/>
  <c r="A85" i="10"/>
  <c r="Q74" i="11" l="1"/>
  <c r="S74" i="11"/>
  <c r="R85" i="10"/>
  <c r="S85" i="10"/>
  <c r="T85" i="10"/>
  <c r="U85" i="10" s="1"/>
  <c r="C85" i="10"/>
  <c r="B85" i="10"/>
  <c r="G85" i="10"/>
  <c r="F85" i="10"/>
  <c r="D85" i="10"/>
  <c r="E85" i="10"/>
  <c r="A75" i="11" l="1"/>
  <c r="R74" i="11"/>
  <c r="T74" i="11"/>
  <c r="X84" i="10"/>
  <c r="Y84" i="10"/>
  <c r="Z84" i="10"/>
  <c r="H85" i="10"/>
  <c r="U75" i="11" l="1"/>
  <c r="W75" i="11"/>
  <c r="V75" i="11"/>
  <c r="D75" i="11"/>
  <c r="B75" i="11"/>
  <c r="G75" i="11"/>
  <c r="F75" i="11" s="1"/>
  <c r="C75" i="11"/>
  <c r="X75" i="11"/>
  <c r="H75" i="11"/>
  <c r="E75" i="11"/>
  <c r="I85" i="10"/>
  <c r="J85" i="10" s="1"/>
  <c r="AA74" i="11" l="1"/>
  <c r="AB74" i="11"/>
  <c r="AC74" i="11"/>
  <c r="I75" i="11"/>
  <c r="L85" i="10"/>
  <c r="M85" i="10"/>
  <c r="V85" i="10"/>
  <c r="J75" i="11" l="1"/>
  <c r="W85" i="10"/>
  <c r="K85" i="10"/>
  <c r="N75" i="11" l="1"/>
  <c r="L75" i="11"/>
  <c r="K75" i="11"/>
  <c r="P85" i="10"/>
  <c r="N85" i="10"/>
  <c r="P75" i="11" l="1"/>
  <c r="Y75" i="11"/>
  <c r="O75" i="11"/>
  <c r="O85" i="10"/>
  <c r="A86" i="10"/>
  <c r="Q85" i="10"/>
  <c r="Z75" i="11" l="1"/>
  <c r="M75" i="11"/>
  <c r="S86" i="10"/>
  <c r="T86" i="10"/>
  <c r="R86" i="10"/>
  <c r="U86" i="10" s="1"/>
  <c r="C86" i="10"/>
  <c r="D86" i="10"/>
  <c r="E86" i="10" s="1"/>
  <c r="F86" i="10"/>
  <c r="G86" i="10"/>
  <c r="B86" i="10"/>
  <c r="Q75" i="11" l="1"/>
  <c r="S75" i="11"/>
  <c r="Y85" i="10"/>
  <c r="X85" i="10"/>
  <c r="Z85" i="10"/>
  <c r="H86" i="10"/>
  <c r="R75" i="11" l="1"/>
  <c r="A76" i="11"/>
  <c r="T75" i="11"/>
  <c r="I86" i="10"/>
  <c r="G76" i="11" l="1"/>
  <c r="W76" i="11"/>
  <c r="V76" i="11"/>
  <c r="U76" i="11"/>
  <c r="X76" i="11" s="1"/>
  <c r="C76" i="11"/>
  <c r="D76" i="11"/>
  <c r="B76" i="11"/>
  <c r="E76" i="11"/>
  <c r="H76" i="11"/>
  <c r="F76" i="11"/>
  <c r="L86" i="10"/>
  <c r="J86" i="10"/>
  <c r="AC75" i="11" l="1"/>
  <c r="AA75" i="11"/>
  <c r="AB75" i="11"/>
  <c r="I76" i="11"/>
  <c r="J76" i="11"/>
  <c r="N76" i="11" s="1"/>
  <c r="M86" i="10"/>
  <c r="V86" i="10"/>
  <c r="K76" i="11" l="1"/>
  <c r="W86" i="10"/>
  <c r="K86" i="10"/>
  <c r="O76" i="11" l="1"/>
  <c r="L76" i="11"/>
  <c r="P86" i="10"/>
  <c r="N86" i="10"/>
  <c r="Y76" i="11" l="1"/>
  <c r="P76" i="11"/>
  <c r="A87" i="10"/>
  <c r="Q86" i="10"/>
  <c r="O86" i="10"/>
  <c r="Z76" i="11" l="1"/>
  <c r="M76" i="11"/>
  <c r="T87" i="10"/>
  <c r="R87" i="10"/>
  <c r="S87" i="10"/>
  <c r="C87" i="10"/>
  <c r="D87" i="10"/>
  <c r="E87" i="10" s="1"/>
  <c r="B87" i="10"/>
  <c r="G87" i="10"/>
  <c r="F87" i="10"/>
  <c r="S76" i="11" l="1"/>
  <c r="Q76" i="11"/>
  <c r="U87" i="10"/>
  <c r="H87" i="10" s="1"/>
  <c r="X86" i="10"/>
  <c r="Y86" i="10"/>
  <c r="Z86" i="10"/>
  <c r="A77" i="11" l="1"/>
  <c r="T76" i="11"/>
  <c r="R76" i="11"/>
  <c r="I87" i="10"/>
  <c r="V77" i="11" l="1"/>
  <c r="W77" i="11"/>
  <c r="U77" i="11"/>
  <c r="X77" i="11" s="1"/>
  <c r="I77" i="11" s="1"/>
  <c r="B77" i="11"/>
  <c r="C77" i="11"/>
  <c r="G77" i="11"/>
  <c r="D77" i="11"/>
  <c r="H77" i="11"/>
  <c r="E77" i="11"/>
  <c r="F77" i="11"/>
  <c r="L87" i="10"/>
  <c r="J87" i="10"/>
  <c r="AB76" i="11" l="1"/>
  <c r="AC76" i="11"/>
  <c r="AA76" i="11"/>
  <c r="J77" i="11"/>
  <c r="V87" i="10"/>
  <c r="M87" i="10"/>
  <c r="N77" i="11" l="1"/>
  <c r="K77" i="11"/>
  <c r="W87" i="10"/>
  <c r="K87" i="10"/>
  <c r="O77" i="11" l="1"/>
  <c r="Y77" i="11"/>
  <c r="Z77" i="11" s="1"/>
  <c r="L77" i="11"/>
  <c r="N87" i="10"/>
  <c r="P87" i="10"/>
  <c r="M77" i="11" l="1"/>
  <c r="P77" i="11"/>
  <c r="A88" i="10"/>
  <c r="O87" i="10"/>
  <c r="Q87" i="10"/>
  <c r="Q77" i="11" l="1"/>
  <c r="S77" i="11"/>
  <c r="C88" i="10"/>
  <c r="S88" i="10"/>
  <c r="T88" i="10"/>
  <c r="R88" i="10"/>
  <c r="U88" i="10" s="1"/>
  <c r="D88" i="10"/>
  <c r="E88" i="10" s="1"/>
  <c r="F88" i="10"/>
  <c r="G88" i="10"/>
  <c r="B88" i="10"/>
  <c r="A78" i="11" l="1"/>
  <c r="T77" i="11"/>
  <c r="R77" i="11"/>
  <c r="Z87" i="10"/>
  <c r="Y87" i="10"/>
  <c r="X87" i="10"/>
  <c r="H88" i="10"/>
  <c r="D78" i="11" l="1"/>
  <c r="V78" i="11"/>
  <c r="U78" i="11"/>
  <c r="W78" i="11"/>
  <c r="G78" i="11"/>
  <c r="B78" i="11"/>
  <c r="C78" i="11"/>
  <c r="H78" i="11"/>
  <c r="F78" i="11"/>
  <c r="I88" i="10"/>
  <c r="AB77" i="11" l="1"/>
  <c r="AC77" i="11"/>
  <c r="AA77" i="11"/>
  <c r="X78" i="11"/>
  <c r="E78" i="11"/>
  <c r="L88" i="10"/>
  <c r="J88" i="10"/>
  <c r="V88" i="10"/>
  <c r="W88" i="10" s="1"/>
  <c r="I78" i="11" l="1"/>
  <c r="M88" i="10"/>
  <c r="K88" i="10"/>
  <c r="J78" i="11" l="1"/>
  <c r="K78" i="11"/>
  <c r="O78" i="11" s="1"/>
  <c r="P88" i="10"/>
  <c r="N88" i="10"/>
  <c r="N78" i="11" l="1"/>
  <c r="L78" i="11"/>
  <c r="O88" i="10"/>
  <c r="A89" i="10"/>
  <c r="Q88" i="10"/>
  <c r="T89" i="10"/>
  <c r="R89" i="10"/>
  <c r="P78" i="11" l="1"/>
  <c r="Y78" i="11"/>
  <c r="C89" i="10"/>
  <c r="S89" i="10"/>
  <c r="U89" i="10" s="1"/>
  <c r="F89" i="10"/>
  <c r="G89" i="10"/>
  <c r="D89" i="10"/>
  <c r="E89" i="10" s="1"/>
  <c r="B89" i="10"/>
  <c r="H89" i="10" l="1"/>
  <c r="Z78" i="11"/>
  <c r="M78" i="11"/>
  <c r="Z88" i="10"/>
  <c r="X88" i="10"/>
  <c r="Y88" i="10"/>
  <c r="I89" i="10"/>
  <c r="Q78" i="11" l="1"/>
  <c r="S78" i="11"/>
  <c r="L89" i="10"/>
  <c r="J89" i="10"/>
  <c r="V89" i="10" s="1"/>
  <c r="W89" i="10" s="1"/>
  <c r="R78" i="11" l="1"/>
  <c r="A79" i="11"/>
  <c r="T78" i="11"/>
  <c r="K89" i="10"/>
  <c r="M89" i="10"/>
  <c r="V79" i="11" l="1"/>
  <c r="W79" i="11"/>
  <c r="U79" i="11"/>
  <c r="C79" i="11"/>
  <c r="D79" i="11"/>
  <c r="G79" i="11"/>
  <c r="B79" i="11"/>
  <c r="H79" i="11"/>
  <c r="E79" i="11"/>
  <c r="P89" i="10"/>
  <c r="N89" i="10"/>
  <c r="AA78" i="11" l="1"/>
  <c r="AC78" i="11"/>
  <c r="AB78" i="11"/>
  <c r="X79" i="11"/>
  <c r="F79" i="11"/>
  <c r="I79" i="11" s="1"/>
  <c r="J79" i="11"/>
  <c r="N79" i="11"/>
  <c r="A90" i="10"/>
  <c r="Q89" i="10"/>
  <c r="O89" i="10"/>
  <c r="K79" i="11" l="1"/>
  <c r="S90" i="10"/>
  <c r="R90" i="10"/>
  <c r="T90" i="10"/>
  <c r="C90" i="10"/>
  <c r="D90" i="10"/>
  <c r="E90" i="10" s="1"/>
  <c r="B90" i="10"/>
  <c r="F90" i="10"/>
  <c r="G90" i="10"/>
  <c r="U90" i="10" l="1"/>
  <c r="O79" i="11"/>
  <c r="L79" i="11"/>
  <c r="X89" i="10"/>
  <c r="Y89" i="10"/>
  <c r="Z89" i="10"/>
  <c r="H90" i="10"/>
  <c r="Y79" i="11" l="1"/>
  <c r="P79" i="11"/>
  <c r="I90" i="10"/>
  <c r="M79" i="11" l="1"/>
  <c r="Z79" i="11"/>
  <c r="L90" i="10"/>
  <c r="J90" i="10"/>
  <c r="Q79" i="11" l="1"/>
  <c r="S79" i="11"/>
  <c r="V90" i="10"/>
  <c r="M90" i="10"/>
  <c r="T79" i="11" l="1"/>
  <c r="R79" i="11"/>
  <c r="A80" i="11"/>
  <c r="K90" i="10"/>
  <c r="W90" i="10"/>
  <c r="U80" i="11" l="1"/>
  <c r="W80" i="11"/>
  <c r="V80" i="11"/>
  <c r="D80" i="11"/>
  <c r="G80" i="11"/>
  <c r="B80" i="11"/>
  <c r="C80" i="11"/>
  <c r="X80" i="11"/>
  <c r="H80" i="11"/>
  <c r="E80" i="11"/>
  <c r="F80" i="11"/>
  <c r="N90" i="10"/>
  <c r="P90" i="10"/>
  <c r="AB79" i="11" l="1"/>
  <c r="AC79" i="11"/>
  <c r="AA79" i="11"/>
  <c r="I80" i="11"/>
  <c r="J80" i="11"/>
  <c r="A91" i="10"/>
  <c r="Q90" i="10"/>
  <c r="O90" i="10"/>
  <c r="K80" i="11" l="1"/>
  <c r="N80" i="11"/>
  <c r="S91" i="10"/>
  <c r="T91" i="10"/>
  <c r="C91" i="10"/>
  <c r="R91" i="10"/>
  <c r="U91" i="10" s="1"/>
  <c r="B91" i="10"/>
  <c r="G91" i="10"/>
  <c r="D91" i="10"/>
  <c r="F91" i="10"/>
  <c r="O80" i="11" l="1"/>
  <c r="L80" i="11"/>
  <c r="Y90" i="10"/>
  <c r="Z90" i="10"/>
  <c r="X90" i="10"/>
  <c r="E91" i="10"/>
  <c r="H91" i="10" s="1"/>
  <c r="P80" i="11" l="1"/>
  <c r="Y80" i="11"/>
  <c r="I91" i="10"/>
  <c r="Z80" i="11" l="1"/>
  <c r="M80" i="11"/>
  <c r="L91" i="10"/>
  <c r="J91" i="10"/>
  <c r="V91" i="10" s="1"/>
  <c r="M91" i="10"/>
  <c r="Q80" i="11" l="1"/>
  <c r="S80" i="11"/>
  <c r="K91" i="10"/>
  <c r="W91" i="10"/>
  <c r="A81" i="11" l="1"/>
  <c r="R80" i="11"/>
  <c r="T80" i="11"/>
  <c r="N91" i="10"/>
  <c r="P91" i="10"/>
  <c r="W81" i="11" l="1"/>
  <c r="U81" i="11"/>
  <c r="V81" i="11"/>
  <c r="C81" i="11"/>
  <c r="D81" i="11"/>
  <c r="B81" i="11"/>
  <c r="E81" i="11"/>
  <c r="H81" i="11"/>
  <c r="G81" i="11"/>
  <c r="X81" i="11"/>
  <c r="I81" i="11" s="1"/>
  <c r="F81" i="11"/>
  <c r="Q91" i="10"/>
  <c r="O91" i="10"/>
  <c r="A92" i="10"/>
  <c r="AA80" i="11" l="1"/>
  <c r="AB80" i="11"/>
  <c r="AC80" i="11"/>
  <c r="J81" i="11"/>
  <c r="K81" i="11"/>
  <c r="R92" i="10"/>
  <c r="U92" i="10" s="1"/>
  <c r="H92" i="10" s="1"/>
  <c r="I92" i="10" s="1"/>
  <c r="L92" i="10" s="1"/>
  <c r="C92" i="10"/>
  <c r="T92" i="10"/>
  <c r="S92" i="10"/>
  <c r="B92" i="10"/>
  <c r="D92" i="10"/>
  <c r="E92" i="10" s="1"/>
  <c r="F92" i="10"/>
  <c r="G92" i="10"/>
  <c r="O81" i="11" l="1"/>
  <c r="L81" i="11"/>
  <c r="N81" i="11"/>
  <c r="X91" i="10"/>
  <c r="Y91" i="10"/>
  <c r="Z91" i="10"/>
  <c r="J92" i="10"/>
  <c r="V92" i="10" s="1"/>
  <c r="W92" i="10" s="1"/>
  <c r="Y81" i="11" l="1"/>
  <c r="P81" i="11"/>
  <c r="M92" i="10"/>
  <c r="K92" i="10"/>
  <c r="N92" i="10" s="1"/>
  <c r="P92" i="10"/>
  <c r="M81" i="11" l="1"/>
  <c r="Z81" i="11"/>
  <c r="Q92" i="10"/>
  <c r="A93" i="10"/>
  <c r="O92" i="10"/>
  <c r="Q81" i="11" l="1"/>
  <c r="S81" i="11"/>
  <c r="W93" i="10"/>
  <c r="V93" i="10"/>
  <c r="U93" i="10"/>
  <c r="T93" i="10"/>
  <c r="S93" i="10"/>
  <c r="R93" i="10"/>
  <c r="C93" i="10"/>
  <c r="A94" i="10"/>
  <c r="K93" i="10"/>
  <c r="Q93" i="10"/>
  <c r="H93" i="10"/>
  <c r="M93" i="10"/>
  <c r="N93" i="10"/>
  <c r="P93" i="10"/>
  <c r="D93" i="10"/>
  <c r="L93" i="10"/>
  <c r="I93" i="10"/>
  <c r="B93" i="10"/>
  <c r="G93" i="10"/>
  <c r="J93" i="10"/>
  <c r="E93" i="10"/>
  <c r="O93" i="10"/>
  <c r="F93" i="10"/>
  <c r="R81" i="11" l="1"/>
  <c r="T81" i="11"/>
  <c r="A82" i="11"/>
  <c r="G94" i="10"/>
  <c r="L94" i="10"/>
  <c r="F94" i="10"/>
  <c r="M94" i="10"/>
  <c r="E94" i="10"/>
  <c r="P94" i="10"/>
  <c r="J94" i="10"/>
  <c r="D94" i="10"/>
  <c r="B94" i="10"/>
  <c r="I94" i="10"/>
  <c r="O94" i="10"/>
  <c r="N94" i="10"/>
  <c r="C94" i="10"/>
  <c r="R94" i="10"/>
  <c r="S94" i="10"/>
  <c r="T94" i="10"/>
  <c r="U94" i="10"/>
  <c r="V94" i="10"/>
  <c r="W94" i="10"/>
  <c r="K94" i="10"/>
  <c r="A95" i="10"/>
  <c r="Q94" i="10"/>
  <c r="H94" i="10"/>
  <c r="Y92" i="10"/>
  <c r="Z92" i="10"/>
  <c r="X92" i="10"/>
  <c r="X93" i="10"/>
  <c r="Y93" i="10"/>
  <c r="Z93" i="10"/>
  <c r="V82" i="11" l="1"/>
  <c r="U82" i="11"/>
  <c r="W82" i="11"/>
  <c r="B82" i="11"/>
  <c r="C82" i="11"/>
  <c r="G82" i="11"/>
  <c r="D82" i="11"/>
  <c r="E82" i="11"/>
  <c r="H82" i="11"/>
  <c r="X82" i="11"/>
  <c r="F82" i="11"/>
  <c r="X94" i="10"/>
  <c r="Y94" i="10"/>
  <c r="Z94" i="10"/>
  <c r="M95" i="10"/>
  <c r="N95" i="10"/>
  <c r="F95" i="10"/>
  <c r="P95" i="10"/>
  <c r="E95" i="10"/>
  <c r="G95" i="10"/>
  <c r="B95" i="10"/>
  <c r="O95" i="10"/>
  <c r="L95" i="10"/>
  <c r="J95" i="10"/>
  <c r="I95" i="10"/>
  <c r="D95" i="10"/>
  <c r="C95" i="10"/>
  <c r="Q95" i="10"/>
  <c r="A96" i="10"/>
  <c r="H95" i="10"/>
  <c r="R95" i="10"/>
  <c r="S95" i="10"/>
  <c r="T95" i="10"/>
  <c r="U95" i="10"/>
  <c r="V95" i="10"/>
  <c r="W95" i="10"/>
  <c r="K95" i="10"/>
  <c r="AC81" i="11" l="1"/>
  <c r="AB81" i="11"/>
  <c r="AA81" i="11"/>
  <c r="I82" i="11"/>
  <c r="X95" i="10"/>
  <c r="Y95" i="10"/>
  <c r="Z95" i="10"/>
  <c r="J96" i="10"/>
  <c r="L96" i="10"/>
  <c r="G96" i="10"/>
  <c r="O96" i="10"/>
  <c r="B96" i="10"/>
  <c r="F96" i="10"/>
  <c r="M96" i="10"/>
  <c r="P96" i="10"/>
  <c r="I96" i="10"/>
  <c r="N96" i="10"/>
  <c r="E96" i="10"/>
  <c r="D96" i="10"/>
  <c r="C96" i="10"/>
  <c r="Q96" i="10"/>
  <c r="R96" i="10"/>
  <c r="S96" i="10"/>
  <c r="T96" i="10"/>
  <c r="U96" i="10"/>
  <c r="V96" i="10"/>
  <c r="W96" i="10"/>
  <c r="A97" i="10"/>
  <c r="H96" i="10"/>
  <c r="K96" i="10"/>
  <c r="J82" i="11" l="1"/>
  <c r="X96" i="10"/>
  <c r="Y96" i="10"/>
  <c r="Z96" i="10"/>
  <c r="F97" i="10"/>
  <c r="P97" i="10"/>
  <c r="J97" i="10"/>
  <c r="L97" i="10"/>
  <c r="M97" i="10"/>
  <c r="B97" i="10"/>
  <c r="O97" i="10"/>
  <c r="G97" i="10"/>
  <c r="D97" i="10"/>
  <c r="E97" i="10"/>
  <c r="N97" i="10"/>
  <c r="I97" i="10"/>
  <c r="K97" i="10"/>
  <c r="A98" i="10"/>
  <c r="C97" i="10"/>
  <c r="Q97" i="10"/>
  <c r="R97" i="10"/>
  <c r="S97" i="10"/>
  <c r="T97" i="10"/>
  <c r="U97" i="10"/>
  <c r="V97" i="10"/>
  <c r="W97" i="10"/>
  <c r="H97" i="10"/>
  <c r="N82" i="11" l="1"/>
  <c r="K82" i="11"/>
  <c r="X97" i="10"/>
  <c r="Y97" i="10"/>
  <c r="Z97" i="10"/>
  <c r="I98" i="10"/>
  <c r="D98" i="10"/>
  <c r="P98" i="10"/>
  <c r="L98" i="10"/>
  <c r="M98" i="10"/>
  <c r="B98" i="10"/>
  <c r="G98" i="10"/>
  <c r="E98" i="10"/>
  <c r="J98" i="10"/>
  <c r="O98" i="10"/>
  <c r="N98" i="10"/>
  <c r="F98" i="10"/>
  <c r="C98" i="10"/>
  <c r="A99" i="10"/>
  <c r="Q98" i="10"/>
  <c r="R98" i="10"/>
  <c r="S98" i="10"/>
  <c r="T98" i="10"/>
  <c r="U98" i="10"/>
  <c r="V98" i="10"/>
  <c r="W98" i="10"/>
  <c r="K98" i="10"/>
  <c r="H98" i="10"/>
  <c r="O82" i="11" l="1"/>
  <c r="L82" i="11"/>
  <c r="X98" i="10"/>
  <c r="Y98" i="10"/>
  <c r="Z98" i="10"/>
  <c r="G99" i="10"/>
  <c r="O99" i="10"/>
  <c r="F99" i="10"/>
  <c r="D99" i="10"/>
  <c r="M99" i="10"/>
  <c r="B99" i="10"/>
  <c r="J99" i="10"/>
  <c r="P99" i="10"/>
  <c r="E99" i="10"/>
  <c r="L99" i="10"/>
  <c r="N99" i="10"/>
  <c r="I99" i="10"/>
  <c r="C99" i="10"/>
  <c r="R99" i="10"/>
  <c r="S99" i="10"/>
  <c r="T99" i="10"/>
  <c r="U99" i="10"/>
  <c r="V99" i="10"/>
  <c r="W99" i="10"/>
  <c r="A100" i="10"/>
  <c r="Q99" i="10"/>
  <c r="H99" i="10"/>
  <c r="K99" i="10"/>
  <c r="P82" i="11" l="1"/>
  <c r="Y82" i="11"/>
  <c r="Z82" i="11" s="1"/>
  <c r="M82" i="11"/>
  <c r="X99" i="10"/>
  <c r="Y99" i="10"/>
  <c r="Z99" i="10"/>
  <c r="N100" i="10"/>
  <c r="E100" i="10"/>
  <c r="M100" i="10"/>
  <c r="J100" i="10"/>
  <c r="P100" i="10"/>
  <c r="I100" i="10"/>
  <c r="G100" i="10"/>
  <c r="D100" i="10"/>
  <c r="F100" i="10"/>
  <c r="B100" i="10"/>
  <c r="O100" i="10"/>
  <c r="L100" i="10"/>
  <c r="C100" i="10"/>
  <c r="A101" i="10"/>
  <c r="Q100" i="10"/>
  <c r="R100" i="10"/>
  <c r="S100" i="10"/>
  <c r="T100" i="10"/>
  <c r="U100" i="10"/>
  <c r="V100" i="10"/>
  <c r="W100" i="10"/>
  <c r="H100" i="10"/>
  <c r="K100" i="10"/>
  <c r="S82" i="11" l="1"/>
  <c r="Q82" i="11"/>
  <c r="X100" i="10"/>
  <c r="Y100" i="10"/>
  <c r="Z100" i="10"/>
  <c r="E101" i="10"/>
  <c r="D101" i="10"/>
  <c r="G101" i="10"/>
  <c r="J101" i="10"/>
  <c r="F101" i="10"/>
  <c r="N101" i="10"/>
  <c r="I101" i="10"/>
  <c r="M101" i="10"/>
  <c r="O101" i="10"/>
  <c r="B101" i="10"/>
  <c r="P101" i="10"/>
  <c r="L101" i="10"/>
  <c r="C101" i="10"/>
  <c r="H101" i="10"/>
  <c r="R101" i="10"/>
  <c r="S101" i="10"/>
  <c r="T101" i="10"/>
  <c r="U101" i="10"/>
  <c r="V101" i="10"/>
  <c r="W101" i="10"/>
  <c r="A102" i="10"/>
  <c r="Q101" i="10"/>
  <c r="K101" i="10"/>
  <c r="A83" i="11" l="1"/>
  <c r="R82" i="11"/>
  <c r="T82" i="11"/>
  <c r="X101" i="10"/>
  <c r="Y101" i="10"/>
  <c r="Z101" i="10"/>
  <c r="P102" i="10"/>
  <c r="G102" i="10"/>
  <c r="E102" i="10"/>
  <c r="D102" i="10"/>
  <c r="B102" i="10"/>
  <c r="M102" i="10"/>
  <c r="L102" i="10"/>
  <c r="O102" i="10"/>
  <c r="I102" i="10"/>
  <c r="N102" i="10"/>
  <c r="J102" i="10"/>
  <c r="F102" i="10"/>
  <c r="K102" i="10"/>
  <c r="A103" i="10"/>
  <c r="AC7" i="10" s="1"/>
  <c r="C102" i="10"/>
  <c r="Q102" i="10"/>
  <c r="R102" i="10"/>
  <c r="S102" i="10"/>
  <c r="T102" i="10"/>
  <c r="U102" i="10"/>
  <c r="V102" i="10"/>
  <c r="W102" i="10"/>
  <c r="H102" i="10"/>
  <c r="V83" i="11" l="1"/>
  <c r="W83" i="11"/>
  <c r="U83" i="11"/>
  <c r="X83" i="11" s="1"/>
  <c r="G83" i="11"/>
  <c r="C83" i="11"/>
  <c r="D83" i="11"/>
  <c r="B83" i="11"/>
  <c r="F83" i="11"/>
  <c r="H83" i="11"/>
  <c r="E83" i="11"/>
  <c r="X102" i="10"/>
  <c r="Y102" i="10"/>
  <c r="Z102" i="10"/>
  <c r="G103" i="10"/>
  <c r="B103" i="10"/>
  <c r="N103" i="10"/>
  <c r="P103" i="10"/>
  <c r="L103" i="10"/>
  <c r="M103" i="10"/>
  <c r="F103" i="10"/>
  <c r="D103" i="10"/>
  <c r="O103" i="10"/>
  <c r="J103" i="10"/>
  <c r="E103" i="10"/>
  <c r="I103" i="10"/>
  <c r="Q103" i="10"/>
  <c r="H103" i="10"/>
  <c r="C103" i="10"/>
  <c r="R103" i="10"/>
  <c r="S103" i="10"/>
  <c r="T103" i="10"/>
  <c r="U103" i="10"/>
  <c r="V103" i="10"/>
  <c r="W103" i="10"/>
  <c r="K103" i="10"/>
  <c r="AA82" i="11" l="1"/>
  <c r="AB82" i="11"/>
  <c r="AC82" i="11"/>
  <c r="I83" i="11"/>
  <c r="X103" i="10"/>
  <c r="Y103" i="10"/>
  <c r="Z103" i="10"/>
  <c r="J83" i="11" l="1"/>
  <c r="K83" i="11"/>
  <c r="N83" i="11" l="1"/>
  <c r="O83" i="11"/>
  <c r="L83" i="11"/>
  <c r="Y83" i="11" s="1"/>
  <c r="Z83" i="11" s="1"/>
  <c r="M83" i="11" l="1"/>
  <c r="P83" i="11"/>
  <c r="Q83" i="11" l="1"/>
  <c r="S83" i="11"/>
  <c r="R83" i="11" l="1"/>
  <c r="T83" i="11"/>
  <c r="A84" i="11"/>
  <c r="U84" i="11" l="1"/>
  <c r="C84" i="11"/>
  <c r="D84" i="11"/>
  <c r="B84" i="11"/>
  <c r="G84" i="11"/>
  <c r="W84" i="11"/>
  <c r="H84" i="11"/>
  <c r="E84" i="11"/>
  <c r="V84" i="11"/>
  <c r="AB83" i="11" l="1"/>
  <c r="AC83" i="11"/>
  <c r="AA83" i="11"/>
  <c r="X84" i="11"/>
  <c r="F84" i="11"/>
  <c r="I84" i="11" l="1"/>
  <c r="J84" i="11" l="1"/>
  <c r="N84" i="11" s="1"/>
  <c r="K84" i="11"/>
  <c r="O84" i="11" l="1"/>
  <c r="L84" i="11"/>
  <c r="Y84" i="11" l="1"/>
  <c r="P84" i="11"/>
  <c r="M84" i="11" l="1"/>
  <c r="Z84" i="11"/>
  <c r="Q84" i="11" l="1"/>
  <c r="S84" i="11"/>
  <c r="T84" i="11" l="1"/>
  <c r="A85" i="11"/>
  <c r="R84" i="11"/>
  <c r="W85" i="11" l="1"/>
  <c r="V85" i="11"/>
  <c r="U85" i="11"/>
  <c r="X85" i="11" s="1"/>
  <c r="G85" i="11"/>
  <c r="C85" i="11"/>
  <c r="D85" i="11"/>
  <c r="B85" i="11"/>
  <c r="AC84" i="11" l="1"/>
  <c r="AA84" i="11"/>
  <c r="AB84" i="11"/>
  <c r="F85" i="11"/>
  <c r="H85" i="11"/>
  <c r="E85" i="11"/>
  <c r="I85" i="11" l="1"/>
  <c r="J85" i="11" s="1"/>
  <c r="N85" i="11" s="1"/>
  <c r="L85" i="11" l="1"/>
  <c r="K85" i="11"/>
  <c r="O85" i="11" s="1"/>
  <c r="P85" i="11" l="1"/>
  <c r="M85" i="11"/>
  <c r="Y85" i="11"/>
  <c r="Z85" i="11" s="1"/>
  <c r="S85" i="11" l="1"/>
  <c r="Q85" i="11"/>
  <c r="R85" i="11" l="1"/>
  <c r="T85" i="11"/>
  <c r="A86" i="11"/>
  <c r="U86" i="11" l="1"/>
  <c r="B86" i="11"/>
  <c r="W86" i="11"/>
  <c r="V86" i="11"/>
  <c r="D86" i="11"/>
  <c r="G86" i="11"/>
  <c r="C86" i="11"/>
  <c r="H86" i="11"/>
  <c r="F86" i="11"/>
  <c r="AB85" i="11" l="1"/>
  <c r="AA85" i="11"/>
  <c r="AC85" i="11"/>
  <c r="X86" i="11"/>
  <c r="I86" i="11" s="1"/>
  <c r="J86" i="11" s="1"/>
  <c r="N86" i="11" s="1"/>
  <c r="E86" i="11"/>
  <c r="K86" i="11" l="1"/>
  <c r="O86" i="11" l="1"/>
  <c r="L86" i="11"/>
  <c r="P86" i="11" s="1"/>
  <c r="Y86" i="11"/>
  <c r="Z86" i="11" l="1"/>
  <c r="M86" i="11"/>
  <c r="S86" i="11" l="1"/>
  <c r="Q86" i="11"/>
  <c r="T86" i="11" l="1"/>
  <c r="A87" i="11"/>
  <c r="R86" i="11"/>
  <c r="G87" i="11" l="1"/>
  <c r="C87" i="11"/>
  <c r="W87" i="11"/>
  <c r="V87" i="11"/>
  <c r="U87" i="11"/>
  <c r="X87" i="11" s="1"/>
  <c r="D87" i="11"/>
  <c r="B87" i="11"/>
  <c r="F87" i="11"/>
  <c r="AA86" i="11" l="1"/>
  <c r="AC86" i="11"/>
  <c r="AB86" i="11"/>
  <c r="H87" i="11"/>
  <c r="E87" i="11"/>
  <c r="I87" i="11" l="1"/>
  <c r="J87" i="11" s="1"/>
  <c r="N87" i="11" s="1"/>
  <c r="K87" i="11" l="1"/>
  <c r="O87" i="11" l="1"/>
  <c r="L87" i="11"/>
  <c r="Y87" i="11" l="1"/>
  <c r="P87" i="11"/>
  <c r="Z87" i="11" l="1"/>
  <c r="M87" i="11"/>
  <c r="S87" i="11" l="1"/>
  <c r="Q87" i="11"/>
  <c r="A88" i="11" l="1"/>
  <c r="R87" i="11"/>
  <c r="T87" i="11"/>
  <c r="U88" i="11" l="1"/>
  <c r="C88" i="11"/>
  <c r="G88" i="11"/>
  <c r="B88" i="11"/>
  <c r="D88" i="11"/>
  <c r="H88" i="11" s="1"/>
  <c r="E88" i="11"/>
  <c r="W88" i="11"/>
  <c r="V88" i="11"/>
  <c r="F88" i="11"/>
  <c r="AC87" i="11" l="1"/>
  <c r="AB87" i="11"/>
  <c r="AA87" i="11"/>
  <c r="X88" i="11"/>
  <c r="I88" i="11" l="1"/>
  <c r="J88" i="11" l="1"/>
  <c r="N88" i="11" l="1"/>
  <c r="K88" i="11"/>
  <c r="O88" i="11" l="1"/>
  <c r="L88" i="11"/>
  <c r="P88" i="11" l="1"/>
  <c r="Y88" i="11"/>
  <c r="Z88" i="11" s="1"/>
  <c r="M88" i="11"/>
  <c r="S88" i="11" l="1"/>
  <c r="Q88" i="11"/>
  <c r="A89" i="11" l="1"/>
  <c r="R88" i="11"/>
  <c r="T88" i="11"/>
  <c r="D89" i="11" l="1"/>
  <c r="B89" i="11"/>
  <c r="W89" i="11"/>
  <c r="U89" i="11"/>
  <c r="G89" i="11"/>
  <c r="F89" i="11" s="1"/>
  <c r="C89" i="11"/>
  <c r="V89" i="11"/>
  <c r="AC88" i="11" l="1"/>
  <c r="AA88" i="11"/>
  <c r="AB88" i="11"/>
  <c r="X89" i="11"/>
  <c r="E89" i="11"/>
  <c r="H89" i="11"/>
  <c r="I89" i="11" l="1"/>
  <c r="J89" i="11" l="1"/>
  <c r="N89" i="11" l="1"/>
  <c r="L89" i="11"/>
  <c r="K89" i="11"/>
  <c r="O89" i="11" s="1"/>
  <c r="Y89" i="11" l="1"/>
  <c r="P89" i="11"/>
  <c r="M89" i="11" l="1"/>
  <c r="Z89" i="11"/>
  <c r="S89" i="11" l="1"/>
  <c r="Q89" i="11"/>
  <c r="R89" i="11" l="1"/>
  <c r="T89" i="11"/>
  <c r="A90" i="11"/>
  <c r="B90" i="11" l="1"/>
  <c r="C90" i="11"/>
  <c r="G90" i="11"/>
  <c r="W90" i="11"/>
  <c r="V90" i="11"/>
  <c r="U90" i="11"/>
  <c r="X90" i="11" s="1"/>
  <c r="D90" i="11"/>
  <c r="E90" i="11"/>
  <c r="H90" i="11"/>
  <c r="F90" i="11"/>
  <c r="AB89" i="11" l="1"/>
  <c r="AC89" i="11"/>
  <c r="AA89" i="11"/>
  <c r="I90" i="11"/>
  <c r="J90" i="11" l="1"/>
  <c r="N90" i="11" l="1"/>
  <c r="K90" i="11"/>
  <c r="O90" i="11" l="1"/>
  <c r="L90" i="11"/>
  <c r="Y90" i="11" l="1"/>
  <c r="P90" i="11"/>
  <c r="M90" i="11" l="1"/>
  <c r="Z90" i="11"/>
  <c r="Q90" i="11" l="1"/>
  <c r="S90" i="11"/>
  <c r="R90" i="11" l="1"/>
  <c r="A91" i="11"/>
  <c r="T90" i="11"/>
  <c r="G91" i="11" l="1"/>
  <c r="F91" i="11" s="1"/>
  <c r="B91" i="11"/>
  <c r="U91" i="11"/>
  <c r="C91" i="11"/>
  <c r="W91" i="11"/>
  <c r="D91" i="11"/>
  <c r="V91" i="11"/>
  <c r="H91" i="11"/>
  <c r="E91" i="11"/>
  <c r="AB90" i="11" l="1"/>
  <c r="AC90" i="11"/>
  <c r="AA90" i="11"/>
  <c r="X91" i="11"/>
  <c r="I91" i="11" l="1"/>
  <c r="J91" i="11" l="1"/>
  <c r="N91" i="11" l="1"/>
  <c r="K91" i="11"/>
  <c r="O91" i="11" l="1"/>
  <c r="L91" i="11"/>
  <c r="Y91" i="11" l="1"/>
  <c r="Z91" i="11" s="1"/>
  <c r="M91" i="11"/>
  <c r="P91" i="11"/>
  <c r="Q91" i="11" l="1"/>
  <c r="S91" i="11"/>
  <c r="A92" i="11" l="1"/>
  <c r="R91" i="11"/>
  <c r="T91" i="11"/>
  <c r="W92" i="11" l="1"/>
  <c r="D92" i="11"/>
  <c r="C92" i="11"/>
  <c r="G92" i="11"/>
  <c r="B92" i="11"/>
  <c r="U92" i="11"/>
  <c r="X92" i="11" s="1"/>
  <c r="V92" i="11"/>
  <c r="F92" i="11"/>
  <c r="AA91" i="11" l="1"/>
  <c r="AB91" i="11"/>
  <c r="AC91" i="11"/>
  <c r="E92" i="11"/>
  <c r="H92" i="11"/>
  <c r="I92" i="11"/>
  <c r="J92" i="11" l="1"/>
  <c r="N92" i="11" l="1"/>
  <c r="K92" i="11"/>
  <c r="O92" i="11" l="1"/>
  <c r="L92" i="11"/>
  <c r="Y92" i="11" l="1"/>
  <c r="P92" i="11"/>
  <c r="Z92" i="11" l="1"/>
  <c r="M92" i="11"/>
  <c r="Q92" i="11" l="1"/>
  <c r="S92" i="11"/>
  <c r="R92" i="11" l="1"/>
  <c r="T92" i="11"/>
  <c r="A93" i="11"/>
  <c r="D93" i="11" l="1"/>
  <c r="B93" i="11"/>
  <c r="G93" i="11"/>
  <c r="U93" i="11"/>
  <c r="H93" i="11"/>
  <c r="C93" i="11"/>
  <c r="V93" i="11"/>
  <c r="W93" i="11"/>
  <c r="X93" i="11"/>
  <c r="AC92" i="11" l="1"/>
  <c r="AB92" i="11"/>
  <c r="AA92" i="11"/>
  <c r="E93" i="11"/>
  <c r="I93" i="11" s="1"/>
  <c r="J93" i="11" s="1"/>
  <c r="N93" i="11" s="1"/>
  <c r="F93" i="11"/>
  <c r="L93" i="11" l="1"/>
  <c r="K93" i="11"/>
  <c r="O93" i="11" s="1"/>
  <c r="P93" i="11" l="1"/>
  <c r="Y93" i="11"/>
  <c r="Z93" i="11" l="1"/>
  <c r="M93" i="11"/>
  <c r="S93" i="11" l="1"/>
  <c r="Q93" i="11"/>
  <c r="A94" i="11" l="1"/>
  <c r="R93" i="11"/>
  <c r="T93" i="11"/>
  <c r="D94" i="11" l="1"/>
  <c r="E94" i="11"/>
  <c r="U94" i="11"/>
  <c r="X94" i="11" s="1"/>
  <c r="G94" i="11"/>
  <c r="F94" i="11" s="1"/>
  <c r="C94" i="11"/>
  <c r="B94" i="11"/>
  <c r="W94" i="11"/>
  <c r="V94" i="11"/>
  <c r="AA93" i="11" l="1"/>
  <c r="AC93" i="11"/>
  <c r="AB93" i="11"/>
  <c r="H94" i="11"/>
  <c r="I94" i="11" l="1"/>
  <c r="J94" i="11" s="1"/>
  <c r="N94" i="11" s="1"/>
  <c r="K94" i="11" l="1"/>
  <c r="O94" i="11" l="1"/>
  <c r="L94" i="11"/>
  <c r="Y94" i="11" l="1"/>
  <c r="P94" i="11"/>
  <c r="M94" i="11" l="1"/>
  <c r="Z94" i="11"/>
  <c r="S94" i="11" l="1"/>
  <c r="Q94" i="11"/>
  <c r="R94" i="11" l="1"/>
  <c r="A95" i="11"/>
  <c r="T94" i="11"/>
  <c r="B95" i="11" l="1"/>
  <c r="C95" i="11"/>
  <c r="D95" i="11"/>
  <c r="H95" i="11"/>
  <c r="E95" i="11"/>
  <c r="V95" i="11"/>
  <c r="W95" i="11"/>
  <c r="U95" i="11"/>
  <c r="X95" i="11" s="1"/>
  <c r="I95" i="11" s="1"/>
  <c r="G95" i="11"/>
  <c r="F95" i="11"/>
  <c r="AC94" i="11" l="1"/>
  <c r="AA94" i="11"/>
  <c r="AB94" i="11"/>
  <c r="J95" i="11"/>
  <c r="N95" i="11" l="1"/>
  <c r="K95" i="11"/>
  <c r="O95" i="11" l="1"/>
  <c r="L95" i="11"/>
  <c r="P95" i="11" l="1"/>
  <c r="Y95" i="11"/>
  <c r="Z95" i="11" s="1"/>
  <c r="M95" i="11"/>
  <c r="Q95" i="11" l="1"/>
  <c r="S95" i="11"/>
  <c r="R95" i="11" l="1"/>
  <c r="T95" i="11"/>
  <c r="A96" i="11"/>
  <c r="C96" i="11" l="1"/>
  <c r="G96" i="11"/>
  <c r="B96" i="11"/>
  <c r="D96" i="11"/>
  <c r="W96" i="11"/>
  <c r="U96" i="11"/>
  <c r="X96" i="11" s="1"/>
  <c r="V96" i="11"/>
  <c r="AB95" i="11" l="1"/>
  <c r="AA95" i="11"/>
  <c r="AC95" i="11"/>
  <c r="F96" i="11"/>
  <c r="E96" i="11"/>
  <c r="H96" i="11"/>
  <c r="I96" i="11" l="1"/>
  <c r="J96" i="11"/>
  <c r="N96" i="11" s="1"/>
  <c r="K96" i="11" l="1"/>
  <c r="O96" i="11" l="1"/>
  <c r="L96" i="11"/>
  <c r="P96" i="11" l="1"/>
  <c r="Y96" i="11"/>
  <c r="Z96" i="11" s="1"/>
  <c r="M96" i="11"/>
  <c r="Q96" i="11" l="1"/>
  <c r="S96" i="11"/>
  <c r="T96" i="11" l="1"/>
  <c r="R96" i="11"/>
  <c r="A97" i="11"/>
  <c r="C97" i="11" l="1"/>
  <c r="U97" i="11"/>
  <c r="G97" i="11"/>
  <c r="B97" i="11"/>
  <c r="V97" i="11"/>
  <c r="W97" i="11"/>
  <c r="F97" i="11"/>
  <c r="D97" i="11"/>
  <c r="E97" i="11"/>
  <c r="H97" i="11"/>
  <c r="AA96" i="11" l="1"/>
  <c r="AB96" i="11"/>
  <c r="AC96" i="11"/>
  <c r="X97" i="11"/>
  <c r="I97" i="11" l="1"/>
  <c r="J97" i="11" l="1"/>
  <c r="N97" i="11" l="1"/>
  <c r="K97" i="11"/>
  <c r="L97" i="11" l="1"/>
  <c r="O97" i="11"/>
  <c r="P97" i="11" l="1"/>
  <c r="Y97" i="11"/>
  <c r="Z97" i="11" l="1"/>
  <c r="M97" i="11"/>
  <c r="Q97" i="11" l="1"/>
  <c r="S97" i="11"/>
  <c r="A98" i="11" l="1"/>
  <c r="R97" i="11"/>
  <c r="T97" i="11"/>
  <c r="G98" i="11" l="1"/>
  <c r="B98" i="11"/>
  <c r="C98" i="11"/>
  <c r="D98" i="11"/>
  <c r="U98" i="11"/>
  <c r="W98" i="11"/>
  <c r="V98" i="11"/>
  <c r="X98" i="11"/>
  <c r="E98" i="11"/>
  <c r="H98" i="11"/>
  <c r="AB97" i="11" l="1"/>
  <c r="AA97" i="11"/>
  <c r="AC97" i="11"/>
  <c r="I98" i="11"/>
  <c r="F98" i="11"/>
  <c r="J98" i="11"/>
  <c r="N98" i="11" s="1"/>
  <c r="K98" i="11" l="1"/>
  <c r="O98" i="11" s="1"/>
  <c r="L98" i="11"/>
  <c r="P98" i="11" l="1"/>
  <c r="Y98" i="11"/>
  <c r="Z98" i="11" l="1"/>
  <c r="M98" i="11"/>
  <c r="Q98" i="11" l="1"/>
  <c r="S98" i="11"/>
  <c r="R98" i="11" l="1"/>
  <c r="A99" i="11"/>
  <c r="T98" i="11"/>
  <c r="B99" i="11" l="1"/>
  <c r="D99" i="11"/>
  <c r="G99" i="11"/>
  <c r="F99" i="11" s="1"/>
  <c r="C99" i="11"/>
  <c r="U99" i="11"/>
  <c r="X99" i="11" s="1"/>
  <c r="W99" i="11"/>
  <c r="V99" i="11"/>
  <c r="E99" i="11"/>
  <c r="H99" i="11"/>
  <c r="AC98" i="11" l="1"/>
  <c r="AA98" i="11"/>
  <c r="AB98" i="11"/>
  <c r="I99" i="11"/>
  <c r="J99" i="11"/>
  <c r="N99" i="11" s="1"/>
  <c r="K99" i="11" l="1"/>
  <c r="O99" i="11" l="1"/>
  <c r="L99" i="11"/>
  <c r="P99" i="11" l="1"/>
  <c r="Y99" i="11"/>
  <c r="Z99" i="11" l="1"/>
  <c r="M99" i="11"/>
  <c r="S99" i="11" l="1"/>
  <c r="Q99" i="11"/>
  <c r="R99" i="11" l="1"/>
  <c r="A100" i="11"/>
  <c r="T99" i="11"/>
  <c r="G100" i="11" l="1"/>
  <c r="V100" i="11"/>
  <c r="X100" i="11" s="1"/>
  <c r="U100" i="11"/>
  <c r="W100" i="11"/>
  <c r="B100" i="11"/>
  <c r="C100" i="11"/>
  <c r="D100" i="11"/>
  <c r="H100" i="11"/>
  <c r="F100" i="11"/>
  <c r="E100" i="11"/>
  <c r="I100" i="11"/>
  <c r="AC99" i="11" l="1"/>
  <c r="AA99" i="11"/>
  <c r="AB99" i="11"/>
  <c r="J100" i="11"/>
  <c r="K100" i="11"/>
  <c r="L100" i="11" l="1"/>
  <c r="N100" i="11"/>
  <c r="O100" i="11"/>
  <c r="P100" i="11" l="1"/>
  <c r="Y100" i="11"/>
  <c r="Z100" i="11" l="1"/>
  <c r="M100" i="11"/>
  <c r="Q100" i="11" l="1"/>
  <c r="S100" i="11"/>
  <c r="R100" i="11" l="1"/>
  <c r="A101" i="11"/>
  <c r="T100" i="11"/>
  <c r="D101" i="11" l="1"/>
  <c r="W101" i="11"/>
  <c r="X101" i="11" s="1"/>
  <c r="B101" i="11"/>
  <c r="V101" i="11"/>
  <c r="U101" i="11"/>
  <c r="G101" i="11"/>
  <c r="F101" i="11"/>
  <c r="C101" i="11"/>
  <c r="AC100" i="11" l="1"/>
  <c r="AA100" i="11"/>
  <c r="AB100" i="11"/>
  <c r="E101" i="11"/>
  <c r="H101" i="11"/>
  <c r="I101" i="11"/>
  <c r="J101" i="11" l="1"/>
  <c r="N101" i="11" l="1"/>
  <c r="L101" i="11"/>
  <c r="P101" i="11" s="1"/>
  <c r="K101" i="11"/>
  <c r="Y101" i="11" l="1"/>
  <c r="O101" i="11"/>
  <c r="Z101" i="11" l="1"/>
  <c r="M101" i="11"/>
  <c r="S101" i="11" l="1"/>
  <c r="Q101" i="11"/>
  <c r="A102" i="11" l="1"/>
  <c r="T101" i="11"/>
  <c r="R101" i="11"/>
  <c r="D102" i="11" l="1"/>
  <c r="H102" i="11"/>
  <c r="G102" i="11"/>
  <c r="V102" i="11"/>
  <c r="B102" i="11"/>
  <c r="C102" i="11"/>
  <c r="W102" i="11"/>
  <c r="U102" i="11"/>
  <c r="X102" i="11" s="1"/>
  <c r="E102" i="11"/>
  <c r="F102" i="11"/>
  <c r="AC101" i="11" l="1"/>
  <c r="AA101" i="11"/>
  <c r="AB101" i="11"/>
  <c r="I102" i="11"/>
  <c r="K102" i="11" l="1"/>
  <c r="J102" i="11"/>
  <c r="N102" i="11" s="1"/>
  <c r="O102" i="11" l="1"/>
  <c r="L102" i="11"/>
  <c r="P102" i="11" l="1"/>
  <c r="Y102" i="11"/>
  <c r="M102" i="11" l="1"/>
  <c r="Z102" i="11"/>
  <c r="S102" i="11" l="1"/>
  <c r="Q102" i="11"/>
  <c r="T102" i="11" l="1"/>
  <c r="A103" i="11"/>
  <c r="R102" i="11"/>
  <c r="D103" i="11" l="1"/>
  <c r="B103" i="11"/>
  <c r="V103" i="11"/>
  <c r="W103" i="11"/>
  <c r="U103" i="11"/>
  <c r="X103" i="11" s="1"/>
  <c r="H103" i="11"/>
  <c r="G103" i="11"/>
  <c r="C103" i="11"/>
  <c r="AC102" i="11" l="1"/>
  <c r="AA102" i="11"/>
  <c r="AB102" i="11"/>
  <c r="E103" i="11"/>
  <c r="F103" i="11"/>
  <c r="I103" i="11" s="1"/>
  <c r="K103" i="11" l="1"/>
  <c r="J103" i="11"/>
  <c r="N103" i="11" s="1"/>
  <c r="O103" i="11" l="1"/>
  <c r="L103" i="11"/>
  <c r="Y103" i="11" s="1"/>
  <c r="Z103" i="11" s="1"/>
  <c r="M103" i="11" l="1"/>
  <c r="P103" i="11"/>
  <c r="S103" i="11" l="1"/>
  <c r="Q103" i="11"/>
  <c r="A104" i="11" l="1"/>
  <c r="T103" i="11"/>
  <c r="R103" i="11"/>
  <c r="V104" i="11" l="1"/>
  <c r="B104" i="11"/>
  <c r="D104" i="11"/>
  <c r="G104" i="11"/>
  <c r="W104" i="11"/>
  <c r="U104" i="11"/>
  <c r="X104" i="11" s="1"/>
  <c r="C104" i="11"/>
  <c r="AA103" i="11" l="1"/>
  <c r="AC103" i="11"/>
  <c r="AB103" i="11"/>
  <c r="E104" i="11"/>
  <c r="H104" i="11"/>
  <c r="F104" i="11"/>
  <c r="I104" i="11" l="1"/>
  <c r="J104" i="11"/>
  <c r="N104" i="11" s="1"/>
  <c r="K104" i="11" l="1"/>
  <c r="O104" i="11" l="1"/>
  <c r="L104" i="11"/>
  <c r="Y104" i="11" l="1"/>
  <c r="P104" i="11"/>
  <c r="M104" i="11" l="1"/>
  <c r="Z104" i="11"/>
  <c r="Q104" i="11" l="1"/>
  <c r="S104" i="11"/>
  <c r="R104" i="11" l="1"/>
  <c r="T104" i="11"/>
  <c r="A105" i="11"/>
  <c r="W105" i="11" l="1"/>
  <c r="C105" i="11"/>
  <c r="U105" i="11"/>
  <c r="X105" i="11" s="1"/>
  <c r="G105" i="11"/>
  <c r="V105" i="11"/>
  <c r="D105" i="11"/>
  <c r="F105" i="11"/>
  <c r="B105" i="11"/>
  <c r="E105" i="11"/>
  <c r="H105" i="11"/>
  <c r="AB104" i="11" l="1"/>
  <c r="AA104" i="11"/>
  <c r="AC104" i="11"/>
  <c r="I105" i="11"/>
  <c r="J105" i="11" s="1"/>
  <c r="N105" i="11" s="1"/>
  <c r="K105" i="11" l="1"/>
  <c r="O105" i="11" l="1"/>
  <c r="L105" i="11"/>
  <c r="Y105" i="11" s="1"/>
  <c r="Z105" i="11" s="1"/>
  <c r="M105" i="11" l="1"/>
  <c r="P105" i="11"/>
  <c r="Q105" i="11" l="1"/>
  <c r="S105" i="11"/>
  <c r="T105" i="11" l="1"/>
  <c r="A106" i="11"/>
  <c r="R105" i="11"/>
  <c r="U106" i="11" l="1"/>
  <c r="W106" i="11"/>
  <c r="D106" i="11"/>
  <c r="G106" i="11"/>
  <c r="B106" i="11"/>
  <c r="C106" i="11"/>
  <c r="V106" i="11"/>
  <c r="X106" i="11" s="1"/>
  <c r="H106" i="11"/>
  <c r="AA105" i="11" l="1"/>
  <c r="AC105" i="11"/>
  <c r="AB105" i="11"/>
  <c r="E106" i="11"/>
  <c r="F106" i="11"/>
  <c r="I106" i="11" l="1"/>
  <c r="J106" i="11" l="1"/>
  <c r="N106" i="11" l="1"/>
  <c r="K106" i="11"/>
  <c r="O106" i="11" s="1"/>
  <c r="L106" i="11"/>
  <c r="P106" i="11" l="1"/>
  <c r="Y106" i="11"/>
  <c r="Z106" i="11" l="1"/>
  <c r="M106" i="11"/>
  <c r="S106" i="11" l="1"/>
  <c r="Q106" i="11"/>
  <c r="R106" i="11" l="1"/>
  <c r="T106" i="11"/>
  <c r="A107" i="11"/>
  <c r="V107" i="11" l="1"/>
  <c r="U107" i="11"/>
  <c r="X107" i="11" s="1"/>
  <c r="I107" i="11" s="1"/>
  <c r="G107" i="11"/>
  <c r="C107" i="11"/>
  <c r="B107" i="11"/>
  <c r="D107" i="11"/>
  <c r="W107" i="11"/>
  <c r="E107" i="11"/>
  <c r="H107" i="11"/>
  <c r="AB106" i="11" l="1"/>
  <c r="AC106" i="11"/>
  <c r="AA106" i="11"/>
  <c r="J107" i="11"/>
  <c r="F107" i="11"/>
  <c r="N107" i="11" l="1"/>
  <c r="K107" i="11"/>
  <c r="L107" i="11"/>
  <c r="Y107" i="11" l="1"/>
  <c r="P107" i="11"/>
  <c r="O107" i="11"/>
  <c r="Z107" i="11" l="1"/>
  <c r="M107" i="11"/>
  <c r="Q107" i="11" l="1"/>
  <c r="S107" i="11"/>
  <c r="T107" i="11" l="1"/>
  <c r="A108" i="11"/>
  <c r="R107" i="11"/>
  <c r="B108" i="11" l="1"/>
  <c r="U108" i="11"/>
  <c r="C108" i="11"/>
  <c r="G108" i="11"/>
  <c r="D108" i="11"/>
  <c r="H108" i="11"/>
  <c r="W108" i="11"/>
  <c r="V108" i="11"/>
  <c r="X108" i="11" s="1"/>
  <c r="AC107" i="11" l="1"/>
  <c r="AA107" i="11"/>
  <c r="AB107" i="11"/>
  <c r="F108" i="11"/>
  <c r="E108" i="11"/>
  <c r="I108" i="11" l="1"/>
  <c r="J108" i="11" l="1"/>
  <c r="N108" i="11" l="1"/>
  <c r="L108" i="11"/>
  <c r="K108" i="11"/>
  <c r="O108" i="11" s="1"/>
  <c r="P108" i="11" l="1"/>
  <c r="Y108" i="11"/>
  <c r="Z108" i="11" l="1"/>
  <c r="M108" i="11"/>
  <c r="Q108" i="11" l="1"/>
  <c r="S108" i="11"/>
  <c r="A109" i="11" l="1"/>
  <c r="T108" i="11"/>
  <c r="R108" i="11"/>
  <c r="C109" i="11" l="1"/>
  <c r="H109" i="11"/>
  <c r="W109" i="11"/>
  <c r="U109" i="11"/>
  <c r="B109" i="11"/>
  <c r="G109" i="11"/>
  <c r="F109" i="11"/>
  <c r="V109" i="11"/>
  <c r="D109" i="11"/>
  <c r="AC108" i="11" l="1"/>
  <c r="AA108" i="11"/>
  <c r="AB108" i="11"/>
  <c r="X109" i="11"/>
  <c r="E109" i="11"/>
  <c r="I109" i="11" l="1"/>
  <c r="J109" i="11" l="1"/>
  <c r="N109" i="11" l="1"/>
  <c r="K109" i="11"/>
  <c r="O109" i="11" l="1"/>
  <c r="Y109" i="11"/>
  <c r="Z109" i="11" s="1"/>
  <c r="L109" i="11"/>
  <c r="P109" i="11" l="1"/>
  <c r="M109" i="11"/>
  <c r="Q109" i="11" l="1"/>
  <c r="S109" i="11"/>
  <c r="A110" i="11" l="1"/>
  <c r="T109" i="11"/>
  <c r="R109" i="11"/>
  <c r="V110" i="11" l="1"/>
  <c r="U110" i="11"/>
  <c r="D110" i="11"/>
  <c r="H110" i="11" s="1"/>
  <c r="C110" i="11"/>
  <c r="B110" i="11"/>
  <c r="E110" i="11"/>
  <c r="W110" i="11"/>
  <c r="G110" i="11"/>
  <c r="F110" i="11"/>
  <c r="AB109" i="11" l="1"/>
  <c r="AA109" i="11"/>
  <c r="AC109" i="11"/>
  <c r="X110" i="11"/>
  <c r="I110" i="11" l="1"/>
  <c r="J110" i="11" l="1"/>
  <c r="K110" i="11"/>
  <c r="O110" i="11" s="1"/>
  <c r="N110" i="11" l="1"/>
  <c r="Y110" i="11"/>
  <c r="Z110" i="11" s="1"/>
  <c r="L110" i="11"/>
  <c r="M110" i="11" l="1"/>
  <c r="P110" i="11"/>
  <c r="Q110" i="11" l="1"/>
  <c r="S110" i="11"/>
  <c r="A111" i="11" l="1"/>
  <c r="R110" i="11"/>
  <c r="T110" i="11"/>
  <c r="G111" i="11" l="1"/>
  <c r="C111" i="11"/>
  <c r="D111" i="11"/>
  <c r="B111" i="11"/>
  <c r="F111" i="11"/>
  <c r="H111" i="11"/>
  <c r="W111" i="11"/>
  <c r="V111" i="11"/>
  <c r="U111" i="11"/>
  <c r="X111" i="11" s="1"/>
  <c r="AC110" i="11" l="1"/>
  <c r="AB110" i="11"/>
  <c r="AA110" i="11"/>
  <c r="E111" i="11"/>
  <c r="I111" i="11" l="1"/>
  <c r="J111" i="11" l="1"/>
  <c r="N111" i="11" s="1"/>
  <c r="K111" i="11"/>
  <c r="L111" i="11"/>
  <c r="O111" i="11" l="1"/>
  <c r="Y111" i="11"/>
  <c r="Z111" i="11" s="1"/>
  <c r="P111" i="11"/>
  <c r="M111" i="11"/>
  <c r="Q111" i="11" l="1"/>
  <c r="S111" i="11"/>
  <c r="R111" i="11" l="1"/>
  <c r="A112" i="11"/>
  <c r="T111" i="11"/>
  <c r="C112" i="11" l="1"/>
  <c r="W112" i="11"/>
  <c r="V112" i="11"/>
  <c r="U112" i="11"/>
  <c r="X112" i="11" s="1"/>
  <c r="G112" i="11"/>
  <c r="D112" i="11"/>
  <c r="B112" i="11"/>
  <c r="E112" i="11"/>
  <c r="H112" i="11"/>
  <c r="AC111" i="11" l="1"/>
  <c r="AB111" i="11"/>
  <c r="AA111" i="11"/>
  <c r="F112" i="11"/>
  <c r="I112" i="11" l="1"/>
  <c r="J112" i="11" l="1"/>
  <c r="N112" i="11" l="1"/>
  <c r="K112" i="11"/>
  <c r="O112" i="11" l="1"/>
  <c r="L112" i="11"/>
  <c r="M112" i="11" l="1"/>
  <c r="Y112" i="11"/>
  <c r="Z112" i="11" s="1"/>
  <c r="P112" i="11"/>
  <c r="Q112" i="11" l="1"/>
  <c r="S112" i="11"/>
  <c r="R112" i="11" l="1"/>
  <c r="A113" i="11"/>
  <c r="T112" i="11"/>
  <c r="W113" i="11" l="1"/>
  <c r="V113" i="11"/>
  <c r="G113" i="11"/>
  <c r="F113" i="11"/>
  <c r="U113" i="11"/>
  <c r="X113" i="11" s="1"/>
  <c r="D113" i="11"/>
  <c r="E113" i="11"/>
  <c r="B113" i="11"/>
  <c r="C113" i="11"/>
  <c r="H113" i="11"/>
  <c r="AA112" i="11" l="1"/>
  <c r="AC112" i="11"/>
  <c r="AB112" i="11"/>
  <c r="I113" i="11"/>
  <c r="J113" i="11"/>
  <c r="N113" i="11"/>
  <c r="K113" i="11" l="1"/>
  <c r="O113" i="11" s="1"/>
  <c r="L113" i="11"/>
  <c r="P113" i="11" l="1"/>
  <c r="Y113" i="11"/>
  <c r="Z113" i="11" l="1"/>
  <c r="M113" i="11"/>
  <c r="S113" i="11" l="1"/>
  <c r="Q113" i="11"/>
  <c r="A114" i="11" l="1"/>
  <c r="T113" i="11"/>
  <c r="R113" i="11"/>
  <c r="W114" i="11" l="1"/>
  <c r="U114" i="11"/>
  <c r="G114" i="11"/>
  <c r="C114" i="11"/>
  <c r="D114" i="11"/>
  <c r="B114" i="11"/>
  <c r="V114" i="11"/>
  <c r="E114" i="11"/>
  <c r="AA113" i="11" l="1"/>
  <c r="AC113" i="11"/>
  <c r="AB113" i="11"/>
  <c r="X114" i="11"/>
  <c r="F114" i="11"/>
  <c r="H114" i="11"/>
  <c r="I114" i="11" l="1"/>
  <c r="J114" i="11" s="1"/>
  <c r="N114" i="11" s="1"/>
  <c r="K114" i="11" l="1"/>
  <c r="O114" i="11" l="1"/>
  <c r="L114" i="11"/>
  <c r="Y114" i="11" l="1"/>
  <c r="P114" i="11"/>
  <c r="M114" i="11" l="1"/>
  <c r="Z114" i="11"/>
  <c r="S114" i="11" l="1"/>
  <c r="Q114" i="11"/>
  <c r="T114" i="11" l="1"/>
  <c r="A115" i="11"/>
  <c r="R114" i="11"/>
  <c r="W115" i="11" l="1"/>
  <c r="V115" i="11"/>
  <c r="U115" i="11"/>
  <c r="X115" i="11" s="1"/>
  <c r="G115" i="11"/>
  <c r="H115" i="11"/>
  <c r="C115" i="11"/>
  <c r="D115" i="11"/>
  <c r="B115" i="11"/>
  <c r="E115" i="11"/>
  <c r="AC114" i="11" l="1"/>
  <c r="AA114" i="11"/>
  <c r="AB114" i="11"/>
  <c r="F115" i="11"/>
  <c r="I115" i="11" l="1"/>
  <c r="J115" i="11" l="1"/>
  <c r="N115" i="11" l="1"/>
  <c r="K115" i="11"/>
  <c r="O115" i="11" l="1"/>
  <c r="L115" i="11"/>
  <c r="Y115" i="11" s="1"/>
  <c r="Z115" i="11" s="1"/>
  <c r="M115" i="11" l="1"/>
  <c r="P115" i="11"/>
  <c r="Q115" i="11" l="1"/>
  <c r="S115" i="11"/>
  <c r="R115" i="11" l="1"/>
  <c r="T115" i="11"/>
  <c r="A116" i="11"/>
  <c r="B116" i="11" l="1"/>
  <c r="G116" i="11"/>
  <c r="D116" i="11"/>
  <c r="W116" i="11"/>
  <c r="V116" i="11"/>
  <c r="U116" i="11"/>
  <c r="X116" i="11" s="1"/>
  <c r="C116" i="11"/>
  <c r="F116" i="11"/>
  <c r="H116" i="11"/>
  <c r="E116" i="11"/>
  <c r="AC115" i="11" l="1"/>
  <c r="AB115" i="11"/>
  <c r="AA115" i="11"/>
  <c r="I116" i="11"/>
  <c r="J116" i="11" l="1"/>
  <c r="N116" i="11" l="1"/>
  <c r="K116" i="11"/>
  <c r="O116" i="11" s="1"/>
  <c r="L116" i="11"/>
  <c r="P116" i="11" l="1"/>
  <c r="Y116" i="11"/>
  <c r="Z116" i="11" l="1"/>
  <c r="M116" i="11"/>
  <c r="S116" i="11" l="1"/>
  <c r="Q116" i="11"/>
  <c r="A117" i="11" l="1"/>
  <c r="T116" i="11"/>
  <c r="R116" i="11"/>
  <c r="V117" i="11" l="1"/>
  <c r="U117" i="11"/>
  <c r="G117" i="11"/>
  <c r="F117" i="11" s="1"/>
  <c r="C117" i="11"/>
  <c r="W117" i="11"/>
  <c r="B117" i="11"/>
  <c r="D117" i="11"/>
  <c r="E117" i="11"/>
  <c r="H117" i="11"/>
  <c r="AA116" i="11" l="1"/>
  <c r="AB116" i="11"/>
  <c r="AC116" i="11"/>
  <c r="X117" i="11"/>
  <c r="I117" i="11" s="1"/>
  <c r="J117" i="11" l="1"/>
  <c r="N117" i="11" l="1"/>
  <c r="K117" i="11"/>
  <c r="L117" i="11" l="1"/>
  <c r="O117" i="11"/>
  <c r="Y117" i="11" l="1"/>
  <c r="Z117" i="11" s="1"/>
  <c r="M117" i="11"/>
  <c r="P117" i="11"/>
  <c r="Q117" i="11" l="1"/>
  <c r="S117" i="11"/>
  <c r="A118" i="11" l="1"/>
  <c r="R117" i="11"/>
  <c r="T117" i="11"/>
  <c r="U118" i="11" l="1"/>
  <c r="X118" i="11" s="1"/>
  <c r="V118" i="11"/>
  <c r="G118" i="11"/>
  <c r="D118" i="11"/>
  <c r="E118" i="11"/>
  <c r="B118" i="11"/>
  <c r="C118" i="11"/>
  <c r="W118" i="11"/>
  <c r="AC117" i="11" l="1"/>
  <c r="AB117" i="11"/>
  <c r="AA117" i="11"/>
  <c r="F118" i="11"/>
  <c r="H118" i="11"/>
  <c r="I118" i="11" s="1"/>
  <c r="J118" i="11" s="1"/>
  <c r="N118" i="11" s="1"/>
  <c r="L118" i="11" l="1"/>
  <c r="Y118" i="11"/>
  <c r="Z118" i="11" s="1"/>
  <c r="K118" i="11"/>
  <c r="O118" i="11" s="1"/>
  <c r="P118" i="11" l="1"/>
  <c r="M118" i="11"/>
  <c r="Q118" i="11" l="1"/>
  <c r="S118" i="11"/>
  <c r="R118" i="11" l="1"/>
  <c r="T118" i="11"/>
  <c r="A119" i="11"/>
  <c r="C119" i="11" l="1"/>
  <c r="V119" i="11"/>
  <c r="G119" i="11"/>
  <c r="B119" i="11"/>
  <c r="D119" i="11"/>
  <c r="U119" i="11"/>
  <c r="X119" i="11" s="1"/>
  <c r="W119" i="11"/>
  <c r="F119" i="11"/>
  <c r="AB118" i="11" l="1"/>
  <c r="AA118" i="11"/>
  <c r="AC118" i="11"/>
  <c r="E119" i="11"/>
  <c r="H119" i="11"/>
  <c r="J119" i="11" l="1"/>
  <c r="N119" i="11" s="1"/>
  <c r="I119" i="11"/>
  <c r="L119" i="11" l="1"/>
  <c r="K119" i="11"/>
  <c r="O119" i="11" s="1"/>
  <c r="P119" i="11" l="1"/>
  <c r="Y119" i="11"/>
  <c r="Z119" i="11" l="1"/>
  <c r="M119" i="11"/>
  <c r="S119" i="11" l="1"/>
  <c r="Q119" i="11"/>
  <c r="R119" i="11" l="1"/>
  <c r="T119" i="11"/>
  <c r="A120" i="11"/>
  <c r="V120" i="11" l="1"/>
  <c r="C120" i="11"/>
  <c r="D120" i="11"/>
  <c r="W120" i="11"/>
  <c r="U120" i="11"/>
  <c r="B120" i="11"/>
  <c r="G120" i="11"/>
  <c r="F120" i="11" s="1"/>
  <c r="AA119" i="11" l="1"/>
  <c r="AB119" i="11"/>
  <c r="AC119" i="11"/>
  <c r="X120" i="11"/>
  <c r="H120" i="11"/>
  <c r="E120" i="11"/>
  <c r="I120" i="11" l="1"/>
  <c r="J120" i="11" s="1"/>
  <c r="N120" i="11" s="1"/>
  <c r="K120" i="11" l="1"/>
  <c r="O120" i="11" l="1"/>
  <c r="L120" i="11"/>
  <c r="Y120" i="11"/>
  <c r="Z120" i="11" s="1"/>
  <c r="P120" i="11" l="1"/>
  <c r="M120" i="11"/>
  <c r="S120" i="11" l="1"/>
  <c r="Q120" i="11"/>
  <c r="T120" i="11" l="1"/>
  <c r="A121" i="11"/>
  <c r="R120" i="11"/>
  <c r="U121" i="11" l="1"/>
  <c r="G121" i="11"/>
  <c r="C121" i="11"/>
  <c r="V121" i="11"/>
  <c r="D121" i="11"/>
  <c r="B121" i="11"/>
  <c r="W121" i="11"/>
  <c r="F121" i="11"/>
  <c r="E121" i="11"/>
  <c r="X121" i="11"/>
  <c r="AB120" i="11" l="1"/>
  <c r="AA120" i="11"/>
  <c r="AC120" i="11"/>
  <c r="H121" i="11"/>
  <c r="I121" i="11" l="1"/>
  <c r="J121" i="11"/>
  <c r="N121" i="11" s="1"/>
  <c r="K121" i="11" l="1"/>
  <c r="O121" i="11" l="1"/>
  <c r="L121" i="11"/>
  <c r="P121" i="11" l="1"/>
  <c r="Y121" i="11"/>
  <c r="Z121" i="11" l="1"/>
  <c r="M121" i="11"/>
  <c r="Q121" i="11" l="1"/>
  <c r="S121" i="11"/>
  <c r="A122" i="11" l="1"/>
  <c r="R121" i="11"/>
  <c r="T121" i="11"/>
  <c r="D122" i="11" l="1"/>
  <c r="B122" i="11"/>
  <c r="C122" i="11"/>
  <c r="E122" i="11"/>
  <c r="H122" i="11"/>
  <c r="X122" i="11"/>
  <c r="I122" i="11" s="1"/>
  <c r="W122" i="11"/>
  <c r="V122" i="11"/>
  <c r="U122" i="11"/>
  <c r="G122" i="11"/>
  <c r="F122" i="11"/>
  <c r="AC121" i="11" l="1"/>
  <c r="AB121" i="11"/>
  <c r="AA121" i="11"/>
  <c r="J122" i="11"/>
  <c r="N122" i="11" l="1"/>
  <c r="K122" i="11"/>
  <c r="L122" i="11"/>
  <c r="P122" i="11" s="1"/>
  <c r="O122" i="11" l="1"/>
  <c r="Y122" i="11"/>
  <c r="M122" i="11" l="1"/>
  <c r="Z122" i="11"/>
  <c r="S122" i="11" l="1"/>
  <c r="Q122" i="11"/>
  <c r="R122" i="11" l="1"/>
  <c r="T122" i="11"/>
  <c r="A123" i="11"/>
  <c r="W123" i="11" l="1"/>
  <c r="V123" i="11"/>
  <c r="U123" i="11"/>
  <c r="X123" i="11" s="1"/>
  <c r="B123" i="11"/>
  <c r="C123" i="11"/>
  <c r="D123" i="11"/>
  <c r="G123" i="11"/>
  <c r="AC122" i="11" l="1"/>
  <c r="AA122" i="11"/>
  <c r="AB122" i="11"/>
  <c r="AA123" i="11"/>
  <c r="AB123" i="11"/>
  <c r="AC123" i="11"/>
  <c r="H123" i="11"/>
  <c r="I123" i="11" s="1"/>
  <c r="E123" i="11"/>
  <c r="F123" i="11"/>
  <c r="J123" i="11" l="1"/>
  <c r="K123" i="11" l="1"/>
  <c r="N123" i="11"/>
  <c r="O123" i="11" l="1"/>
  <c r="Y123" i="11"/>
  <c r="Z123" i="11" s="1"/>
  <c r="AF12" i="11" s="1" a="1"/>
  <c r="L123" i="11"/>
  <c r="P123" i="11" l="1"/>
  <c r="M123" i="11"/>
  <c r="S123" i="11" l="1"/>
  <c r="Q123" i="11"/>
  <c r="T123" i="11" l="1"/>
  <c r="AF10" i="11" s="1"/>
  <c r="R123" i="11"/>
  <c r="AF9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<sst xmlns="http://schemas.openxmlformats.org/spreadsheetml/2006/main" count="865" uniqueCount="369">
  <si>
    <t>1</t>
  </si>
  <si>
    <t>Periodicidad</t>
  </si>
  <si>
    <t>2</t>
  </si>
  <si>
    <t>3</t>
  </si>
  <si>
    <t>4</t>
  </si>
  <si>
    <t>Tasa mensual</t>
  </si>
  <si>
    <t>5</t>
  </si>
  <si>
    <t>6</t>
  </si>
  <si>
    <t>7</t>
  </si>
  <si>
    <t>Servicios</t>
  </si>
  <si>
    <t>Mora - Caso 8</t>
  </si>
  <si>
    <t>Cobranza - Caso 9</t>
  </si>
  <si>
    <t>Caso</t>
  </si>
  <si>
    <t>Nombre</t>
  </si>
  <si>
    <t>Qué prueba</t>
  </si>
  <si>
    <t>Hoja</t>
  </si>
  <si>
    <t>Operación normal</t>
  </si>
  <si>
    <t>Cambio de tasa</t>
  </si>
  <si>
    <t>Dación en pago</t>
  </si>
  <si>
    <t>Retoma con excedente</t>
  </si>
  <si>
    <t>Pago anticipado total</t>
  </si>
  <si>
    <t>Pago inferior</t>
  </si>
  <si>
    <t>Parámetro</t>
  </si>
  <si>
    <t>Valor</t>
  </si>
  <si>
    <t>Tipo</t>
  </si>
  <si>
    <t>Monto financiado</t>
  </si>
  <si>
    <t>Valor de la moto</t>
  </si>
  <si>
    <t>Semanas por año</t>
  </si>
  <si>
    <t>Semanas por mes</t>
  </si>
  <si>
    <t>Tasa semanal</t>
  </si>
  <si>
    <t>Tasa diaria</t>
  </si>
  <si>
    <t>Tasa mensual equivalente</t>
  </si>
  <si>
    <t>Asistencia mensual</t>
  </si>
  <si>
    <t>Servicios totales por cuota</t>
  </si>
  <si>
    <t>Pago total base al cliente</t>
  </si>
  <si>
    <t>Caso 2</t>
  </si>
  <si>
    <t>Mes cambio de tasa</t>
  </si>
  <si>
    <t>EA nueva</t>
  </si>
  <si>
    <t>Tasa semanal nueva</t>
  </si>
  <si>
    <t>Caso 3</t>
  </si>
  <si>
    <t>Último mes pagado</t>
  </si>
  <si>
    <t>Mes del siniestro</t>
  </si>
  <si>
    <t>Valor dación</t>
  </si>
  <si>
    <t>Último periodo pagado</t>
  </si>
  <si>
    <t>Periodo siniestro</t>
  </si>
  <si>
    <t>Caso 4</t>
  </si>
  <si>
    <t>Mes inicio incumplimiento</t>
  </si>
  <si>
    <t>Mes retoma</t>
  </si>
  <si>
    <t>Avalúo moto</t>
  </si>
  <si>
    <t>Periodo retoma</t>
  </si>
  <si>
    <t>Caso 5</t>
  </si>
  <si>
    <t>Mes prepago total</t>
  </si>
  <si>
    <t>Periodo prepago</t>
  </si>
  <si>
    <t>Caso 6</t>
  </si>
  <si>
    <t>Mes abono extra</t>
  </si>
  <si>
    <t>Valor abono extra</t>
  </si>
  <si>
    <t>Periodo abono</t>
  </si>
  <si>
    <t>Caso 7</t>
  </si>
  <si>
    <t>Caso 8</t>
  </si>
  <si>
    <t>Mes pago inferior</t>
  </si>
  <si>
    <t>Periodo evento</t>
  </si>
  <si>
    <t>Caso 9</t>
  </si>
  <si>
    <t>Mes inicio pagos tardíos</t>
  </si>
  <si>
    <t>Días atraso por cuota</t>
  </si>
  <si>
    <t>Gasto cobranza diario</t>
  </si>
  <si>
    <t>Gasto cobranza por pago</t>
  </si>
  <si>
    <t>Periodo inicio</t>
  </si>
  <si>
    <t>Tolerancia</t>
  </si>
  <si>
    <t>Dinero</t>
  </si>
  <si>
    <t>Tasa</t>
  </si>
  <si>
    <t>Conteo</t>
  </si>
  <si>
    <t>Exacto</t>
  </si>
  <si>
    <t>Cuotas operativas</t>
  </si>
  <si>
    <t>Cuota financiera</t>
  </si>
  <si>
    <t>Servicios por cuota</t>
  </si>
  <si>
    <t>Pago total base</t>
  </si>
  <si>
    <t>Periodo</t>
  </si>
  <si>
    <t>Mes</t>
  </si>
  <si>
    <t>Evento</t>
  </si>
  <si>
    <t>Saldo inicial</t>
  </si>
  <si>
    <t>Interés corriente</t>
  </si>
  <si>
    <t>Capital pagado</t>
  </si>
  <si>
    <t>FCC+IVA</t>
  </si>
  <si>
    <t>Asistencia+IVA</t>
  </si>
  <si>
    <t>Seguro vida</t>
  </si>
  <si>
    <t>Pago total cliente</t>
  </si>
  <si>
    <t>Saldo final</t>
  </si>
  <si>
    <t>Pago FCC</t>
  </si>
  <si>
    <t>Pago asistencia</t>
  </si>
  <si>
    <t>Pago aseguradora</t>
  </si>
  <si>
    <t>Estado</t>
  </si>
  <si>
    <t>Intereses totales</t>
  </si>
  <si>
    <t>Desembolso</t>
  </si>
  <si>
    <t>Desembolsado</t>
  </si>
  <si>
    <t>Pago FCC mes 1</t>
  </si>
  <si>
    <t>MOVIMIENTO CONTABLE CLAVE DEL EVENTO</t>
  </si>
  <si>
    <t>Cuenta</t>
  </si>
  <si>
    <t>Débito</t>
  </si>
  <si>
    <t>Crédito</t>
  </si>
  <si>
    <t>Explicación</t>
  </si>
  <si>
    <t>Caja</t>
  </si>
  <si>
    <t>Recaudo de la primera cuota total</t>
  </si>
  <si>
    <t>Ingresos por intereses</t>
  </si>
  <si>
    <t>Interés corriente causado</t>
  </si>
  <si>
    <t>Cartera de créditos</t>
  </si>
  <si>
    <t>Amortización de capital</t>
  </si>
  <si>
    <t>CxP servicios a terceros</t>
  </si>
  <si>
    <t>Servicios recaudados por cuenta de terceros</t>
  </si>
  <si>
    <t>Control</t>
  </si>
  <si>
    <t>Periodo cambio</t>
  </si>
  <si>
    <t>Nueva cuota</t>
  </si>
  <si>
    <t>Interés</t>
  </si>
  <si>
    <t>Capital</t>
  </si>
  <si>
    <t>Pago total</t>
  </si>
  <si>
    <t>Reducción intereses vs Caso 1</t>
  </si>
  <si>
    <t>Sin asiento extraordinario</t>
  </si>
  <si>
    <t>El cambio modifica la causación futura de intereses y la cuota; no genera un asiento por sí mismo.</t>
  </si>
  <si>
    <t>Cuotas vencidas</t>
  </si>
  <si>
    <t>Deuda a extinguir</t>
  </si>
  <si>
    <t>Inventario reconocido</t>
  </si>
  <si>
    <t>Pago financiero</t>
  </si>
  <si>
    <t>Interés pagado</t>
  </si>
  <si>
    <t>CxC interés corriente</t>
  </si>
  <si>
    <t>Saldo capital final</t>
  </si>
  <si>
    <t>Inventario</t>
  </si>
  <si>
    <t>CxC FCC</t>
  </si>
  <si>
    <t>CxP deudor</t>
  </si>
  <si>
    <t>Saldo capital posterior</t>
  </si>
  <si>
    <t>Inventario de motos</t>
  </si>
  <si>
    <t>Ingreso de la moto por el valor definido para el evento</t>
  </si>
  <si>
    <t>Residual de la deuda no cubierto por la moto</t>
  </si>
  <si>
    <t>Extinción del capital</t>
  </si>
  <si>
    <t>CxC intereses corrientes</t>
  </si>
  <si>
    <t>Extinción de intereses corrientes pendientes</t>
  </si>
  <si>
    <t>Excedente a favor del deudor</t>
  </si>
  <si>
    <t>Saldo antes cuota evento</t>
  </si>
  <si>
    <t>Cuota ordinaria</t>
  </si>
  <si>
    <t>Prepago capital</t>
  </si>
  <si>
    <t>Pago financiero total evento</t>
  </si>
  <si>
    <t>Capital ordinario</t>
  </si>
  <si>
    <t>Intereses futuros evitados</t>
  </si>
  <si>
    <t>Saldo posterior</t>
  </si>
  <si>
    <t>Recaudo extraordinario por prepago de capital</t>
  </si>
  <si>
    <t>Extinción del saldo de capital después de la cuota ordinaria</t>
  </si>
  <si>
    <t>Abono extra</t>
  </si>
  <si>
    <t>Saldo tras abono</t>
  </si>
  <si>
    <t>Cuota posterior</t>
  </si>
  <si>
    <t>Último periodo con pago</t>
  </si>
  <si>
    <t>Pago financiero total</t>
  </si>
  <si>
    <t>Cuotas eliminadas</t>
  </si>
  <si>
    <t>Abono extraordinario recibido</t>
  </si>
  <si>
    <t>Aplicación 100% a capital</t>
  </si>
  <si>
    <t>Reducción de cuota</t>
  </si>
  <si>
    <t>Periodo final</t>
  </si>
  <si>
    <t>Periodo pago inferior</t>
  </si>
  <si>
    <t>Pago recibido evento</t>
  </si>
  <si>
    <t>Capital vencido cierre evento</t>
  </si>
  <si>
    <t>CxC interés corriente cierre evento</t>
  </si>
  <si>
    <t>Interés mora periodo siguiente</t>
  </si>
  <si>
    <t>Interés mora</t>
  </si>
  <si>
    <t>Capital contractual</t>
  </si>
  <si>
    <t>Pago recibido</t>
  </si>
  <si>
    <t>Pago mora</t>
  </si>
  <si>
    <t>Pago interés corriente</t>
  </si>
  <si>
    <t>Pago capital</t>
  </si>
  <si>
    <t>CxC mora</t>
  </si>
  <si>
    <t>Capital vencido</t>
  </si>
  <si>
    <t>Capital vigente</t>
  </si>
  <si>
    <t>Periodos adicionales</t>
  </si>
  <si>
    <t>Aplicación del pago a interés corriente</t>
  </si>
  <si>
    <t>Aplicación del remanente a capital</t>
  </si>
  <si>
    <t>Cartera capital vencida</t>
  </si>
  <si>
    <t>Reclasificación del capital contractual no pagado</t>
  </si>
  <si>
    <t>Cartera capital vigente</t>
  </si>
  <si>
    <t>Contrapartida de la reclasificación</t>
  </si>
  <si>
    <t>Días de atraso</t>
  </si>
  <si>
    <t>Cobranza por pago</t>
  </si>
  <si>
    <t>Mora primer pago tardío</t>
  </si>
  <si>
    <t>Capital pagado primer atraso</t>
  </si>
  <si>
    <t>Cobranza causada</t>
  </si>
  <si>
    <t>Pago cobranza</t>
  </si>
  <si>
    <t>CxC cobranza</t>
  </si>
  <si>
    <t>Capital vencido cierre primer atraso</t>
  </si>
  <si>
    <t>Saldo capital al horizonte</t>
  </si>
  <si>
    <t>Estado al horizonte</t>
  </si>
  <si>
    <t>CxC gastos de cobranza</t>
  </si>
  <si>
    <t>Causación de cobranza por días de atraso</t>
  </si>
  <si>
    <t>Ingresos por cobranza</t>
  </si>
  <si>
    <t>Contrapartida de la cobranza causada</t>
  </si>
  <si>
    <t>CxC interés mora</t>
  </si>
  <si>
    <t>Causación de mora</t>
  </si>
  <si>
    <t>Ingresos por mora</t>
  </si>
  <si>
    <t>Contrapartida del interés de mora</t>
  </si>
  <si>
    <t>Primera prioridad</t>
  </si>
  <si>
    <t>Segunda prioridad</t>
  </si>
  <si>
    <t>Tercera prioridad</t>
  </si>
  <si>
    <t>Remanente aplicado a capital</t>
  </si>
  <si>
    <t>PRUEBAS</t>
  </si>
  <si>
    <t>Variable</t>
  </si>
  <si>
    <t>Resultado software</t>
  </si>
  <si>
    <t>Caso 1</t>
  </si>
  <si>
    <t>Originación</t>
  </si>
  <si>
    <t>Monto desembolsado</t>
  </si>
  <si>
    <t>Primera cuota</t>
  </si>
  <si>
    <t>Cierre crédito</t>
  </si>
  <si>
    <t>Cierre mes 1</t>
  </si>
  <si>
    <t>Cambio tasa</t>
  </si>
  <si>
    <t>Siniestro</t>
  </si>
  <si>
    <t>Dación</t>
  </si>
  <si>
    <t>Retoma</t>
  </si>
  <si>
    <t>Prepago</t>
  </si>
  <si>
    <t>Abono aplicado</t>
  </si>
  <si>
    <t>Resultado</t>
  </si>
  <si>
    <t>Periodo siguiente</t>
  </si>
  <si>
    <t>Primer atraso</t>
  </si>
  <si>
    <t>Horizonte</t>
  </si>
  <si>
    <t>Plazo base de financiación</t>
  </si>
  <si>
    <t xml:space="preserve">Cliente deja de pagar. Se recibe la moto como parte de pago de la deuda (avalúo comercial moto &lt; saldo deuda), el residual es una CxC al fondo de garantías. </t>
  </si>
  <si>
    <t xml:space="preserve">Cliente deja de pagar. Se recibe la moto como parte de pago de la deuda (avalúo comercial moto &gt; saldo deuda), el residual es una CxP al cliente. </t>
  </si>
  <si>
    <t>Abono extra como menor plazo</t>
  </si>
  <si>
    <t>Abono extra como menor cuota</t>
  </si>
  <si>
    <t>Pago tardío y aplicación de gastos de cobranza</t>
  </si>
  <si>
    <t>Plazo (meses)</t>
  </si>
  <si>
    <t>Número de cuotas semanales</t>
  </si>
  <si>
    <t>Tasa EA base</t>
  </si>
  <si>
    <t>Cuota financiera semanal</t>
  </si>
  <si>
    <t xml:space="preserve">FCC semanal incluye IVA </t>
  </si>
  <si>
    <t>Asistencia semanal incluye IVA</t>
  </si>
  <si>
    <t>Seguro vida por cuota (excluido de IVA)</t>
  </si>
  <si>
    <t>Plazo límite permitido (semanas)</t>
  </si>
  <si>
    <t>Periodo desde el que aplica cambio tasa</t>
  </si>
  <si>
    <t>Semanal: 52 semanas por año, 12 meses por año. 4,333333 semanas en promedio por mes (52/12).</t>
  </si>
  <si>
    <t>20 meses,  86 cuotas semanales. Redondear (20*52/12).</t>
  </si>
  <si>
    <t>Parte de tasa EA pactada contractualmente con deudor. Tasa semanal se calcula como (1+EA)^(1/52)-1.</t>
  </si>
  <si>
    <t>Solo es una referencia</t>
  </si>
  <si>
    <t xml:space="preserve">Todos los clientes tendran el pago de servicios complementarios. El caso 1 los valida. En los demás casos no se simulan ya que los casos se centran en la amortización del crédito. </t>
  </si>
  <si>
    <t>Prelación aplicación de abonos para el caso: 1. Intereses de mora 2. Intereses corrientes 3. Amortización de capital</t>
  </si>
  <si>
    <t>Prelación aplicación de abonos: 1. Gastos de cobranza 2. Intereses de mora 3. Intereses corrientes 4. Amortización de capital</t>
  </si>
  <si>
    <t>Cliente paga todas las cuotas a tiempo.</t>
  </si>
  <si>
    <t>Durante la amortización del crédito, la tasa EA cambia. Se conserva la fecha final y se recalcula prospectivamente la cuota con la nueva tasa.</t>
  </si>
  <si>
    <t>Cliente cancela el saldo total de capital antes de la fecha de finalización esperada del crédito.</t>
  </si>
  <si>
    <t>Cliente hace un abono extra despúes de la cuota ordinaria. Pide mantener constante el valor de las siguientes cuotas y reducir el plazo restante de financiación.</t>
  </si>
  <si>
    <t>Cliente hace un abono extra despúes de la cuota ordinaria. Pide mantener el plazo restante de financiación y reducir el valor de las siguientes cuotas.</t>
  </si>
  <si>
    <t xml:space="preserve">Cliente paga una cuota parcialmente, luego vuelve a pagar cuotas por el valor inicialmente pactado. Se aplican saldos vencidos por prelación de aplicación de abonos. </t>
  </si>
  <si>
    <t>Cliente paga la totalidad de sus cuotas, pero con días de atraso a partir de un momento. Este atraso de pagos activa el cobro de gastos de gestión de cobranza al cliente y aplica saldos vencidos por prelación de aplicación de abonos.</t>
  </si>
  <si>
    <t>Seguro de vida. Porcentaje mensual sobre financiación</t>
  </si>
  <si>
    <t>FCC. Porcentaje mensual sobre financiación</t>
  </si>
  <si>
    <t>IVA servicios gravados (asistencias, garantías)</t>
  </si>
  <si>
    <t>#</t>
  </si>
  <si>
    <t>Observaciones</t>
  </si>
  <si>
    <t>FÁBRICA DE CRÉDITOS</t>
  </si>
  <si>
    <t>COP</t>
  </si>
  <si>
    <t>Plazo</t>
  </si>
  <si>
    <t>meses</t>
  </si>
  <si>
    <t>mensual</t>
  </si>
  <si>
    <t>CUOTA TOTAL AL CLIENTE</t>
  </si>
  <si>
    <t>Número de cuotas</t>
  </si>
  <si>
    <t>EA</t>
  </si>
  <si>
    <t>días</t>
  </si>
  <si>
    <t>COP / mes</t>
  </si>
  <si>
    <t>mes</t>
  </si>
  <si>
    <t>n.º cuota</t>
  </si>
  <si>
    <t>Caso 2 · Cambio de tasa</t>
  </si>
  <si>
    <t>Caso 3 · Dación en pago</t>
  </si>
  <si>
    <t>capital + interés</t>
  </si>
  <si>
    <t>de la cuota</t>
  </si>
  <si>
    <t>①  CONDICIONES GENERALES DEL CRÉDITO</t>
  </si>
  <si>
    <t>②  SERVICIOS COMPLEMENTARIOS</t>
  </si>
  <si>
    <t>③  PARÁMETROS DE LOS CASOS SIMULADOS</t>
  </si>
  <si>
    <t>④  TOLERANCIAS DE VALIDACIÓN</t>
  </si>
  <si>
    <t>Unidad</t>
  </si>
  <si>
    <t>semanas / año</t>
  </si>
  <si>
    <t>semanas / mes</t>
  </si>
  <si>
    <t>cuotas semanales</t>
  </si>
  <si>
    <t>efectiva anual</t>
  </si>
  <si>
    <t>efectiva semanal</t>
  </si>
  <si>
    <t>efectiva diaria</t>
  </si>
  <si>
    <t>efectiva mensual</t>
  </si>
  <si>
    <t>COP / cuota</t>
  </si>
  <si>
    <t>FCC y asistencia</t>
  </si>
  <si>
    <t>tasa</t>
  </si>
  <si>
    <t>unidades</t>
  </si>
  <si>
    <t>exacto</t>
  </si>
  <si>
    <t>semanas</t>
  </si>
  <si>
    <t>COP / día</t>
  </si>
  <si>
    <t>COP / pago</t>
  </si>
  <si>
    <t>Caso 4 · Retoma</t>
  </si>
  <si>
    <t>Caso 5 · Prepago total</t>
  </si>
  <si>
    <t>Caso 6 · Menor plazo</t>
  </si>
  <si>
    <t>Caso 7 · Menor cuota</t>
  </si>
  <si>
    <t>Caso 8 · Pago inferior</t>
  </si>
  <si>
    <t>Caso 9 · Cobranza</t>
  </si>
  <si>
    <t>Parámetros de originación y simulación de cartera · Crédito de moto</t>
  </si>
  <si>
    <t>Ingrese datos únicamente en las celdas azules</t>
  </si>
  <si>
    <t>RESUMEN DEL CRÉDITO</t>
  </si>
  <si>
    <t>% de financiación (LTV)</t>
  </si>
  <si>
    <t>monto / valor moto</t>
  </si>
  <si>
    <t>Tasa efectiva anual</t>
  </si>
  <si>
    <t>Tasa periódica</t>
  </si>
  <si>
    <t>FCC + asist. + seguro</t>
  </si>
  <si>
    <t>por cuota semanal</t>
  </si>
  <si>
    <t>Pago total proyectado</t>
  </si>
  <si>
    <t>cuota total × n.º cuotas</t>
  </si>
  <si>
    <t>CONVENCIONES</t>
  </si>
  <si>
    <t>Dato de entrada (editable)</t>
  </si>
  <si>
    <t>Entrada</t>
  </si>
  <si>
    <t>Cálculo automático (no editar)</t>
  </si>
  <si>
    <t>Fórmula</t>
  </si>
  <si>
    <t>Resultado clave</t>
  </si>
  <si>
    <t>NAVEGACIÓN · HOJAS DEL MODELO</t>
  </si>
  <si>
    <t>→  Casos</t>
  </si>
  <si>
    <t>Resumen de casos</t>
  </si>
  <si>
    <t>→  Caso1_Normal</t>
  </si>
  <si>
    <t>→  Caso2_CambioTasa</t>
  </si>
  <si>
    <t>→  Caso3_Dacion</t>
  </si>
  <si>
    <t>→  Caso4_Retoma</t>
  </si>
  <si>
    <t>Retoma de moto</t>
  </si>
  <si>
    <t>→  Caso5_Prepago</t>
  </si>
  <si>
    <t>Prepago total</t>
  </si>
  <si>
    <t>→  Caso6_MenorPlazo</t>
  </si>
  <si>
    <t>Abono extra → menor plazo</t>
  </si>
  <si>
    <t>→  Caso7_MenorCuota</t>
  </si>
  <si>
    <t>Abono extra → menor cuota</t>
  </si>
  <si>
    <t>→  Caso8_PagoInferior</t>
  </si>
  <si>
    <t>Pago inferior a la cuota</t>
  </si>
  <si>
    <t>→  Caso9_Cobranza</t>
  </si>
  <si>
    <t>Pagos tardíos y cobranza</t>
  </si>
  <si>
    <t>→  Validaciones</t>
  </si>
  <si>
    <t>Controles del modelo</t>
  </si>
  <si>
    <t>FÁBRICA DE CRÉDITOS  ·  MODELO MAESTRO DE CASOS DE CARTERA</t>
  </si>
  <si>
    <t>Supuestos del modelo y catálogo de los 9 escenarios de amortización simulados · Haga clic en la hoja para abrir cada caso</t>
  </si>
  <si>
    <t>①  PRINCIPIOS Y SUPUESTOS DEL MODELO</t>
  </si>
  <si>
    <t>②  CASOS SIMULADOS</t>
  </si>
  <si>
    <t>←  Ir a la hoja de parámetros (Inputs)</t>
  </si>
  <si>
    <t>→  Ir a la hoja de casos (Casos)</t>
  </si>
  <si>
    <t>FÁBRICA DE CRÉDITOS  ·  CASO 4 · RETOMA CON EXCEDENTE  ·  Amortización esperada</t>
  </si>
  <si>
    <t>INDICADORES DEL CASO</t>
  </si>
  <si>
    <t>←  Volver a Casos</t>
  </si>
  <si>
    <t>←  Ir a Inputs (parámetros)</t>
  </si>
  <si>
    <t>FÁBRICA DE CRÉDITOS  ·  CASO 1 · OPERACIÓN NORMAL  ·  Amortización esperada</t>
  </si>
  <si>
    <t>FÁBRICA DE CRÉDITOS  ·  CASO 2 · CAMBIO DE TASA  ·  Amortización esperada</t>
  </si>
  <si>
    <t>FÁBRICA DE CRÉDITOS  ·  CASO 3 · DACIÓN EN PAGO  ·  Amortización esperada</t>
  </si>
  <si>
    <t>FÁBRICA DE CRÉDITOS  ·  CASO 5 · PAGO ANTICIPADO TOTAL  ·  Amortización esperada</t>
  </si>
  <si>
    <t>FÁBRICA DE CRÉDITOS  ·  CASO 6 · ABONO EXTRA COMO MENOR PLAZO  ·  Amortización esperada</t>
  </si>
  <si>
    <t>FÁBRICA DE CRÉDITOS  ·  CASO 7 · ABONO EXTRA COMO MENOR CUOTA  ·  Amortización esperada</t>
  </si>
  <si>
    <t>FÁBRICA DE CRÉDITOS  ·  CASO 8 · PAGO INFERIOR  ·  Amortización esperada</t>
  </si>
  <si>
    <t>FÁBRICA DE CRÉDITOS  ·  CASO 9 · PAGO TARDÍO Y GASTOS DE COBRANZA  ·  Amortización esperada</t>
  </si>
  <si>
    <t>Ítems de alistamiento (subtotal)</t>
  </si>
  <si>
    <t xml:space="preserve">   a. Matrícula y RUNT</t>
  </si>
  <si>
    <t xml:space="preserve">   b. SOAT</t>
  </si>
  <si>
    <t xml:space="preserve">   c. Constitución de prenda</t>
  </si>
  <si>
    <t>Tecnología (subtotal)</t>
  </si>
  <si>
    <t xml:space="preserve">   GPS y plataforma</t>
  </si>
  <si>
    <t>Gastos comerciales</t>
  </si>
  <si>
    <t>Monto financiado (valor final colocación)</t>
  </si>
  <si>
    <t>Servicios causados</t>
  </si>
  <si>
    <t>Pago servicios</t>
  </si>
  <si>
    <t>CxC servicios</t>
  </si>
  <si>
    <t>Pago recibido (cuota total)</t>
  </si>
  <si>
    <t>Servicios complementarios (FCC, asistencia, seguro)</t>
  </si>
  <si>
    <t>Aplicación del pago a servicios, después de intereses</t>
  </si>
  <si>
    <t>Recaudo efectivamente recibido (incluye servicios)</t>
  </si>
  <si>
    <t>Servicios pagados evento</t>
  </si>
  <si>
    <t>CxC servicios cierre evento</t>
  </si>
  <si>
    <t>% cuota total pagado</t>
  </si>
  <si>
    <t>Cuarta prioridad</t>
  </si>
  <si>
    <t>Recaudo de la cuota total (financiera + servicios)</t>
  </si>
  <si>
    <t>Servicios pagados primer atraso</t>
  </si>
  <si>
    <t>CxC servicios al horizonte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</si>
</sst>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164" formatCode="0;[Red]\(0\);\-"/>
    <numFmt numFmtId="165" formatCode="0.000000%;[Red]\(0.000000%\);\-"/>
    <numFmt numFmtId="166" formatCode="#,##0.00;[Red]\(#,##0.00\);\-"/>
    <numFmt numFmtId="167" formatCode="0.000000"/>
    <numFmt numFmtId="168" formatCode="0.0000"/>
    <numFmt numFmtId="169" formatCode="0.0%"/>
    <numFmt numFmtId="170" formatCode="0.0000%"/>
    <numFmt numFmtId="171" formatCode="&quot;$&quot;\ #,##0;\(&quot;$&quot;\ #,##0\);\-"/>
    <numFmt numFmtId="172" formatCode="&quot;$&quot;\ #,##0;[Red]\(&quot;$&quot;\ #,##0\);\-"/>
    <numFmt numFmtId="173" formatCode="&quot;✔ Cuadra&quot;;&quot;✖ Descuadre&quot;;&quot;✔ Cuadra&quot;"/>
  </numFmts>
  <fonts count="40">
    <font>
      <sz val="11"/>
      <name val="Carlito"/>
    </font>
    <font>
      <sz val="11"/>
      <name val="Carlito"/>
    </font>
    <font>
      <sz val="12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sz val="8"/>
      <name val="Carlito"/>
    </font>
    <font>
      <sz val="12"/>
      <color rgb="FF0000FF"/>
      <name val="Calibri"/>
      <family val="2"/>
    </font>
    <font>
      <b/>
      <sz val="12"/>
      <color theme="0"/>
      <name val="Calibri"/>
      <family val="2"/>
    </font>
    <font>
      <sz val="10"/>
      <color rgb="FF1E2A3A"/>
      <name val="Segoe UI"/>
      <family val="2"/>
    </font>
    <font>
      <b/>
      <sz val="10"/>
      <color rgb="FF1F3B63"/>
      <name val="Segoe UI"/>
      <family val="2"/>
    </font>
    <font>
      <b/>
      <sz val="10.5"/>
      <color rgb="FFFFFFFF"/>
      <name val="Segoe UI"/>
      <family val="2"/>
    </font>
    <font>
      <b/>
      <sz val="10"/>
      <color rgb="FF0000FF"/>
      <name val="Segoe UI"/>
      <family val="2"/>
    </font>
    <font>
      <i/>
      <sz val="9"/>
      <color rgb="FF7A8799"/>
      <name val="Segoe UI"/>
      <family val="2"/>
    </font>
    <font>
      <b/>
      <sz val="11"/>
      <color rgb="FF0B1F3A"/>
      <name val="Segoe UI"/>
      <family val="2"/>
    </font>
    <font>
      <b/>
      <sz val="9"/>
      <color rgb="FF1F3B63"/>
      <name val="Segoe UI"/>
      <family val="2"/>
    </font>
    <font>
      <b/>
      <sz val="10"/>
      <color rgb="FFFFFFFF"/>
      <name val="Segoe UI"/>
      <family val="2"/>
    </font>
    <font>
      <b/>
      <sz val="13"/>
      <color rgb="FFFFFFFF"/>
      <name val="Segoe UI"/>
      <family val="2"/>
    </font>
    <font>
      <b/>
      <i/>
      <sz val="9"/>
      <color rgb="FFE6FFFE"/>
      <name val="Segoe UI"/>
      <family val="2"/>
    </font>
    <font>
      <sz val="10"/>
      <color rgb="FF000000"/>
      <name val="Segoe UI"/>
      <family val="2"/>
    </font>
    <font>
      <b/>
      <sz val="10"/>
      <color rgb="FF1E2A3A"/>
      <name val="Segoe UI"/>
      <family val="2"/>
    </font>
    <font>
      <b/>
      <sz val="10"/>
      <color rgb="FF000000"/>
      <name val="Segoe UI"/>
      <family val="2"/>
    </font>
    <font>
      <u/>
      <sz val="11"/>
      <color theme="10"/>
      <name val="Carlito"/>
    </font>
    <font>
      <b/>
      <i/>
      <sz val="9"/>
      <color rgb="FFFFFFFF"/>
      <name val="Segoe UI"/>
      <family val="2"/>
    </font>
    <font>
      <b/>
      <sz val="12"/>
      <color rgb="FFFFFFFF"/>
      <name val="Segoe UI"/>
      <family val="2"/>
    </font>
    <font>
      <sz val="9"/>
      <color rgb="FFB5C0CE"/>
      <name val="Segoe UI"/>
      <family val="2"/>
    </font>
    <font>
      <b/>
      <sz val="18"/>
      <color rgb="FFFFFFFF"/>
      <name val="Carlito"/>
    </font>
    <font>
      <sz val="9"/>
      <color rgb="FFA9C1E0"/>
      <name val="Carlito"/>
    </font>
    <font>
      <b/>
      <sz val="9"/>
      <color rgb="FFFFFFFF"/>
      <name val="Carlito"/>
    </font>
    <font>
      <sz val="11"/>
      <color rgb="FF0563C1"/>
      <name val="Carlito"/>
    </font>
    <font>
      <i/>
      <sz val="9"/>
      <color rgb="FF7A8799"/>
      <name val="Carlito"/>
    </font>
    <font>
      <b/>
      <sz val="18"/>
      <color rgb="FFFFFFFF"/>
      <name val="Segoe UI"/>
      <family val="2"/>
    </font>
    <font>
      <b/>
      <sz val="11"/>
      <color rgb="FF0563C1"/>
      <name val="Carlito"/>
    </font>
    <font>
      <b/>
      <sz val="10"/>
      <color rgb="FF0563C1"/>
      <name val="Segoe UI"/>
      <family val="2"/>
    </font>
    <font>
      <b/>
      <sz val="14"/>
      <color rgb="FFFFFFFF"/>
      <name val="Segoe UI"/>
      <family val="2"/>
    </font>
    <font>
      <b/>
      <sz val="9"/>
      <color rgb="FFFFFFFF"/>
      <name val="Segoe UI"/>
      <family val="2"/>
    </font>
    <font>
      <b/>
      <sz val="10"/>
      <color rgb="FF0B1F3A"/>
      <name val="Segoe UI"/>
      <family val="2"/>
    </font>
    <font>
      <i/>
      <sz val="9"/>
      <color rgb="FF5B6B80"/>
      <name val="Segoe UI"/>
      <family val="2"/>
    </font>
    <font>
      <sz val="10"/>
      <color rgb="FFFF0000"/>
      <name val="Segoe UI"/>
      <family val="2"/>
    </font>
    <font>
      <sz val="9"/>
      <color rgb="FF1E2A3A"/>
      <name val="Segoe UI"/>
      <family val="2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2F5F9"/>
        <bgColor indexed="64"/>
      </patternFill>
    </fill>
    <fill>
      <patternFill patternType="solid">
        <fgColor rgb="FF0B1F3A"/>
        <bgColor indexed="64"/>
      </patternFill>
    </fill>
    <fill>
      <patternFill patternType="solid">
        <fgColor rgb="FF00A3A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3B63"/>
        <bgColor indexed="64"/>
      </patternFill>
    </fill>
    <fill>
      <patternFill patternType="solid">
        <fgColor rgb="FFEAF2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7FAFD"/>
        <bgColor indexed="64"/>
      </patternFill>
    </fill>
  </fills>
  <borders count="39">
    <border>
      <left/>
      <right/>
      <top/>
      <bottom/>
      <diagonal/>
    </border>
    <border>
      <left/>
      <right/>
      <top/>
      <bottom/>
      <diagonal/>
    </border>
    <border>
      <left style="thin">
        <color rgb="FFD5DEEA"/>
      </left>
      <right/>
      <top style="thin">
        <color rgb="FFD5DEEA"/>
      </top>
      <bottom style="thin">
        <color rgb="FFE6ECF3"/>
      </bottom>
      <diagonal/>
    </border>
    <border>
      <left style="thin">
        <color rgb="FF8FB0E0"/>
      </left>
      <right style="thin">
        <color rgb="FF8FB0E0"/>
      </right>
      <top style="thin">
        <color rgb="FF8FB0E0"/>
      </top>
      <bottom/>
      <diagonal/>
    </border>
    <border>
      <left/>
      <right style="thin">
        <color rgb="FFD5DEEA"/>
      </right>
      <top style="thin">
        <color rgb="FFD5DEEA"/>
      </top>
      <bottom style="thin">
        <color rgb="FFE6ECF3"/>
      </bottom>
      <diagonal/>
    </border>
    <border>
      <left/>
      <right/>
      <top style="thin">
        <color rgb="FFD5DEEA"/>
      </top>
      <bottom style="thin">
        <color rgb="FFE6ECF3"/>
      </bottom>
      <diagonal/>
    </border>
    <border>
      <left style="thin">
        <color rgb="FFD5DEEA"/>
      </left>
      <right/>
      <top style="thin">
        <color rgb="FFE6ECF3"/>
      </top>
      <bottom style="thin">
        <color rgb="FFE6ECF3"/>
      </bottom>
      <diagonal/>
    </border>
    <border>
      <left/>
      <right style="thin">
        <color rgb="FFD5DEEA"/>
      </right>
      <top style="thin">
        <color rgb="FFE6ECF3"/>
      </top>
      <bottom style="thin">
        <color rgb="FFE6ECF3"/>
      </bottom>
      <diagonal/>
    </border>
    <border>
      <left/>
      <right/>
      <top style="thin">
        <color rgb="FFE6ECF3"/>
      </top>
      <bottom style="thin">
        <color rgb="FFE6ECF3"/>
      </bottom>
      <diagonal/>
    </border>
    <border>
      <left style="thin">
        <color rgb="FF8FB0E0"/>
      </left>
      <right style="thin">
        <color rgb="FF8FB0E0"/>
      </right>
      <top style="thin">
        <color rgb="FF8FB0E0"/>
      </top>
      <bottom style="thin">
        <color rgb="FF8FB0E0"/>
      </bottom>
      <diagonal/>
    </border>
    <border>
      <left/>
      <right/>
      <top/>
      <bottom style="thin">
        <color rgb="FFE6ECF3"/>
      </bottom>
      <diagonal/>
    </border>
    <border>
      <left style="thin">
        <color rgb="FFD5DEEA"/>
      </left>
      <right/>
      <top style="thin">
        <color rgb="FFE6ECF3"/>
      </top>
      <bottom style="thin">
        <color rgb="FFD5DEEA"/>
      </bottom>
      <diagonal/>
    </border>
    <border>
      <left/>
      <right/>
      <top style="thin">
        <color rgb="FFE6ECF3"/>
      </top>
      <bottom style="thin">
        <color rgb="FFD5DEEA"/>
      </bottom>
      <diagonal/>
    </border>
    <border>
      <left/>
      <right style="thin">
        <color rgb="FFD5DEEA"/>
      </right>
      <top style="thin">
        <color rgb="FFE6ECF3"/>
      </top>
      <bottom style="thin">
        <color rgb="FFD5DEEA"/>
      </bottom>
      <diagonal/>
    </border>
    <border>
      <left/>
      <right style="thin">
        <color rgb="FFD5DEEA"/>
      </right>
      <top/>
      <bottom style="thin">
        <color rgb="FFE6ECF3"/>
      </bottom>
      <diagonal/>
    </border>
    <border>
      <left/>
      <right/>
      <top style="thin">
        <color rgb="FFD5DEEA"/>
      </top>
      <bottom/>
      <diagonal/>
    </border>
    <border>
      <left/>
      <right style="thin">
        <color rgb="FFD5DEEA"/>
      </right>
      <top style="thin">
        <color rgb="FFD5DEEA"/>
      </top>
      <bottom/>
      <diagonal/>
    </border>
    <border>
      <left style="thin">
        <color rgb="FFD5DEEA"/>
      </left>
      <right/>
      <top style="thin">
        <color rgb="FFE6ECF3"/>
      </top>
      <bottom/>
      <diagonal/>
    </border>
    <border>
      <left/>
      <right/>
      <top style="thin">
        <color rgb="FFE6ECF3"/>
      </top>
      <bottom/>
      <diagonal/>
    </border>
    <border>
      <left/>
      <right style="thin">
        <color rgb="FFD5DEEA"/>
      </right>
      <top style="thin">
        <color rgb="FFE6ECF3"/>
      </top>
      <bottom/>
      <diagonal/>
    </border>
    <border>
      <left style="thin">
        <color rgb="FFD5DEEA"/>
      </left>
      <right/>
      <top style="thin">
        <color rgb="FF1F3B63"/>
      </top>
      <bottom style="thin">
        <color rgb="FFD5DEEA"/>
      </bottom>
      <diagonal/>
    </border>
    <border>
      <left/>
      <right/>
      <top style="thin">
        <color rgb="FF1F3B63"/>
      </top>
      <bottom style="thin">
        <color rgb="FFD5DEEA"/>
      </bottom>
      <diagonal/>
    </border>
    <border>
      <left/>
      <right style="thin">
        <color rgb="FFD5DEEA"/>
      </right>
      <top style="thin">
        <color rgb="FF1F3B63"/>
      </top>
      <bottom style="thin">
        <color rgb="FFD5DEEA"/>
      </bottom>
      <diagonal/>
    </border>
    <border>
      <left/>
      <right/>
      <top/>
      <bottom style="thin">
        <color rgb="FFD5DEEA"/>
      </bottom>
      <diagonal/>
    </border>
    <border>
      <left style="thin">
        <color rgb="FFD5DEEA"/>
      </left>
      <right/>
      <top style="thin">
        <color rgb="FFD5DEEA"/>
      </top>
      <bottom/>
      <diagonal/>
    </border>
    <border>
      <left style="thin">
        <color rgb="FFD5DEEA"/>
      </left>
      <right style="thin">
        <color rgb="FFD5DEEA"/>
      </right>
      <top style="thin">
        <color rgb="FFD5DEEA"/>
      </top>
      <bottom style="thin">
        <color rgb="FFD5DEEA"/>
      </bottom>
      <diagonal/>
    </border>
    <border>
      <left style="thin">
        <color rgb="FFD5DEEA"/>
      </left>
      <right/>
      <top/>
      <bottom style="thin">
        <color rgb="FFE6ECF3"/>
      </bottom>
      <diagonal/>
    </border>
    <border>
      <left style="thin">
        <color rgb="FFD5DEEA"/>
      </left>
      <right/>
      <top style="thin">
        <color rgb="FFD5DEEA"/>
      </top>
      <bottom style="thin">
        <color rgb="FF8FB0E0"/>
      </bottom>
      <diagonal/>
    </border>
    <border>
      <left/>
      <right/>
      <top style="thin">
        <color rgb="FFD5DEEA"/>
      </top>
      <bottom style="thin">
        <color rgb="FF8FB0E0"/>
      </bottom>
      <diagonal/>
    </border>
    <border>
      <left/>
      <right style="thin">
        <color rgb="FFD5DEEA"/>
      </right>
      <top style="thin">
        <color rgb="FFD5DEEA"/>
      </top>
      <bottom style="thin">
        <color rgb="FF8FB0E0"/>
      </bottom>
      <diagonal/>
    </border>
    <border>
      <left/>
      <right/>
      <top style="thin">
        <color rgb="FF8FB0E0"/>
      </top>
      <bottom style="thin">
        <color rgb="FFE6ECF3"/>
      </bottom>
      <diagonal/>
    </border>
    <border>
      <left style="thin">
        <color rgb="FFD5DEEA"/>
      </left>
      <right/>
      <top style="thin">
        <color rgb="FF8FB0E0"/>
      </top>
      <bottom style="thin">
        <color rgb="FFE6ECF3"/>
      </bottom>
      <diagonal/>
    </border>
    <border>
      <left/>
      <right style="thin">
        <color rgb="FFD5DEEA"/>
      </right>
      <top style="thin">
        <color rgb="FF8FB0E0"/>
      </top>
      <bottom style="thin">
        <color rgb="FFE6ECF3"/>
      </bottom>
      <diagonal/>
    </border>
    <border>
      <left style="thin">
        <color rgb="FFD5DEEA"/>
      </left>
      <right/>
      <top style="thin">
        <color rgb="FFD5DEEA"/>
      </top>
      <bottom style="thin">
        <color rgb="FFFFFFFF"/>
      </bottom>
      <diagonal/>
    </border>
    <border>
      <left style="thin">
        <color rgb="FFD5DEEA"/>
      </left>
      <right/>
      <top style="thin">
        <color rgb="FFFFFFFF"/>
      </top>
      <bottom style="thin">
        <color rgb="FFFFFFFF"/>
      </bottom>
      <diagonal/>
    </border>
    <border>
      <left style="thin">
        <color rgb="FFD5DEEA"/>
      </left>
      <right/>
      <top style="thin">
        <color rgb="FFFFFFFF"/>
      </top>
      <bottom style="thin">
        <color rgb="FFD5DEEA"/>
      </bottom>
      <diagonal/>
    </border>
    <border>
      <left/>
      <right style="thin">
        <color rgb="FF3A5A85"/>
      </right>
      <top/>
      <bottom/>
      <diagonal/>
    </border>
    <border>
      <left style="thin">
        <color rgb="FF3A5A85"/>
      </left>
      <right style="thin">
        <color rgb="FF3A5A85"/>
      </right>
      <top/>
      <bottom/>
      <diagonal/>
    </border>
    <border>
      <left style="thin">
        <color rgb="FF3A5A85"/>
      </left>
      <right/>
      <top/>
      <bottom/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1"/>
    <xf numFmtId="0" fontId="22" fillId="0" borderId="0" applyNumberFormat="0" applyFill="0" applyBorder="0" applyAlignment="0" applyProtection="0"/>
  </cellStyleXfs>
  <cellXfs count="237">
    <xf numFmtId="0" fontId="0" fillId="0" borderId="0" xfId="0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8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6" fontId="2" fillId="0" borderId="1" xfId="0" applyNumberFormat="1" applyFont="1" applyBorder="1" applyAlignment="1">
      <alignment horizontal="center" wrapText="1"/>
    </xf>
    <xf numFmtId="167" fontId="2" fillId="0" borderId="1" xfId="0" applyNumberFormat="1" applyFont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166" fontId="7" fillId="3" borderId="1" xfId="0" applyNumberFormat="1" applyFont="1" applyFill="1" applyBorder="1" applyAlignment="1">
      <alignment horizontal="center" wrapText="1"/>
    </xf>
    <xf numFmtId="165" fontId="7" fillId="3" borderId="1" xfId="0" applyNumberFormat="1" applyFont="1" applyFill="1" applyBorder="1" applyAlignment="1">
      <alignment horizontal="center" wrapText="1"/>
    </xf>
    <xf numFmtId="164" fontId="7" fillId="3" borderId="1" xfId="0" applyNumberFormat="1" applyFont="1" applyFill="1" applyBorder="1" applyAlignment="1">
      <alignment horizontal="center" wrapText="1"/>
    </xf>
    <xf numFmtId="0" fontId="9" fillId="4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/>
    </xf>
    <xf numFmtId="0" fontId="9" fillId="7" borderId="7" xfId="0" applyFont="1" applyFill="1" applyBorder="1" applyAlignment="1">
      <alignment vertical="center"/>
    </xf>
    <xf numFmtId="0" fontId="9" fillId="7" borderId="13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9" fillId="7" borderId="14" xfId="0" applyFont="1" applyFill="1" applyBorder="1" applyAlignment="1">
      <alignment vertical="center"/>
    </xf>
    <xf numFmtId="0" fontId="15" fillId="10" borderId="28" xfId="0" applyFont="1" applyFill="1" applyBorder="1" applyAlignment="1">
      <alignment horizontal="center" vertical="center" wrapText="1"/>
    </xf>
    <xf numFmtId="0" fontId="15" fillId="10" borderId="29" xfId="0" applyFont="1" applyFill="1" applyBorder="1" applyAlignment="1">
      <alignment horizontal="center" vertical="center"/>
    </xf>
    <xf numFmtId="0" fontId="13" fillId="7" borderId="10" xfId="0" applyFont="1" applyFill="1" applyBorder="1" applyAlignment="1">
      <alignment horizontal="left" vertical="center" wrapText="1"/>
    </xf>
    <xf numFmtId="0" fontId="13" fillId="7" borderId="8" xfId="0" applyFont="1" applyFill="1" applyBorder="1" applyAlignment="1">
      <alignment horizontal="left" vertical="center" wrapText="1"/>
    </xf>
    <xf numFmtId="0" fontId="13" fillId="7" borderId="12" xfId="0" applyFont="1" applyFill="1" applyBorder="1" applyAlignment="1">
      <alignment horizontal="left" vertical="center" wrapText="1"/>
    </xf>
    <xf numFmtId="0" fontId="13" fillId="7" borderId="7" xfId="0" applyFont="1" applyFill="1" applyBorder="1" applyAlignment="1">
      <alignment vertical="center"/>
    </xf>
    <xf numFmtId="0" fontId="13" fillId="7" borderId="13" xfId="0" applyFont="1" applyFill="1" applyBorder="1" applyAlignment="1">
      <alignment vertical="center"/>
    </xf>
    <xf numFmtId="0" fontId="13" fillId="7" borderId="7" xfId="0" applyFont="1" applyFill="1" applyBorder="1" applyAlignment="1">
      <alignment horizontal="left" vertical="center"/>
    </xf>
    <xf numFmtId="164" fontId="19" fillId="7" borderId="10" xfId="0" applyNumberFormat="1" applyFont="1" applyFill="1" applyBorder="1" applyAlignment="1">
      <alignment horizontal="right" vertical="center" wrapText="1"/>
    </xf>
    <xf numFmtId="172" fontId="19" fillId="7" borderId="10" xfId="0" applyNumberFormat="1" applyFont="1" applyFill="1" applyBorder="1" applyAlignment="1">
      <alignment horizontal="right" vertical="center" wrapText="1"/>
    </xf>
    <xf numFmtId="172" fontId="19" fillId="7" borderId="8" xfId="0" applyNumberFormat="1" applyFont="1" applyFill="1" applyBorder="1" applyAlignment="1">
      <alignment horizontal="right" vertical="center" wrapText="1"/>
    </xf>
    <xf numFmtId="170" fontId="19" fillId="7" borderId="8" xfId="2" applyNumberFormat="1" applyFont="1" applyFill="1" applyBorder="1" applyAlignment="1">
      <alignment horizontal="right" vertical="center" wrapText="1"/>
    </xf>
    <xf numFmtId="0" fontId="15" fillId="10" borderId="15" xfId="0" applyFont="1" applyFill="1" applyBorder="1" applyAlignment="1">
      <alignment horizontal="center" vertical="center" wrapText="1"/>
    </xf>
    <xf numFmtId="168" fontId="19" fillId="7" borderId="10" xfId="0" applyNumberFormat="1" applyFont="1" applyFill="1" applyBorder="1" applyAlignment="1">
      <alignment horizontal="right" vertical="center" wrapText="1"/>
    </xf>
    <xf numFmtId="172" fontId="12" fillId="9" borderId="9" xfId="0" applyNumberFormat="1" applyFont="1" applyFill="1" applyBorder="1" applyAlignment="1">
      <alignment horizontal="right" vertical="center" wrapText="1"/>
    </xf>
    <xf numFmtId="164" fontId="12" fillId="9" borderId="9" xfId="0" applyNumberFormat="1" applyFont="1" applyFill="1" applyBorder="1" applyAlignment="1">
      <alignment horizontal="right" vertical="center" wrapText="1"/>
    </xf>
    <xf numFmtId="164" fontId="19" fillId="7" borderId="18" xfId="0" applyNumberFormat="1" applyFont="1" applyFill="1" applyBorder="1" applyAlignment="1">
      <alignment horizontal="right" vertical="center" wrapText="1"/>
    </xf>
    <xf numFmtId="170" fontId="19" fillId="7" borderId="10" xfId="2" applyNumberFormat="1" applyFont="1" applyFill="1" applyBorder="1" applyAlignment="1">
      <alignment horizontal="right" vertical="center" wrapText="1"/>
    </xf>
    <xf numFmtId="10" fontId="12" fillId="9" borderId="9" xfId="2" applyNumberFormat="1" applyFont="1" applyFill="1" applyBorder="1" applyAlignment="1">
      <alignment horizontal="right" vertical="center" wrapText="1"/>
    </xf>
    <xf numFmtId="9" fontId="12" fillId="9" borderId="9" xfId="2" applyFont="1" applyFill="1" applyBorder="1" applyAlignment="1">
      <alignment horizontal="right" vertical="center" wrapText="1"/>
    </xf>
    <xf numFmtId="164" fontId="19" fillId="7" borderId="1" xfId="0" applyNumberFormat="1" applyFont="1" applyFill="1" applyBorder="1" applyAlignment="1">
      <alignment horizontal="right" vertical="center" wrapText="1"/>
    </xf>
    <xf numFmtId="172" fontId="12" fillId="9" borderId="9" xfId="1" applyNumberFormat="1" applyFont="1" applyFill="1" applyBorder="1" applyAlignment="1">
      <alignment horizontal="right" vertical="center" wrapText="1"/>
    </xf>
    <xf numFmtId="167" fontId="12" fillId="9" borderId="9" xfId="0" applyNumberFormat="1" applyFont="1" applyFill="1" applyBorder="1" applyAlignment="1">
      <alignment horizontal="right" vertical="center" wrapText="1"/>
    </xf>
    <xf numFmtId="172" fontId="21" fillId="7" borderId="12" xfId="0" applyNumberFormat="1" applyFont="1" applyFill="1" applyBorder="1" applyAlignment="1">
      <alignment horizontal="right" vertical="center" wrapText="1"/>
    </xf>
    <xf numFmtId="0" fontId="23" fillId="6" borderId="12" xfId="0" applyFont="1" applyFill="1" applyBorder="1" applyAlignment="1">
      <alignment horizontal="left" vertical="center" wrapText="1"/>
    </xf>
    <xf numFmtId="172" fontId="24" fillId="6" borderId="12" xfId="0" applyNumberFormat="1" applyFont="1" applyFill="1" applyBorder="1" applyAlignment="1">
      <alignment horizontal="right" vertical="center" wrapText="1"/>
    </xf>
    <xf numFmtId="172" fontId="21" fillId="7" borderId="8" xfId="0" applyNumberFormat="1" applyFont="1" applyFill="1" applyBorder="1" applyAlignment="1">
      <alignment horizontal="right" vertical="center" wrapText="1"/>
    </xf>
    <xf numFmtId="0" fontId="13" fillId="7" borderId="32" xfId="0" applyFont="1" applyFill="1" applyBorder="1" applyAlignment="1">
      <alignment horizontal="left" vertical="center"/>
    </xf>
    <xf numFmtId="0" fontId="15" fillId="10" borderId="16" xfId="0" applyFont="1" applyFill="1" applyBorder="1" applyAlignment="1">
      <alignment horizontal="center" vertical="center"/>
    </xf>
    <xf numFmtId="0" fontId="13" fillId="11" borderId="7" xfId="0" applyFont="1" applyFill="1" applyBorder="1" applyAlignment="1">
      <alignment horizontal="left" vertical="center"/>
    </xf>
    <xf numFmtId="164" fontId="19" fillId="11" borderId="1" xfId="0" applyNumberFormat="1" applyFont="1" applyFill="1" applyBorder="1" applyAlignment="1">
      <alignment horizontal="right" vertical="center" wrapText="1"/>
    </xf>
    <xf numFmtId="164" fontId="19" fillId="11" borderId="10" xfId="0" applyNumberFormat="1" applyFont="1" applyFill="1" applyBorder="1" applyAlignment="1">
      <alignment horizontal="right" vertical="center" wrapText="1"/>
    </xf>
    <xf numFmtId="164" fontId="19" fillId="11" borderId="18" xfId="0" applyNumberFormat="1" applyFont="1" applyFill="1" applyBorder="1" applyAlignment="1">
      <alignment horizontal="right" vertical="center" wrapText="1"/>
    </xf>
    <xf numFmtId="0" fontId="13" fillId="7" borderId="19" xfId="0" applyFont="1" applyFill="1" applyBorder="1" applyAlignment="1">
      <alignment horizontal="left" vertical="center"/>
    </xf>
    <xf numFmtId="0" fontId="13" fillId="11" borderId="32" xfId="0" applyFont="1" applyFill="1" applyBorder="1" applyAlignment="1">
      <alignment horizontal="left" vertical="center"/>
    </xf>
    <xf numFmtId="0" fontId="13" fillId="11" borderId="19" xfId="0" applyFont="1" applyFill="1" applyBorder="1" applyAlignment="1">
      <alignment horizontal="left" vertical="center"/>
    </xf>
    <xf numFmtId="172" fontId="19" fillId="11" borderId="10" xfId="0" applyNumberFormat="1" applyFont="1" applyFill="1" applyBorder="1" applyAlignment="1">
      <alignment horizontal="right" vertical="center" wrapText="1"/>
    </xf>
    <xf numFmtId="0" fontId="13" fillId="11" borderId="13" xfId="0" applyFont="1" applyFill="1" applyBorder="1" applyAlignment="1">
      <alignment horizontal="left" vertical="center"/>
    </xf>
    <xf numFmtId="164" fontId="12" fillId="9" borderId="3" xfId="0" applyNumberFormat="1" applyFont="1" applyFill="1" applyBorder="1" applyAlignment="1">
      <alignment horizontal="right" vertical="center" wrapText="1"/>
    </xf>
    <xf numFmtId="164" fontId="9" fillId="4" borderId="1" xfId="0" applyNumberFormat="1" applyFont="1" applyFill="1" applyBorder="1" applyAlignment="1">
      <alignment vertical="center"/>
    </xf>
    <xf numFmtId="172" fontId="14" fillId="7" borderId="5" xfId="0" applyNumberFormat="1" applyFont="1" applyFill="1" applyBorder="1" applyAlignment="1">
      <alignment horizontal="right" vertical="center"/>
    </xf>
    <xf numFmtId="172" fontId="14" fillId="7" borderId="8" xfId="0" applyNumberFormat="1" applyFont="1" applyFill="1" applyBorder="1" applyAlignment="1">
      <alignment horizontal="right" vertical="center"/>
    </xf>
    <xf numFmtId="10" fontId="14" fillId="7" borderId="8" xfId="0" applyNumberFormat="1" applyFont="1" applyFill="1" applyBorder="1" applyAlignment="1">
      <alignment horizontal="right" vertical="center"/>
    </xf>
    <xf numFmtId="170" fontId="14" fillId="7" borderId="8" xfId="0" applyNumberFormat="1" applyFont="1" applyFill="1" applyBorder="1" applyAlignment="1">
      <alignment horizontal="right" vertical="center"/>
    </xf>
    <xf numFmtId="0" fontId="13" fillId="7" borderId="4" xfId="0" applyFont="1" applyFill="1" applyBorder="1" applyAlignment="1">
      <alignment vertical="center"/>
    </xf>
    <xf numFmtId="172" fontId="14" fillId="7" borderId="12" xfId="0" applyNumberFormat="1" applyFont="1" applyFill="1" applyBorder="1" applyAlignment="1">
      <alignment horizontal="right" vertical="center"/>
    </xf>
    <xf numFmtId="169" fontId="14" fillId="7" borderId="8" xfId="0" applyNumberFormat="1" applyFont="1" applyFill="1" applyBorder="1" applyAlignment="1">
      <alignment horizontal="right" vertical="center"/>
    </xf>
    <xf numFmtId="1" fontId="14" fillId="7" borderId="8" xfId="0" applyNumberFormat="1" applyFont="1" applyFill="1" applyBorder="1" applyAlignment="1">
      <alignment horizontal="right" vertical="center"/>
    </xf>
    <xf numFmtId="172" fontId="17" fillId="6" borderId="8" xfId="0" applyNumberFormat="1" applyFont="1" applyFill="1" applyBorder="1" applyAlignment="1">
      <alignment horizontal="right" vertical="center"/>
    </xf>
    <xf numFmtId="0" fontId="18" fillId="6" borderId="7" xfId="0" applyFont="1" applyFill="1" applyBorder="1" applyAlignment="1">
      <alignment vertical="center"/>
    </xf>
    <xf numFmtId="0" fontId="9" fillId="7" borderId="8" xfId="0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0" fontId="12" fillId="9" borderId="3" xfId="0" applyFont="1" applyFill="1" applyBorder="1" applyAlignment="1">
      <alignment horizontal="center" vertical="center"/>
    </xf>
    <xf numFmtId="0" fontId="19" fillId="7" borderId="25" xfId="0" applyFont="1" applyFill="1" applyBorder="1" applyAlignment="1">
      <alignment horizontal="center" vertical="center"/>
    </xf>
    <xf numFmtId="0" fontId="16" fillId="6" borderId="23" xfId="0" applyFont="1" applyFill="1" applyBorder="1" applyAlignment="1">
      <alignment horizontal="center" vertical="center"/>
    </xf>
    <xf numFmtId="0" fontId="9" fillId="7" borderId="26" xfId="0" applyFont="1" applyFill="1" applyBorder="1" applyAlignment="1">
      <alignment vertical="center" wrapText="1" indent="1"/>
    </xf>
    <xf numFmtId="0" fontId="9" fillId="7" borderId="6" xfId="0" applyFont="1" applyFill="1" applyBorder="1" applyAlignment="1">
      <alignment vertical="center" wrapText="1" indent="1"/>
    </xf>
    <xf numFmtId="0" fontId="20" fillId="7" borderId="11" xfId="0" applyFont="1" applyFill="1" applyBorder="1" applyAlignment="1">
      <alignment vertical="center" wrapText="1" indent="1"/>
    </xf>
    <xf numFmtId="0" fontId="20" fillId="7" borderId="6" xfId="0" applyFont="1" applyFill="1" applyBorder="1" applyAlignment="1">
      <alignment vertical="center" wrapText="1" indent="1"/>
    </xf>
    <xf numFmtId="0" fontId="16" fillId="6" borderId="11" xfId="0" applyFont="1" applyFill="1" applyBorder="1" applyAlignment="1">
      <alignment vertical="center" wrapText="1" indent="1"/>
    </xf>
    <xf numFmtId="0" fontId="9" fillId="7" borderId="30" xfId="0" applyFont="1" applyFill="1" applyBorder="1" applyAlignment="1">
      <alignment vertical="center" wrapText="1" indent="1"/>
    </xf>
    <xf numFmtId="0" fontId="9" fillId="7" borderId="8" xfId="0" applyFont="1" applyFill="1" applyBorder="1" applyAlignment="1">
      <alignment vertical="center" wrapText="1" indent="1"/>
    </xf>
    <xf numFmtId="0" fontId="9" fillId="7" borderId="18" xfId="0" applyFont="1" applyFill="1" applyBorder="1" applyAlignment="1">
      <alignment vertical="center" wrapText="1" indent="1"/>
    </xf>
    <xf numFmtId="0" fontId="9" fillId="11" borderId="30" xfId="0" applyFont="1" applyFill="1" applyBorder="1" applyAlignment="1">
      <alignment vertical="center" wrapText="1" indent="1"/>
    </xf>
    <xf numFmtId="0" fontId="9" fillId="11" borderId="8" xfId="0" applyFont="1" applyFill="1" applyBorder="1" applyAlignment="1">
      <alignment vertical="center" wrapText="1" indent="1"/>
    </xf>
    <xf numFmtId="0" fontId="9" fillId="11" borderId="18" xfId="0" applyFont="1" applyFill="1" applyBorder="1" applyAlignment="1">
      <alignment vertical="center" wrapText="1" indent="1"/>
    </xf>
    <xf numFmtId="0" fontId="9" fillId="11" borderId="12" xfId="0" applyFont="1" applyFill="1" applyBorder="1" applyAlignment="1">
      <alignment vertical="center" wrapText="1" indent="1"/>
    </xf>
    <xf numFmtId="0" fontId="9" fillId="7" borderId="26" xfId="0" applyFont="1" applyFill="1" applyBorder="1" applyAlignment="1">
      <alignment horizontal="left" vertical="center" wrapText="1" indent="1"/>
    </xf>
    <xf numFmtId="0" fontId="9" fillId="7" borderId="6" xfId="0" applyFont="1" applyFill="1" applyBorder="1" applyAlignment="1">
      <alignment horizontal="left" vertical="center" wrapText="1" indent="1"/>
    </xf>
    <xf numFmtId="0" fontId="9" fillId="7" borderId="11" xfId="0" applyFont="1" applyFill="1" applyBorder="1" applyAlignment="1">
      <alignment horizontal="left" vertical="center" wrapText="1" indent="1"/>
    </xf>
    <xf numFmtId="0" fontId="11" fillId="8" borderId="1" xfId="0" applyFont="1" applyFill="1" applyBorder="1" applyAlignment="1">
      <alignment horizontal="left" vertical="center" indent="1"/>
    </xf>
    <xf numFmtId="0" fontId="15" fillId="10" borderId="27" xfId="0" applyFont="1" applyFill="1" applyBorder="1" applyAlignment="1">
      <alignment horizontal="left" vertical="center" wrapText="1" indent="1"/>
    </xf>
    <xf numFmtId="0" fontId="9" fillId="4" borderId="1" xfId="0" applyFont="1" applyFill="1" applyBorder="1" applyAlignment="1">
      <alignment vertical="center" wrapText="1" indent="1"/>
    </xf>
    <xf numFmtId="0" fontId="11" fillId="8" borderId="1" xfId="0" applyFont="1" applyFill="1" applyBorder="1" applyAlignment="1">
      <alignment horizontal="left" vertical="center" wrapText="1" indent="1"/>
    </xf>
    <xf numFmtId="0" fontId="15" fillId="10" borderId="24" xfId="0" applyFont="1" applyFill="1" applyBorder="1" applyAlignment="1">
      <alignment horizontal="left" vertical="center" wrapText="1" indent="1"/>
    </xf>
    <xf numFmtId="0" fontId="10" fillId="7" borderId="31" xfId="0" applyFont="1" applyFill="1" applyBorder="1" applyAlignment="1">
      <alignment horizontal="left" vertical="center" wrapText="1" indent="1"/>
    </xf>
    <xf numFmtId="0" fontId="25" fillId="7" borderId="6" xfId="0" applyFont="1" applyFill="1" applyBorder="1" applyAlignment="1">
      <alignment horizontal="left" vertical="center" wrapText="1" indent="1"/>
    </xf>
    <xf numFmtId="0" fontId="25" fillId="7" borderId="17" xfId="0" applyFont="1" applyFill="1" applyBorder="1" applyAlignment="1">
      <alignment horizontal="left" vertical="center" wrapText="1" indent="1"/>
    </xf>
    <xf numFmtId="0" fontId="10" fillId="11" borderId="31" xfId="0" applyFont="1" applyFill="1" applyBorder="1" applyAlignment="1">
      <alignment horizontal="left" vertical="center" wrapText="1" indent="1"/>
    </xf>
    <xf numFmtId="0" fontId="25" fillId="11" borderId="6" xfId="0" applyFont="1" applyFill="1" applyBorder="1" applyAlignment="1">
      <alignment horizontal="left" vertical="center" wrapText="1" indent="1"/>
    </xf>
    <xf numFmtId="0" fontId="25" fillId="11" borderId="17" xfId="0" applyFont="1" applyFill="1" applyBorder="1" applyAlignment="1">
      <alignment horizontal="left" vertical="center" wrapText="1" indent="1"/>
    </xf>
    <xf numFmtId="0" fontId="25" fillId="11" borderId="11" xfId="0" applyFont="1" applyFill="1" applyBorder="1" applyAlignment="1">
      <alignment horizontal="left" vertical="center" wrapText="1" indent="1"/>
    </xf>
    <xf numFmtId="0" fontId="16" fillId="6" borderId="13" xfId="0" applyFont="1" applyFill="1" applyBorder="1" applyAlignment="1">
      <alignment vertical="center"/>
    </xf>
    <xf numFmtId="0" fontId="9" fillId="7" borderId="2" xfId="0" applyFont="1" applyFill="1" applyBorder="1" applyAlignment="1">
      <alignment vertical="center" indent="1"/>
    </xf>
    <xf numFmtId="0" fontId="9" fillId="7" borderId="6" xfId="0" applyFont="1" applyFill="1" applyBorder="1" applyAlignment="1">
      <alignment vertical="center" indent="1"/>
    </xf>
    <xf numFmtId="0" fontId="16" fillId="6" borderId="6" xfId="0" applyFont="1" applyFill="1" applyBorder="1" applyAlignment="1">
      <alignment vertical="center" indent="1"/>
    </xf>
    <xf numFmtId="0" fontId="9" fillId="7" borderId="11" xfId="0" applyFont="1" applyFill="1" applyBorder="1" applyAlignment="1">
      <alignment vertical="center" indent="1"/>
    </xf>
    <xf numFmtId="0" fontId="9" fillId="4" borderId="1" xfId="0" applyFont="1" applyFill="1" applyBorder="1" applyAlignment="1">
      <alignment vertical="center" indent="1"/>
    </xf>
    <xf numFmtId="0" fontId="11" fillId="8" borderId="1" xfId="0" applyFont="1" applyFill="1" applyBorder="1" applyAlignment="1">
      <alignment vertical="center" indent="1"/>
    </xf>
    <xf numFmtId="0" fontId="29" fillId="7" borderId="2" xfId="4" applyFont="1" applyFill="1" applyBorder="1" applyAlignment="1">
      <alignment vertical="center" indent="1"/>
    </xf>
    <xf numFmtId="0" fontId="29" fillId="7" borderId="6" xfId="4" applyFont="1" applyFill="1" applyBorder="1" applyAlignment="1">
      <alignment vertical="center" indent="1"/>
    </xf>
    <xf numFmtId="0" fontId="29" fillId="7" borderId="11" xfId="4" applyFont="1" applyFill="1" applyBorder="1" applyAlignment="1">
      <alignment vertical="center" indent="1"/>
    </xf>
    <xf numFmtId="0" fontId="9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center" vertical="center"/>
    </xf>
    <xf numFmtId="0" fontId="16" fillId="8" borderId="33" xfId="0" applyFont="1" applyFill="1" applyBorder="1" applyAlignment="1">
      <alignment horizontal="center" vertical="center" wrapText="1"/>
    </xf>
    <xf numFmtId="0" fontId="16" fillId="8" borderId="34" xfId="0" applyFont="1" applyFill="1" applyBorder="1" applyAlignment="1">
      <alignment horizontal="center" vertical="center" wrapText="1"/>
    </xf>
    <xf numFmtId="0" fontId="16" fillId="8" borderId="35" xfId="0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left" vertical="center" wrapText="1" indent="1"/>
    </xf>
    <xf numFmtId="0" fontId="10" fillId="7" borderId="8" xfId="0" applyFont="1" applyFill="1" applyBorder="1" applyAlignment="1">
      <alignment horizontal="left" vertical="center" wrapText="1" indent="1"/>
    </xf>
    <xf numFmtId="0" fontId="10" fillId="7" borderId="12" xfId="0" applyFont="1" applyFill="1" applyBorder="1" applyAlignment="1">
      <alignment horizontal="left" vertical="center" wrapText="1" indent="1"/>
    </xf>
    <xf numFmtId="0" fontId="9" fillId="4" borderId="1" xfId="0" applyFont="1" applyFill="1" applyBorder="1" applyAlignment="1">
      <alignment horizontal="left" vertical="center" indent="1"/>
    </xf>
    <xf numFmtId="0" fontId="15" fillId="10" borderId="1" xfId="0" applyFont="1" applyFill="1" applyBorder="1" applyAlignment="1">
      <alignment horizontal="left" vertical="center" indent="1"/>
    </xf>
    <xf numFmtId="0" fontId="9" fillId="7" borderId="5" xfId="0" applyFont="1" applyFill="1" applyBorder="1" applyAlignment="1">
      <alignment horizontal="left" vertical="center" wrapText="1" indent="1"/>
    </xf>
    <xf numFmtId="0" fontId="9" fillId="7" borderId="8" xfId="0" applyFont="1" applyFill="1" applyBorder="1" applyAlignment="1">
      <alignment horizontal="left" vertical="center" wrapText="1" indent="1"/>
    </xf>
    <xf numFmtId="0" fontId="9" fillId="7" borderId="12" xfId="0" applyFont="1" applyFill="1" applyBorder="1" applyAlignment="1">
      <alignment horizontal="left" vertical="center" wrapText="1" indent="1"/>
    </xf>
    <xf numFmtId="0" fontId="10" fillId="11" borderId="8" xfId="0" applyFont="1" applyFill="1" applyBorder="1" applyAlignment="1">
      <alignment horizontal="left" vertical="center" wrapText="1" indent="1"/>
    </xf>
    <xf numFmtId="0" fontId="9" fillId="11" borderId="8" xfId="0" applyFont="1" applyFill="1" applyBorder="1" applyAlignment="1">
      <alignment horizontal="left" vertical="center" wrapText="1" indent="1"/>
    </xf>
    <xf numFmtId="0" fontId="32" fillId="7" borderId="4" xfId="4" applyFont="1" applyFill="1" applyBorder="1" applyAlignment="1">
      <alignment horizontal="left" vertical="center" wrapText="1"/>
    </xf>
    <xf numFmtId="0" fontId="32" fillId="11" borderId="7" xfId="4" applyFont="1" applyFill="1" applyBorder="1" applyAlignment="1">
      <alignment horizontal="left" vertical="center" wrapText="1"/>
    </xf>
    <xf numFmtId="0" fontId="32" fillId="7" borderId="7" xfId="4" applyFont="1" applyFill="1" applyBorder="1" applyAlignment="1">
      <alignment horizontal="left" vertical="center" wrapText="1"/>
    </xf>
    <xf numFmtId="0" fontId="32" fillId="7" borderId="13" xfId="4" applyFont="1" applyFill="1" applyBorder="1" applyAlignment="1">
      <alignment horizontal="left" vertical="center" wrapText="1"/>
    </xf>
    <xf numFmtId="0" fontId="35" fillId="8" borderId="36" xfId="0" applyFont="1" applyFill="1" applyBorder="1" applyAlignment="1">
      <alignment horizontal="center" vertical="center" wrapText="1"/>
    </xf>
    <xf numFmtId="0" fontId="35" fillId="8" borderId="37" xfId="0" applyFont="1" applyFill="1" applyBorder="1" applyAlignment="1">
      <alignment horizontal="center" vertical="center" wrapText="1"/>
    </xf>
    <xf numFmtId="0" fontId="35" fillId="8" borderId="38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right" vertical="center"/>
    </xf>
    <xf numFmtId="10" fontId="9" fillId="4" borderId="1" xfId="2" applyNumberFormat="1" applyFont="1" applyFill="1" applyBorder="1" applyAlignment="1">
      <alignment vertical="center"/>
    </xf>
    <xf numFmtId="41" fontId="9" fillId="4" borderId="1" xfId="1" applyFont="1" applyFill="1" applyBorder="1" applyAlignment="1">
      <alignment vertical="center"/>
    </xf>
    <xf numFmtId="166" fontId="9" fillId="4" borderId="1" xfId="0" applyNumberFormat="1" applyFont="1" applyFill="1" applyBorder="1" applyAlignment="1">
      <alignment vertical="center"/>
    </xf>
    <xf numFmtId="0" fontId="34" fillId="5" borderId="1" xfId="0" applyFont="1" applyFill="1" applyBorder="1" applyAlignment="1">
      <alignment horizontal="left" vertical="center"/>
    </xf>
    <xf numFmtId="0" fontId="34" fillId="5" borderId="1" xfId="0" applyFont="1" applyFill="1" applyBorder="1" applyAlignment="1">
      <alignment horizontal="left" vertical="center" indent="1"/>
    </xf>
    <xf numFmtId="41" fontId="9" fillId="7" borderId="8" xfId="1" applyFont="1" applyFill="1" applyBorder="1" applyAlignment="1">
      <alignment horizontal="right" vertical="center"/>
    </xf>
    <xf numFmtId="10" fontId="9" fillId="7" borderId="8" xfId="2" applyNumberFormat="1" applyFont="1" applyFill="1" applyBorder="1" applyAlignment="1">
      <alignment horizontal="right" vertical="center"/>
    </xf>
    <xf numFmtId="41" fontId="9" fillId="7" borderId="12" xfId="1" applyFont="1" applyFill="1" applyBorder="1" applyAlignment="1">
      <alignment horizontal="right" vertical="center"/>
    </xf>
    <xf numFmtId="10" fontId="9" fillId="7" borderId="12" xfId="2" applyNumberFormat="1" applyFont="1" applyFill="1" applyBorder="1" applyAlignment="1">
      <alignment horizontal="right" vertical="center"/>
    </xf>
    <xf numFmtId="41" fontId="10" fillId="10" borderId="5" xfId="1" applyFont="1" applyFill="1" applyBorder="1" applyAlignment="1">
      <alignment horizontal="right" vertical="center"/>
    </xf>
    <xf numFmtId="10" fontId="10" fillId="10" borderId="5" xfId="2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left" vertical="center" indent="1"/>
    </xf>
    <xf numFmtId="0" fontId="9" fillId="7" borderId="8" xfId="0" applyFont="1" applyFill="1" applyBorder="1" applyAlignment="1">
      <alignment horizontal="left" vertical="center" indent="1"/>
    </xf>
    <xf numFmtId="0" fontId="9" fillId="7" borderId="12" xfId="0" applyFont="1" applyFill="1" applyBorder="1" applyAlignment="1">
      <alignment horizontal="left" vertical="center" indent="1"/>
    </xf>
    <xf numFmtId="0" fontId="10" fillId="10" borderId="4" xfId="0" applyFont="1" applyFill="1" applyBorder="1" applyAlignment="1">
      <alignment horizontal="center" vertical="center"/>
    </xf>
    <xf numFmtId="0" fontId="9" fillId="7" borderId="7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36" fillId="7" borderId="4" xfId="0" applyNumberFormat="1" applyFont="1" applyFill="1" applyBorder="1" applyAlignment="1">
      <alignment horizontal="right" vertical="center"/>
    </xf>
    <xf numFmtId="10" fontId="36" fillId="7" borderId="7" xfId="2" applyNumberFormat="1" applyFont="1" applyFill="1" applyBorder="1" applyAlignment="1">
      <alignment horizontal="right" vertical="center"/>
    </xf>
    <xf numFmtId="41" fontId="36" fillId="7" borderId="7" xfId="1" applyFont="1" applyFill="1" applyBorder="1" applyAlignment="1">
      <alignment horizontal="right" vertical="center"/>
    </xf>
    <xf numFmtId="41" fontId="36" fillId="7" borderId="13" xfId="1" applyFont="1" applyFill="1" applyBorder="1" applyAlignment="1">
      <alignment horizontal="right" vertical="center"/>
    </xf>
    <xf numFmtId="171" fontId="9" fillId="7" borderId="5" xfId="1" applyNumberFormat="1" applyFont="1" applyFill="1" applyBorder="1" applyAlignment="1">
      <alignment horizontal="right" vertical="center"/>
    </xf>
    <xf numFmtId="171" fontId="9" fillId="7" borderId="8" xfId="1" applyNumberFormat="1" applyFont="1" applyFill="1" applyBorder="1" applyAlignment="1">
      <alignment horizontal="right" vertical="center"/>
    </xf>
    <xf numFmtId="0" fontId="37" fillId="7" borderId="4" xfId="0" applyFont="1" applyFill="1" applyBorder="1" applyAlignment="1">
      <alignment vertical="center"/>
    </xf>
    <xf numFmtId="0" fontId="37" fillId="7" borderId="7" xfId="0" applyFont="1" applyFill="1" applyBorder="1" applyAlignment="1">
      <alignment vertical="center"/>
    </xf>
    <xf numFmtId="0" fontId="9" fillId="7" borderId="17" xfId="0" applyFont="1" applyFill="1" applyBorder="1" applyAlignment="1">
      <alignment vertical="center" indent="1"/>
    </xf>
    <xf numFmtId="171" fontId="9" fillId="7" borderId="18" xfId="1" applyNumberFormat="1" applyFont="1" applyFill="1" applyBorder="1" applyAlignment="1">
      <alignment horizontal="right" vertical="center"/>
    </xf>
    <xf numFmtId="0" fontId="37" fillId="7" borderId="19" xfId="0" applyFont="1" applyFill="1" applyBorder="1" applyAlignment="1">
      <alignment vertical="center"/>
    </xf>
    <xf numFmtId="0" fontId="10" fillId="10" borderId="20" xfId="0" applyFont="1" applyFill="1" applyBorder="1" applyAlignment="1">
      <alignment vertical="center"/>
    </xf>
    <xf numFmtId="171" fontId="10" fillId="10" borderId="21" xfId="1" applyNumberFormat="1" applyFont="1" applyFill="1" applyBorder="1" applyAlignment="1">
      <alignment horizontal="right" vertical="center"/>
    </xf>
    <xf numFmtId="173" fontId="10" fillId="10" borderId="22" xfId="0" applyNumberFormat="1" applyFont="1" applyFill="1" applyBorder="1" applyAlignment="1">
      <alignment horizontal="center" vertical="center"/>
    </xf>
    <xf numFmtId="0" fontId="32" fillId="4" borderId="1" xfId="4" applyFont="1" applyFill="1" applyBorder="1" applyAlignment="1">
      <alignment vertical="center"/>
    </xf>
    <xf numFmtId="41" fontId="36" fillId="7" borderId="4" xfId="1" applyFont="1" applyFill="1" applyBorder="1" applyAlignment="1">
      <alignment horizontal="right" vertical="center"/>
    </xf>
    <xf numFmtId="0" fontId="9" fillId="7" borderId="24" xfId="0" applyFont="1" applyFill="1" applyBorder="1" applyAlignment="1">
      <alignment vertical="center" indent="1"/>
    </xf>
    <xf numFmtId="171" fontId="9" fillId="7" borderId="15" xfId="0" applyNumberFormat="1" applyFont="1" applyFill="1" applyBorder="1" applyAlignment="1">
      <alignment vertical="center"/>
    </xf>
    <xf numFmtId="0" fontId="37" fillId="7" borderId="16" xfId="0" applyFont="1" applyFill="1" applyBorder="1" applyAlignment="1">
      <alignment vertical="center"/>
    </xf>
    <xf numFmtId="171" fontId="10" fillId="10" borderId="21" xfId="0" applyNumberFormat="1" applyFont="1" applyFill="1" applyBorder="1" applyAlignment="1">
      <alignment vertical="center"/>
    </xf>
    <xf numFmtId="166" fontId="9" fillId="4" borderId="1" xfId="0" applyNumberFormat="1" applyFont="1" applyFill="1" applyBorder="1" applyAlignment="1">
      <alignment horizontal="left" vertical="center"/>
    </xf>
    <xf numFmtId="0" fontId="11" fillId="8" borderId="1" xfId="0" applyFont="1" applyFill="1" applyBorder="1" applyAlignment="1">
      <alignment horizontal="right" vertical="center"/>
    </xf>
    <xf numFmtId="0" fontId="11" fillId="8" borderId="1" xfId="0" applyFont="1" applyFill="1" applyBorder="1" applyAlignment="1">
      <alignment horizontal="right" vertical="center" indent="1"/>
    </xf>
    <xf numFmtId="0" fontId="9" fillId="7" borderId="2" xfId="0" applyFont="1" applyFill="1" applyBorder="1" applyAlignment="1">
      <alignment horizontal="left" vertical="center" indent="1"/>
    </xf>
    <xf numFmtId="0" fontId="9" fillId="7" borderId="6" xfId="0" applyFont="1" applyFill="1" applyBorder="1" applyAlignment="1">
      <alignment horizontal="left" vertical="center" indent="1"/>
    </xf>
    <xf numFmtId="0" fontId="9" fillId="7" borderId="11" xfId="0" applyFont="1" applyFill="1" applyBorder="1" applyAlignment="1">
      <alignment horizontal="left" vertical="center" indent="1"/>
    </xf>
    <xf numFmtId="166" fontId="36" fillId="7" borderId="7" xfId="0" applyNumberFormat="1" applyFont="1" applyFill="1" applyBorder="1" applyAlignment="1">
      <alignment horizontal="right" vertical="center"/>
    </xf>
    <xf numFmtId="166" fontId="36" fillId="7" borderId="13" xfId="0" applyNumberFormat="1" applyFont="1" applyFill="1" applyBorder="1" applyAlignment="1">
      <alignment horizontal="right" vertical="center"/>
    </xf>
    <xf numFmtId="171" fontId="9" fillId="7" borderId="5" xfId="1" applyNumberFormat="1" applyFont="1" applyFill="1" applyBorder="1" applyAlignment="1">
      <alignment horizontal="left" vertical="center"/>
    </xf>
    <xf numFmtId="171" fontId="9" fillId="7" borderId="8" xfId="1" applyNumberFormat="1" applyFont="1" applyFill="1" applyBorder="1" applyAlignment="1">
      <alignment horizontal="left" vertical="center"/>
    </xf>
    <xf numFmtId="0" fontId="37" fillId="7" borderId="4" xfId="0" applyFont="1" applyFill="1" applyBorder="1" applyAlignment="1">
      <alignment horizontal="left" vertical="center"/>
    </xf>
    <xf numFmtId="0" fontId="37" fillId="7" borderId="7" xfId="0" applyFont="1" applyFill="1" applyBorder="1" applyAlignment="1">
      <alignment horizontal="left" vertical="center"/>
    </xf>
    <xf numFmtId="0" fontId="9" fillId="7" borderId="17" xfId="0" applyFont="1" applyFill="1" applyBorder="1" applyAlignment="1">
      <alignment horizontal="left" vertical="center" indent="1"/>
    </xf>
    <xf numFmtId="171" fontId="9" fillId="7" borderId="18" xfId="1" applyNumberFormat="1" applyFont="1" applyFill="1" applyBorder="1" applyAlignment="1">
      <alignment horizontal="left" vertical="center"/>
    </xf>
    <xf numFmtId="0" fontId="37" fillId="7" borderId="19" xfId="0" applyFont="1" applyFill="1" applyBorder="1" applyAlignment="1">
      <alignment horizontal="left" vertical="center"/>
    </xf>
    <xf numFmtId="0" fontId="10" fillId="10" borderId="20" xfId="0" applyFont="1" applyFill="1" applyBorder="1" applyAlignment="1">
      <alignment horizontal="left" vertical="center"/>
    </xf>
    <xf numFmtId="171" fontId="10" fillId="10" borderId="21" xfId="1" applyNumberFormat="1" applyFont="1" applyFill="1" applyBorder="1" applyAlignment="1">
      <alignment horizontal="left" vertical="center"/>
    </xf>
    <xf numFmtId="0" fontId="32" fillId="4" borderId="1" xfId="4" applyFont="1" applyFill="1" applyBorder="1" applyAlignment="1">
      <alignment horizontal="right" vertical="center"/>
    </xf>
    <xf numFmtId="164" fontId="9" fillId="4" borderId="1" xfId="0" applyNumberFormat="1" applyFont="1" applyFill="1" applyBorder="1" applyAlignment="1">
      <alignment horizontal="left" vertical="center"/>
    </xf>
    <xf numFmtId="173" fontId="9" fillId="4" borderId="1" xfId="0" applyNumberFormat="1" applyFont="1" applyFill="1" applyBorder="1" applyAlignment="1">
      <alignment horizontal="center" vertical="center"/>
    </xf>
    <xf numFmtId="166" fontId="9" fillId="7" borderId="8" xfId="0" applyNumberFormat="1" applyFont="1" applyFill="1" applyBorder="1" applyAlignment="1">
      <alignment horizontal="right" vertical="center"/>
    </xf>
    <xf numFmtId="166" fontId="9" fillId="7" borderId="12" xfId="0" applyNumberFormat="1" applyFont="1" applyFill="1" applyBorder="1" applyAlignment="1">
      <alignment horizontal="right" vertical="center"/>
    </xf>
    <xf numFmtId="171" fontId="9" fillId="7" borderId="5" xfId="1" applyNumberFormat="1" applyFont="1" applyFill="1" applyBorder="1" applyAlignment="1">
      <alignment vertical="center"/>
    </xf>
    <xf numFmtId="171" fontId="9" fillId="7" borderId="8" xfId="1" applyNumberFormat="1" applyFont="1" applyFill="1" applyBorder="1" applyAlignment="1">
      <alignment vertical="center"/>
    </xf>
    <xf numFmtId="171" fontId="9" fillId="7" borderId="18" xfId="1" applyNumberFormat="1" applyFont="1" applyFill="1" applyBorder="1" applyAlignment="1">
      <alignment vertical="center"/>
    </xf>
    <xf numFmtId="171" fontId="10" fillId="10" borderId="21" xfId="1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49" fontId="36" fillId="7" borderId="13" xfId="0" applyNumberFormat="1" applyFont="1" applyFill="1" applyBorder="1" applyAlignment="1">
      <alignment horizontal="right" vertical="center"/>
    </xf>
    <xf numFmtId="41" fontId="38" fillId="4" borderId="1" xfId="0" applyNumberFormat="1" applyFont="1" applyFill="1" applyBorder="1" applyAlignment="1">
      <alignment vertical="center"/>
    </xf>
    <xf numFmtId="172" fontId="21" fillId="7" borderId="9" xfId="0" applyNumberFormat="1" applyFont="1" applyFill="1" applyBorder="1" applyAlignment="1">
      <alignment horizontal="right" vertical="center" wrapText="1"/>
    </xf>
    <xf numFmtId="0" fontId="39" fillId="7" borderId="6" xfId="0" applyFont="1" applyFill="1" applyBorder="1" applyAlignment="1">
      <alignment vertical="center" wrapText="1" indent="1"/>
    </xf>
    <xf numFmtId="0" fontId="26" fillId="5" borderId="1" xfId="0" applyFont="1" applyFill="1" applyBorder="1" applyAlignment="1">
      <alignment horizontal="left" vertical="center" indent="1"/>
    </xf>
    <xf numFmtId="0" fontId="27" fillId="5" borderId="1" xfId="0" applyFont="1" applyFill="1" applyBorder="1" applyAlignment="1">
      <alignment horizontal="left" vertical="center" indent="1"/>
    </xf>
    <xf numFmtId="0" fontId="28" fillId="6" borderId="1" xfId="0" applyFont="1" applyFill="1" applyBorder="1" applyAlignment="1">
      <alignment horizontal="left" vertical="center" indent="1"/>
    </xf>
    <xf numFmtId="0" fontId="30" fillId="0" borderId="5" xfId="0" applyFont="1" applyBorder="1" applyAlignment="1">
      <alignment vertical="center"/>
    </xf>
    <xf numFmtId="0" fontId="30" fillId="0" borderId="4" xfId="0" applyFont="1" applyBorder="1" applyAlignment="1">
      <alignment vertical="center"/>
    </xf>
    <xf numFmtId="0" fontId="30" fillId="0" borderId="8" xfId="0" applyFont="1" applyBorder="1" applyAlignment="1">
      <alignment vertical="center"/>
    </xf>
    <xf numFmtId="0" fontId="30" fillId="0" borderId="7" xfId="0" applyFont="1" applyBorder="1" applyAlignment="1">
      <alignment vertical="center"/>
    </xf>
    <xf numFmtId="0" fontId="30" fillId="0" borderId="12" xfId="0" applyFont="1" applyBorder="1" applyAlignment="1">
      <alignment vertical="center"/>
    </xf>
    <xf numFmtId="0" fontId="30" fillId="0" borderId="13" xfId="0" applyFont="1" applyBorder="1" applyAlignment="1">
      <alignment vertical="center"/>
    </xf>
    <xf numFmtId="0" fontId="33" fillId="4" borderId="1" xfId="4" applyFont="1" applyFill="1" applyBorder="1" applyAlignment="1">
      <alignment vertical="center" indent="1"/>
    </xf>
    <xf numFmtId="0" fontId="33" fillId="4" borderId="1" xfId="0" applyFont="1" applyFill="1" applyBorder="1" applyAlignment="1">
      <alignment vertical="center" indent="1"/>
    </xf>
    <xf numFmtId="0" fontId="31" fillId="5" borderId="1" xfId="0" applyFont="1" applyFill="1" applyBorder="1" applyAlignment="1">
      <alignment horizontal="left" vertical="center" indent="1"/>
    </xf>
    <xf numFmtId="0" fontId="28" fillId="6" borderId="1" xfId="0" applyFont="1" applyFill="1" applyBorder="1" applyAlignment="1">
      <alignment indent="1"/>
    </xf>
    <xf numFmtId="0" fontId="9" fillId="7" borderId="5" xfId="0" applyFont="1" applyFill="1" applyBorder="1" applyAlignment="1">
      <alignment horizontal="left" vertical="center" wrapText="1" indent="1"/>
    </xf>
    <xf numFmtId="0" fontId="9" fillId="7" borderId="4" xfId="0" applyFont="1" applyFill="1" applyBorder="1" applyAlignment="1">
      <alignment horizontal="left" vertical="center" wrapText="1"/>
    </xf>
    <xf numFmtId="0" fontId="9" fillId="7" borderId="8" xfId="0" applyFont="1" applyFill="1" applyBorder="1" applyAlignment="1">
      <alignment horizontal="left" vertical="center" wrapText="1" indent="1"/>
    </xf>
    <xf numFmtId="0" fontId="9" fillId="7" borderId="7" xfId="0" applyFont="1" applyFill="1" applyBorder="1" applyAlignment="1">
      <alignment horizontal="left" vertical="center" wrapText="1"/>
    </xf>
    <xf numFmtId="0" fontId="9" fillId="7" borderId="12" xfId="0" applyFont="1" applyFill="1" applyBorder="1" applyAlignment="1">
      <alignment horizontal="left" vertical="center" wrapText="1" indent="1"/>
    </xf>
    <xf numFmtId="0" fontId="9" fillId="7" borderId="13" xfId="0" applyFont="1" applyFill="1" applyBorder="1" applyAlignment="1">
      <alignment horizontal="left" vertical="center" wrapText="1"/>
    </xf>
    <xf numFmtId="0" fontId="32" fillId="0" borderId="1" xfId="4" applyFont="1" applyBorder="1" applyAlignment="1">
      <alignment indent="1"/>
    </xf>
    <xf numFmtId="0" fontId="32" fillId="0" borderId="1" xfId="0" applyFont="1" applyBorder="1" applyAlignment="1">
      <alignment indent="1"/>
    </xf>
  </cellXfs>
  <cellStyles count="5">
    <cellStyle name="Hipervínculo" xfId="4" builtinId="8"/>
    <cellStyle name="Millares [0]" xfId="1" builtinId="6"/>
    <cellStyle name="Normal" xfId="0" builtinId="0"/>
    <cellStyle name="Normal 2" xfId="3" xr:uid="{7A0B2FFE-9116-4AE6-8F30-4B5C00D328C6}"/>
    <cellStyle name="Porcentaje" xfId="2" builtinId="5"/>
  </cellStyles>
  <dxfs count="81">
    <dxf>
      <font>
        <color rgb="FFC0392B"/>
      </font>
      <fill>
        <patternFill patternType="solid">
          <fgColor indexed="64"/>
          <bgColor rgb="FFFDE8E8"/>
        </patternFill>
      </fill>
    </dxf>
    <dxf>
      <font>
        <color rgb="FF137A3F"/>
      </font>
      <fill>
        <patternFill patternType="solid">
          <fgColor indexed="64"/>
          <bgColor rgb="FFE3F6EC"/>
        </patternFill>
      </fill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137A3F"/>
      </font>
    </dxf>
    <dxf>
      <font>
        <b/>
        <i val="0"/>
        <color rgb="FFC0392B"/>
      </font>
    </dxf>
    <dxf>
      <fill>
        <patternFill patternType="solid">
          <fgColor indexed="64"/>
          <bgColor rgb="FFF7FAFD"/>
        </patternFill>
      </fill>
    </dxf>
    <dxf>
      <font>
        <b/>
        <i val="0"/>
        <color rgb="FF7A4B00"/>
      </font>
      <fill>
        <patternFill patternType="solid">
          <fgColor indexed="64"/>
          <bgColor rgb="FFFFF4DC"/>
        </patternFill>
      </fill>
    </dxf>
    <dxf>
      <font>
        <color rgb="FFC0392B"/>
      </font>
      <fill>
        <patternFill patternType="solid">
          <fgColor indexed="64"/>
          <bgColor rgb="FFFDE8E8"/>
        </patternFill>
      </fill>
    </dxf>
    <dxf>
      <font>
        <color rgb="FF137A3F"/>
      </font>
      <fill>
        <patternFill patternType="solid">
          <fgColor indexed="64"/>
          <bgColor rgb="FFE3F6EC"/>
        </patternFill>
      </fill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137A3F"/>
      </font>
    </dxf>
    <dxf>
      <font>
        <b/>
        <i val="0"/>
        <color rgb="FFC0392B"/>
      </font>
    </dxf>
    <dxf>
      <fill>
        <patternFill patternType="solid">
          <fgColor indexed="64"/>
          <bgColor rgb="FFF7FAFD"/>
        </patternFill>
      </fill>
    </dxf>
    <dxf>
      <font>
        <b/>
        <i val="0"/>
        <color rgb="FF7A4B00"/>
      </font>
      <fill>
        <patternFill patternType="solid">
          <fgColor indexed="64"/>
          <bgColor rgb="FFFFF4DC"/>
        </patternFill>
      </fill>
    </dxf>
    <dxf>
      <font>
        <color rgb="FFC0392B"/>
      </font>
      <fill>
        <patternFill patternType="solid">
          <fgColor indexed="64"/>
          <bgColor rgb="FFFDE8E8"/>
        </patternFill>
      </fill>
    </dxf>
    <dxf>
      <font>
        <color rgb="FF137A3F"/>
      </font>
      <fill>
        <patternFill patternType="solid">
          <fgColor indexed="64"/>
          <bgColor rgb="FFE3F6EC"/>
        </patternFill>
      </fill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137A3F"/>
      </font>
    </dxf>
    <dxf>
      <font>
        <b/>
        <i val="0"/>
        <color rgb="FFC0392B"/>
      </font>
    </dxf>
    <dxf>
      <fill>
        <patternFill patternType="solid">
          <fgColor indexed="64"/>
          <bgColor rgb="FFF7FAFD"/>
        </patternFill>
      </fill>
    </dxf>
    <dxf>
      <font>
        <b/>
        <i val="0"/>
        <color rgb="FF7A4B00"/>
      </font>
      <fill>
        <patternFill patternType="solid">
          <fgColor indexed="64"/>
          <bgColor rgb="FFFFF4DC"/>
        </patternFill>
      </fill>
    </dxf>
    <dxf>
      <font>
        <color rgb="FFC0392B"/>
      </font>
      <fill>
        <patternFill patternType="solid">
          <fgColor indexed="64"/>
          <bgColor rgb="FFFDE8E8"/>
        </patternFill>
      </fill>
    </dxf>
    <dxf>
      <font>
        <color rgb="FF137A3F"/>
      </font>
      <fill>
        <patternFill patternType="solid">
          <fgColor indexed="64"/>
          <bgColor rgb="FFE3F6EC"/>
        </patternFill>
      </fill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137A3F"/>
      </font>
    </dxf>
    <dxf>
      <font>
        <b/>
        <i val="0"/>
        <color rgb="FFC0392B"/>
      </font>
    </dxf>
    <dxf>
      <fill>
        <patternFill patternType="solid">
          <fgColor indexed="64"/>
          <bgColor rgb="FFF7FAFD"/>
        </patternFill>
      </fill>
    </dxf>
    <dxf>
      <font>
        <b/>
        <i val="0"/>
        <color rgb="FF7A4B00"/>
      </font>
      <fill>
        <patternFill patternType="solid">
          <fgColor indexed="64"/>
          <bgColor rgb="FFFFF4DC"/>
        </patternFill>
      </fill>
    </dxf>
    <dxf>
      <font>
        <color rgb="FFC0392B"/>
      </font>
      <fill>
        <patternFill patternType="solid">
          <fgColor indexed="64"/>
          <bgColor rgb="FFFDE8E8"/>
        </patternFill>
      </fill>
    </dxf>
    <dxf>
      <font>
        <color rgb="FF137A3F"/>
      </font>
      <fill>
        <patternFill patternType="solid">
          <fgColor indexed="64"/>
          <bgColor rgb="FFE3F6EC"/>
        </patternFill>
      </fill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137A3F"/>
      </font>
    </dxf>
    <dxf>
      <font>
        <b/>
        <i val="0"/>
        <color rgb="FFC0392B"/>
      </font>
    </dxf>
    <dxf>
      <fill>
        <patternFill patternType="solid">
          <fgColor indexed="64"/>
          <bgColor rgb="FFF7FAFD"/>
        </patternFill>
      </fill>
    </dxf>
    <dxf>
      <font>
        <b/>
        <i val="0"/>
        <color rgb="FF7A4B00"/>
      </font>
      <fill>
        <patternFill patternType="solid">
          <fgColor indexed="64"/>
          <bgColor rgb="FFFFF4DC"/>
        </patternFill>
      </fill>
    </dxf>
    <dxf>
      <font>
        <color rgb="FFC0392B"/>
      </font>
      <fill>
        <patternFill patternType="solid">
          <fgColor indexed="64"/>
          <bgColor rgb="FFFDE8E8"/>
        </patternFill>
      </fill>
    </dxf>
    <dxf>
      <font>
        <color rgb="FF137A3F"/>
      </font>
      <fill>
        <patternFill patternType="solid">
          <fgColor indexed="64"/>
          <bgColor rgb="FFE3F6EC"/>
        </patternFill>
      </fill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137A3F"/>
      </font>
    </dxf>
    <dxf>
      <font>
        <b/>
        <i val="0"/>
        <color rgb="FFC0392B"/>
      </font>
    </dxf>
    <dxf>
      <fill>
        <patternFill patternType="solid">
          <fgColor indexed="64"/>
          <bgColor rgb="FFF7FAFD"/>
        </patternFill>
      </fill>
    </dxf>
    <dxf>
      <font>
        <b/>
        <i val="0"/>
        <color rgb="FF7A4B00"/>
      </font>
      <fill>
        <patternFill patternType="solid">
          <fgColor indexed="64"/>
          <bgColor rgb="FFFFF4DC"/>
        </patternFill>
      </fill>
    </dxf>
    <dxf>
      <font>
        <color rgb="FFC0392B"/>
      </font>
      <fill>
        <patternFill patternType="solid">
          <fgColor indexed="64"/>
          <bgColor rgb="FFFDE8E8"/>
        </patternFill>
      </fill>
    </dxf>
    <dxf>
      <font>
        <color rgb="FF137A3F"/>
      </font>
      <fill>
        <patternFill patternType="solid">
          <fgColor indexed="64"/>
          <bgColor rgb="FFE3F6EC"/>
        </patternFill>
      </fill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137A3F"/>
      </font>
    </dxf>
    <dxf>
      <font>
        <b/>
        <i val="0"/>
        <color rgb="FFC0392B"/>
      </font>
    </dxf>
    <dxf>
      <fill>
        <patternFill patternType="solid">
          <fgColor indexed="64"/>
          <bgColor rgb="FFF7FAFD"/>
        </patternFill>
      </fill>
    </dxf>
    <dxf>
      <font>
        <b/>
        <i val="0"/>
        <color rgb="FF7A4B00"/>
      </font>
      <fill>
        <patternFill patternType="solid">
          <fgColor indexed="64"/>
          <bgColor rgb="FFFFF4DC"/>
        </patternFill>
      </fill>
    </dxf>
    <dxf>
      <font>
        <color rgb="FFC0392B"/>
      </font>
      <fill>
        <patternFill patternType="solid">
          <fgColor indexed="64"/>
          <bgColor rgb="FFFDE8E8"/>
        </patternFill>
      </fill>
    </dxf>
    <dxf>
      <font>
        <color rgb="FF137A3F"/>
      </font>
      <fill>
        <patternFill patternType="solid">
          <fgColor indexed="64"/>
          <bgColor rgb="FFE3F6EC"/>
        </patternFill>
      </fill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137A3F"/>
      </font>
    </dxf>
    <dxf>
      <font>
        <b/>
        <i val="0"/>
        <color rgb="FFC0392B"/>
      </font>
    </dxf>
    <dxf>
      <fill>
        <patternFill patternType="solid">
          <fgColor indexed="64"/>
          <bgColor rgb="FFF7FAFD"/>
        </patternFill>
      </fill>
    </dxf>
    <dxf>
      <font>
        <b/>
        <i val="0"/>
        <color rgb="FF7A4B00"/>
      </font>
      <fill>
        <patternFill patternType="solid">
          <fgColor indexed="64"/>
          <bgColor rgb="FFFFF4DC"/>
        </patternFill>
      </fill>
    </dxf>
    <dxf>
      <font>
        <color rgb="FFC0392B"/>
      </font>
      <fill>
        <patternFill patternType="solid">
          <fgColor indexed="64"/>
          <bgColor rgb="FFFDE8E8"/>
        </patternFill>
      </fill>
    </dxf>
    <dxf>
      <font>
        <color rgb="FF137A3F"/>
      </font>
      <fill>
        <patternFill patternType="solid">
          <fgColor indexed="64"/>
          <bgColor rgb="FFE3F6EC"/>
        </patternFill>
      </fill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00807E"/>
      </font>
    </dxf>
    <dxf>
      <font>
        <b/>
        <i val="0"/>
        <color rgb="FF137A3F"/>
      </font>
    </dxf>
    <dxf>
      <font>
        <b/>
        <i val="0"/>
        <color rgb="FFC0392B"/>
      </font>
    </dxf>
    <dxf>
      <fill>
        <patternFill patternType="solid">
          <fgColor indexed="64"/>
          <bgColor rgb="FFF7FAFD"/>
        </patternFill>
      </fill>
    </dxf>
    <dxf>
      <font>
        <b/>
        <i val="0"/>
        <color rgb="FF7A4B00"/>
      </font>
      <fill>
        <patternFill patternType="solid">
          <fgColor indexed="64"/>
          <bgColor rgb="FFFFF4D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9B49F8-22C3-420B-9627-FDE87CB38F3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836c2a5-f67d-479f-b2e3-77ea5acde81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showGridLines="0" zoomScale="90" zoomScaleNormal="90" workbookViewId="0">
      <pane ySplit="2" topLeftCell="A17" activePane="bottomLeft" state="frozen"/>
      <selection pane="bottomLeft" activeCell="C23" sqref="C23"/>
    </sheetView>
  </sheetViews>
  <sheetFormatPr baseColWidth="10" defaultColWidth="8.796875" defaultRowHeight="15" customHeight="1"/>
  <cols>
    <col min="1" max="1" width="9.19921875" style="3" customWidth="1"/>
    <col min="2" max="2" width="40" style="3" customWidth="1"/>
    <col min="3" max="3" width="100" style="3" customWidth="1"/>
    <col min="4" max="4" width="28.296875" style="3" customWidth="1"/>
    <col min="5" max="5" width="3" style="3" customWidth="1"/>
    <col min="6" max="16384" width="8.796875" style="3"/>
  </cols>
  <sheetData>
    <row r="1" spans="1:6" ht="37.950000000000003" customHeight="1">
      <c r="A1" s="227" t="s">
        <v>329</v>
      </c>
      <c r="B1" s="227"/>
      <c r="C1" s="227"/>
      <c r="D1" s="227"/>
      <c r="E1" s="120"/>
      <c r="F1" s="120"/>
    </row>
    <row r="2" spans="1:6" ht="22.05" customHeight="1">
      <c r="A2" s="228" t="s">
        <v>330</v>
      </c>
      <c r="B2" s="228"/>
      <c r="C2" s="228"/>
      <c r="D2" s="228"/>
      <c r="E2" s="120"/>
      <c r="F2" s="120"/>
    </row>
    <row r="3" spans="1:6" s="2" customFormat="1" ht="25.95" customHeight="1">
      <c r="A3" s="97" t="s">
        <v>331</v>
      </c>
      <c r="B3" s="24"/>
      <c r="C3" s="24"/>
      <c r="D3" s="24"/>
      <c r="E3" s="120"/>
      <c r="F3" s="120"/>
    </row>
    <row r="4" spans="1:6" ht="24" customHeight="1">
      <c r="A4" s="123" t="s">
        <v>0</v>
      </c>
      <c r="B4" s="126" t="s">
        <v>1</v>
      </c>
      <c r="C4" s="229" t="s">
        <v>231</v>
      </c>
      <c r="D4" s="230"/>
      <c r="E4" s="120"/>
      <c r="F4" s="120"/>
    </row>
    <row r="5" spans="1:6" ht="24" customHeight="1">
      <c r="A5" s="124" t="s">
        <v>2</v>
      </c>
      <c r="B5" s="127" t="s">
        <v>216</v>
      </c>
      <c r="C5" s="231" t="s">
        <v>232</v>
      </c>
      <c r="D5" s="232"/>
      <c r="E5" s="120"/>
      <c r="F5" s="120"/>
    </row>
    <row r="6" spans="1:6" ht="24" customHeight="1">
      <c r="A6" s="124" t="s">
        <v>3</v>
      </c>
      <c r="B6" s="127" t="s">
        <v>29</v>
      </c>
      <c r="C6" s="231" t="s">
        <v>233</v>
      </c>
      <c r="D6" s="232"/>
      <c r="E6" s="120"/>
      <c r="F6" s="120"/>
    </row>
    <row r="7" spans="1:6" ht="24" customHeight="1">
      <c r="A7" s="124" t="s">
        <v>4</v>
      </c>
      <c r="B7" s="127" t="s">
        <v>5</v>
      </c>
      <c r="C7" s="231" t="s">
        <v>234</v>
      </c>
      <c r="D7" s="232"/>
      <c r="E7" s="120"/>
      <c r="F7" s="120"/>
    </row>
    <row r="8" spans="1:6" ht="40.049999999999997" customHeight="1">
      <c r="A8" s="124" t="s">
        <v>6</v>
      </c>
      <c r="B8" s="127" t="s">
        <v>9</v>
      </c>
      <c r="C8" s="231" t="s">
        <v>235</v>
      </c>
      <c r="D8" s="232"/>
      <c r="E8" s="120"/>
      <c r="F8" s="120"/>
    </row>
    <row r="9" spans="1:6" ht="24" customHeight="1">
      <c r="A9" s="124" t="s">
        <v>7</v>
      </c>
      <c r="B9" s="127" t="s">
        <v>10</v>
      </c>
      <c r="C9" s="231" t="s">
        <v>236</v>
      </c>
      <c r="D9" s="232"/>
      <c r="E9" s="120"/>
      <c r="F9" s="120"/>
    </row>
    <row r="10" spans="1:6" ht="24" customHeight="1">
      <c r="A10" s="125" t="s">
        <v>8</v>
      </c>
      <c r="B10" s="128" t="s">
        <v>11</v>
      </c>
      <c r="C10" s="233" t="s">
        <v>237</v>
      </c>
      <c r="D10" s="234"/>
      <c r="E10" s="120"/>
      <c r="F10" s="120"/>
    </row>
    <row r="11" spans="1:6" ht="12" customHeight="1">
      <c r="A11" s="120"/>
      <c r="B11" s="129"/>
      <c r="C11" s="129"/>
      <c r="D11" s="120"/>
      <c r="E11" s="120"/>
      <c r="F11" s="120"/>
    </row>
    <row r="12" spans="1:6" ht="12" customHeight="1">
      <c r="A12" s="120"/>
      <c r="B12" s="129"/>
      <c r="C12" s="129"/>
      <c r="D12" s="120"/>
      <c r="E12" s="120"/>
      <c r="F12" s="120"/>
    </row>
    <row r="13" spans="1:6" ht="25.95" customHeight="1">
      <c r="A13" s="97" t="s">
        <v>332</v>
      </c>
      <c r="B13" s="97"/>
      <c r="C13" s="97"/>
      <c r="D13" s="24"/>
      <c r="E13" s="120"/>
      <c r="F13" s="120"/>
    </row>
    <row r="14" spans="1:6" ht="19.95" customHeight="1">
      <c r="A14" s="122" t="s">
        <v>12</v>
      </c>
      <c r="B14" s="130" t="s">
        <v>13</v>
      </c>
      <c r="C14" s="130" t="s">
        <v>14</v>
      </c>
      <c r="D14" s="121" t="s">
        <v>15</v>
      </c>
      <c r="E14" s="120"/>
      <c r="F14" s="120"/>
    </row>
    <row r="15" spans="1:6" ht="24" customHeight="1">
      <c r="A15" s="123">
        <v>1</v>
      </c>
      <c r="B15" s="126" t="s">
        <v>16</v>
      </c>
      <c r="C15" s="131" t="s">
        <v>238</v>
      </c>
      <c r="D15" s="136" t="s">
        <v>312</v>
      </c>
      <c r="E15" s="120"/>
      <c r="F15" s="120"/>
    </row>
    <row r="16" spans="1:6" ht="37.950000000000003" customHeight="1">
      <c r="A16" s="124">
        <v>2</v>
      </c>
      <c r="B16" s="134" t="s">
        <v>17</v>
      </c>
      <c r="C16" s="135" t="s">
        <v>239</v>
      </c>
      <c r="D16" s="137" t="s">
        <v>313</v>
      </c>
      <c r="E16" s="120"/>
      <c r="F16" s="120"/>
    </row>
    <row r="17" spans="1:6" ht="37.950000000000003" customHeight="1">
      <c r="A17" s="124">
        <v>3</v>
      </c>
      <c r="B17" s="127" t="s">
        <v>18</v>
      </c>
      <c r="C17" s="132" t="s">
        <v>217</v>
      </c>
      <c r="D17" s="138" t="s">
        <v>314</v>
      </c>
      <c r="E17" s="120"/>
      <c r="F17" s="120"/>
    </row>
    <row r="18" spans="1:6" ht="37.950000000000003" customHeight="1">
      <c r="A18" s="124">
        <v>4</v>
      </c>
      <c r="B18" s="134" t="s">
        <v>19</v>
      </c>
      <c r="C18" s="135" t="s">
        <v>218</v>
      </c>
      <c r="D18" s="137" t="s">
        <v>315</v>
      </c>
      <c r="E18" s="120"/>
      <c r="F18" s="120"/>
    </row>
    <row r="19" spans="1:6" ht="24" customHeight="1">
      <c r="A19" s="124">
        <v>5</v>
      </c>
      <c r="B19" s="127" t="s">
        <v>20</v>
      </c>
      <c r="C19" s="132" t="s">
        <v>240</v>
      </c>
      <c r="D19" s="138" t="s">
        <v>317</v>
      </c>
      <c r="E19" s="120"/>
      <c r="F19" s="120"/>
    </row>
    <row r="20" spans="1:6" ht="37.950000000000003" customHeight="1">
      <c r="A20" s="124">
        <v>6</v>
      </c>
      <c r="B20" s="134" t="s">
        <v>219</v>
      </c>
      <c r="C20" s="135" t="s">
        <v>241</v>
      </c>
      <c r="D20" s="137" t="s">
        <v>319</v>
      </c>
      <c r="E20" s="120"/>
      <c r="F20" s="120"/>
    </row>
    <row r="21" spans="1:6" ht="37.950000000000003" customHeight="1">
      <c r="A21" s="124">
        <v>7</v>
      </c>
      <c r="B21" s="127" t="s">
        <v>220</v>
      </c>
      <c r="C21" s="132" t="s">
        <v>242</v>
      </c>
      <c r="D21" s="138" t="s">
        <v>321</v>
      </c>
      <c r="E21" s="120"/>
      <c r="F21" s="120"/>
    </row>
    <row r="22" spans="1:6" ht="37.950000000000003" customHeight="1">
      <c r="A22" s="124">
        <v>8</v>
      </c>
      <c r="B22" s="134" t="s">
        <v>21</v>
      </c>
      <c r="C22" s="135" t="s">
        <v>243</v>
      </c>
      <c r="D22" s="137" t="s">
        <v>323</v>
      </c>
      <c r="E22" s="120"/>
      <c r="F22" s="120"/>
    </row>
    <row r="23" spans="1:6" ht="37.950000000000003" customHeight="1">
      <c r="A23" s="125">
        <v>9</v>
      </c>
      <c r="B23" s="128" t="s">
        <v>221</v>
      </c>
      <c r="C23" s="133" t="s">
        <v>244</v>
      </c>
      <c r="D23" s="139" t="s">
        <v>325</v>
      </c>
      <c r="E23" s="120"/>
      <c r="F23" s="120"/>
    </row>
    <row r="24" spans="1:6" ht="19.95" customHeight="1">
      <c r="A24" s="120"/>
      <c r="B24" s="120"/>
      <c r="C24" s="120"/>
      <c r="D24" s="120"/>
      <c r="E24" s="120"/>
      <c r="F24" s="120"/>
    </row>
    <row r="25" spans="1:6" ht="19.95" customHeight="1">
      <c r="A25" s="235" t="s">
        <v>333</v>
      </c>
      <c r="B25" s="236"/>
      <c r="C25" s="236"/>
      <c r="D25" s="236"/>
      <c r="E25" s="120"/>
      <c r="F25" s="120"/>
    </row>
    <row r="26" spans="1:6" ht="19.95" customHeight="1">
      <c r="A26" s="120"/>
      <c r="B26" s="120"/>
      <c r="C26" s="120"/>
      <c r="D26" s="120"/>
      <c r="E26" s="120"/>
      <c r="F26" s="120"/>
    </row>
    <row r="27" spans="1:6" ht="19.95" customHeight="1">
      <c r="A27" s="120"/>
      <c r="B27" s="120"/>
      <c r="C27" s="120"/>
      <c r="D27" s="120"/>
      <c r="E27" s="120"/>
      <c r="F27" s="120"/>
    </row>
    <row r="28" spans="1:6" ht="19.95" customHeight="1">
      <c r="A28" s="120"/>
      <c r="B28" s="120"/>
      <c r="C28" s="120"/>
      <c r="D28" s="120"/>
      <c r="E28" s="120"/>
      <c r="F28" s="120"/>
    </row>
    <row r="29" spans="1:6" ht="19.95" customHeight="1">
      <c r="A29" s="120"/>
      <c r="B29" s="120"/>
      <c r="C29" s="120"/>
      <c r="D29" s="120"/>
      <c r="E29" s="120"/>
      <c r="F29" s="120"/>
    </row>
    <row r="30" spans="1:6" ht="19.95" customHeight="1">
      <c r="A30" s="120"/>
      <c r="B30" s="120"/>
      <c r="C30" s="120"/>
      <c r="D30" s="120"/>
      <c r="E30" s="120"/>
      <c r="F30" s="120"/>
    </row>
  </sheetData>
  <mergeCells count="10">
    <mergeCell ref="C7:D7"/>
    <mergeCell ref="C8:D8"/>
    <mergeCell ref="C9:D9"/>
    <mergeCell ref="C10:D10"/>
    <mergeCell ref="A25:D25"/>
    <mergeCell ref="A1:D1"/>
    <mergeCell ref="A2:D2"/>
    <mergeCell ref="C4:D4"/>
    <mergeCell ref="C5:D5"/>
    <mergeCell ref="C6:D6"/>
  </mergeCells>
  <phoneticPr fontId="6" type="noConversion"/>
  <hyperlinks>
    <hyperlink ref="D15" location="'Caso1_Normal'!A1" tooltip="Abrir Caso1_Normal" display="→  Caso1_Normal" xr:uid="{E07B973C-40D1-4B35-BA59-09D0E3EE04ED}"/>
    <hyperlink ref="D16" location="'Caso2_CambioTasa'!A1" tooltip="Abrir Caso2_CambioTasa" display="→  Caso2_CambioTasa" xr:uid="{00B145FA-599F-402C-9E59-4054408CBD69}"/>
    <hyperlink ref="D17" location="'Caso3_Dacion'!A1" tooltip="Abrir Caso3_Dacion" display="→  Caso3_Dacion" xr:uid="{B5A111A9-927A-46B1-B69F-5DA42B996D0B}"/>
    <hyperlink ref="D18" location="'Caso4_Retoma'!A1" tooltip="Abrir Caso4_Retoma" display="→  Caso4_Retoma" xr:uid="{6EFD3052-EB42-4E8E-8F97-E1468C9C2D1E}"/>
    <hyperlink ref="D19" location="'Caso5_Prepago'!A1" tooltip="Abrir Caso5_Prepago" display="→  Caso5_Prepago" xr:uid="{C759FFF4-97C4-4344-9875-F901309D9DB9}"/>
    <hyperlink ref="D20" location="'Caso6_MenorPlazo'!A1" tooltip="Abrir Caso6_MenorPlazo" display="→  Caso6_MenorPlazo" xr:uid="{A4818968-86DA-4F2B-A715-02160CBCB60C}"/>
    <hyperlink ref="D21" location="'Caso7_MenorCuota'!A1" tooltip="Abrir Caso7_MenorCuota" display="→  Caso7_MenorCuota" xr:uid="{420FA92C-3B04-48B9-9CF9-FF7B6E2F9D74}"/>
    <hyperlink ref="D22" location="'Caso8_PagoInferior'!A1" tooltip="Abrir Caso8_PagoInferior" display="→  Caso8_PagoInferior" xr:uid="{D7B4B305-D562-4BC5-8BE3-9EB0D81BAF40}"/>
    <hyperlink ref="D23" location="'Caso9_Cobranza'!A1" tooltip="Abrir Caso9_Cobranza" display="→  Caso9_Cobranza" xr:uid="{2CCDF5CA-D498-4F02-B3B3-9E285CC24E87}"/>
    <hyperlink ref="A25" location="'Inputs'!A1" tooltip="Abrir Inputs" display="←  Ir a la hoja de parámetros (Inputs)" xr:uid="{B139ED36-717C-4E38-B77E-75C0F4062A3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7"/>
  <sheetViews>
    <sheetView showGridLines="0" tabSelected="1" zoomScale="70" zoomScaleNormal="70" workbookViewId="0">
      <selection activeCell="D13" sqref="D13"/>
    </sheetView>
  </sheetViews>
  <sheetFormatPr baseColWidth="10" defaultColWidth="8.796875" defaultRowHeight="15" customHeight="1"/>
  <cols>
    <col min="1" max="1" width="50" style="1" customWidth="1"/>
    <col min="2" max="2" width="38.296875" style="1" customWidth="1"/>
    <col min="3" max="4" width="18.296875" style="1" customWidth="1"/>
    <col min="5" max="5" width="3" style="1" customWidth="1"/>
    <col min="6" max="6" width="35" style="1" customWidth="1"/>
    <col min="7" max="7" width="20" style="1" customWidth="1"/>
    <col min="8" max="8" width="21.69921875" style="1" customWidth="1"/>
    <col min="9" max="10" width="3" style="1" customWidth="1"/>
    <col min="11" max="16384" width="8.796875" style="1"/>
  </cols>
  <sheetData>
    <row r="1" spans="1:10" ht="34.049999999999997" customHeight="1">
      <c r="A1" s="97" t="s">
        <v>266</v>
      </c>
      <c r="B1" s="24"/>
      <c r="C1" s="24"/>
      <c r="D1" s="24"/>
      <c r="E1" s="18"/>
      <c r="F1" s="216" t="s">
        <v>250</v>
      </c>
      <c r="G1" s="216"/>
      <c r="H1" s="216"/>
      <c r="I1" s="18"/>
      <c r="J1" s="18"/>
    </row>
    <row r="2" spans="1:10" ht="19.95" customHeight="1">
      <c r="A2" s="98" t="s">
        <v>22</v>
      </c>
      <c r="B2" s="39" t="s">
        <v>23</v>
      </c>
      <c r="C2" s="27" t="s">
        <v>270</v>
      </c>
      <c r="D2" s="28"/>
      <c r="E2" s="18"/>
      <c r="F2" s="217" t="s">
        <v>292</v>
      </c>
      <c r="G2" s="217"/>
      <c r="H2" s="217"/>
      <c r="I2" s="18"/>
      <c r="J2" s="18"/>
    </row>
    <row r="3" spans="1:10" ht="19.95" customHeight="1">
      <c r="A3" s="82" t="s">
        <v>354</v>
      </c>
      <c r="B3" s="214">
        <f>B4+B5+B9+B11</f>
        <v>5904400</v>
      </c>
      <c r="C3" s="29" t="s">
        <v>251</v>
      </c>
      <c r="D3" s="26"/>
      <c r="E3" s="18"/>
      <c r="F3" s="218" t="s">
        <v>293</v>
      </c>
      <c r="G3" s="218"/>
      <c r="H3" s="218"/>
      <c r="I3" s="18"/>
      <c r="J3" s="18"/>
    </row>
    <row r="4" spans="1:10" ht="19.95" customHeight="1">
      <c r="A4" s="83" t="s">
        <v>26</v>
      </c>
      <c r="B4" s="41">
        <v>5100000</v>
      </c>
      <c r="C4" s="30" t="s">
        <v>251</v>
      </c>
      <c r="D4" s="21"/>
      <c r="E4" s="18"/>
      <c r="F4" s="225" t="s">
        <v>334</v>
      </c>
      <c r="G4" s="226"/>
      <c r="H4" s="226"/>
      <c r="I4" s="18"/>
      <c r="J4" s="18"/>
    </row>
    <row r="5" spans="1:10" ht="19.95" customHeight="1">
      <c r="A5" s="85" t="s">
        <v>347</v>
      </c>
      <c r="B5" s="214">
        <f>SUM(B6:B8)</f>
        <v>664400</v>
      </c>
      <c r="C5" s="30" t="s">
        <v>251</v>
      </c>
      <c r="D5" s="21"/>
      <c r="E5" s="18"/>
      <c r="F5" s="111"/>
      <c r="G5" s="68"/>
      <c r="H5" s="32"/>
      <c r="I5" s="18"/>
      <c r="J5" s="18"/>
    </row>
    <row r="6" spans="1:10" ht="19.95" customHeight="1">
      <c r="A6" s="215" t="s">
        <v>348</v>
      </c>
      <c r="B6" s="41">
        <v>171100</v>
      </c>
      <c r="C6" s="30" t="s">
        <v>251</v>
      </c>
      <c r="D6" s="21"/>
      <c r="E6" s="18"/>
      <c r="F6" s="111"/>
      <c r="G6" s="68"/>
      <c r="H6" s="32"/>
      <c r="I6" s="18"/>
      <c r="J6" s="18"/>
    </row>
    <row r="7" spans="1:10" ht="19.95" customHeight="1">
      <c r="A7" s="215" t="s">
        <v>349</v>
      </c>
      <c r="B7" s="41">
        <v>373300</v>
      </c>
      <c r="C7" s="30" t="s">
        <v>251</v>
      </c>
      <c r="D7" s="21"/>
      <c r="E7" s="18"/>
      <c r="F7" s="111"/>
      <c r="G7" s="68"/>
      <c r="H7" s="32"/>
      <c r="I7" s="18"/>
      <c r="J7" s="18"/>
    </row>
    <row r="8" spans="1:10" ht="19.95" customHeight="1">
      <c r="A8" s="215" t="s">
        <v>350</v>
      </c>
      <c r="B8" s="41">
        <v>120000</v>
      </c>
      <c r="C8" s="30" t="s">
        <v>251</v>
      </c>
      <c r="D8" s="21"/>
      <c r="E8" s="18"/>
      <c r="F8" s="111"/>
      <c r="G8" s="68"/>
      <c r="H8" s="32"/>
      <c r="I8" s="18"/>
      <c r="J8" s="18"/>
    </row>
    <row r="9" spans="1:10" ht="19.95" customHeight="1">
      <c r="A9" s="85" t="s">
        <v>351</v>
      </c>
      <c r="B9" s="214">
        <f>SUM(B10)</f>
        <v>80000</v>
      </c>
      <c r="C9" s="30" t="s">
        <v>251</v>
      </c>
      <c r="D9" s="21"/>
      <c r="E9" s="18"/>
      <c r="F9" s="111"/>
      <c r="G9" s="68"/>
      <c r="H9" s="32"/>
      <c r="I9" s="18"/>
      <c r="J9" s="18"/>
    </row>
    <row r="10" spans="1:10" ht="19.95" customHeight="1">
      <c r="A10" s="215" t="s">
        <v>352</v>
      </c>
      <c r="B10" s="41">
        <v>80000</v>
      </c>
      <c r="C10" s="30" t="s">
        <v>251</v>
      </c>
      <c r="D10" s="21"/>
      <c r="E10" s="18"/>
      <c r="F10" s="111"/>
      <c r="G10" s="68"/>
      <c r="H10" s="32"/>
      <c r="I10" s="18"/>
      <c r="J10" s="18"/>
    </row>
    <row r="11" spans="1:10" ht="19.95" customHeight="1">
      <c r="A11" s="83" t="s">
        <v>353</v>
      </c>
      <c r="B11" s="41">
        <v>60000</v>
      </c>
      <c r="C11" s="30" t="s">
        <v>251</v>
      </c>
      <c r="D11" s="21"/>
      <c r="E11" s="18"/>
      <c r="F11" s="111"/>
      <c r="G11" s="68"/>
      <c r="H11" s="32"/>
      <c r="I11" s="18"/>
      <c r="J11" s="18"/>
    </row>
    <row r="12" spans="1:10" ht="25.95" customHeight="1">
      <c r="A12" s="83" t="s">
        <v>222</v>
      </c>
      <c r="B12" s="42">
        <v>20</v>
      </c>
      <c r="C12" s="30" t="s">
        <v>253</v>
      </c>
      <c r="D12" s="21"/>
      <c r="E12" s="18"/>
      <c r="F12" s="23" t="s">
        <v>294</v>
      </c>
      <c r="G12" s="23"/>
      <c r="H12" s="23"/>
      <c r="I12" s="18"/>
      <c r="J12" s="18"/>
    </row>
    <row r="13" spans="1:10" ht="19.95" customHeight="1">
      <c r="A13" s="83" t="s">
        <v>27</v>
      </c>
      <c r="B13" s="42">
        <v>52</v>
      </c>
      <c r="C13" s="30" t="s">
        <v>271</v>
      </c>
      <c r="D13" s="21"/>
      <c r="E13" s="18"/>
      <c r="F13" s="110" t="s">
        <v>26</v>
      </c>
      <c r="G13" s="67">
        <f>B4</f>
        <v>5100000</v>
      </c>
      <c r="H13" s="71" t="s">
        <v>251</v>
      </c>
      <c r="I13" s="18"/>
      <c r="J13" s="18"/>
    </row>
    <row r="14" spans="1:10" ht="19.95" customHeight="1">
      <c r="A14" s="83" t="s">
        <v>28</v>
      </c>
      <c r="B14" s="40">
        <f>B13/12</f>
        <v>4.333333333333333</v>
      </c>
      <c r="C14" s="30" t="s">
        <v>272</v>
      </c>
      <c r="D14" s="21"/>
      <c r="E14" s="18"/>
      <c r="F14" s="111" t="s">
        <v>25</v>
      </c>
      <c r="G14" s="68">
        <f>B3</f>
        <v>5904400</v>
      </c>
      <c r="H14" s="32" t="s">
        <v>251</v>
      </c>
      <c r="I14" s="18"/>
      <c r="J14" s="18"/>
    </row>
    <row r="15" spans="1:10" ht="19.95" customHeight="1">
      <c r="A15" s="83" t="s">
        <v>223</v>
      </c>
      <c r="B15" s="43">
        <f>ROUNDDOWN(B12*B14,0)</f>
        <v>86</v>
      </c>
      <c r="C15" s="30" t="s">
        <v>273</v>
      </c>
      <c r="D15" s="21"/>
      <c r="E15" s="18"/>
      <c r="F15" s="111" t="s">
        <v>295</v>
      </c>
      <c r="G15" s="73">
        <f>IFERROR(B3/B4,0)</f>
        <v>1.1577254901960785</v>
      </c>
      <c r="H15" s="32" t="s">
        <v>296</v>
      </c>
      <c r="I15" s="18"/>
      <c r="J15" s="18"/>
    </row>
    <row r="16" spans="1:10" ht="19.95" customHeight="1">
      <c r="A16" s="83" t="s">
        <v>224</v>
      </c>
      <c r="B16" s="45">
        <v>0.87319999999999998</v>
      </c>
      <c r="C16" s="30" t="s">
        <v>274</v>
      </c>
      <c r="D16" s="21"/>
      <c r="E16" s="18"/>
      <c r="F16" s="111" t="s">
        <v>252</v>
      </c>
      <c r="G16" s="74">
        <f>B12</f>
        <v>20</v>
      </c>
      <c r="H16" s="32" t="s">
        <v>253</v>
      </c>
      <c r="I16" s="18"/>
      <c r="J16" s="18"/>
    </row>
    <row r="17" spans="1:10" ht="19.95" customHeight="1">
      <c r="A17" s="83" t="s">
        <v>29</v>
      </c>
      <c r="B17" s="44">
        <f>((1+B16)^(1/B13))-1</f>
        <v>1.2143295980573843E-2</v>
      </c>
      <c r="C17" s="30" t="s">
        <v>275</v>
      </c>
      <c r="D17" s="21"/>
      <c r="E17" s="18"/>
      <c r="F17" s="111" t="s">
        <v>256</v>
      </c>
      <c r="G17" s="74">
        <f>B15</f>
        <v>86</v>
      </c>
      <c r="H17" s="32" t="s">
        <v>273</v>
      </c>
      <c r="I17" s="18"/>
      <c r="J17" s="18"/>
    </row>
    <row r="18" spans="1:10" ht="19.95" customHeight="1">
      <c r="A18" s="83" t="s">
        <v>30</v>
      </c>
      <c r="B18" s="38">
        <f>((1+B16)^(1/365))-1</f>
        <v>1.7210634375772749E-3</v>
      </c>
      <c r="C18" s="30" t="s">
        <v>276</v>
      </c>
      <c r="D18" s="21"/>
      <c r="E18" s="18"/>
      <c r="F18" s="111" t="s">
        <v>297</v>
      </c>
      <c r="G18" s="69">
        <f>B16</f>
        <v>0.87319999999999998</v>
      </c>
      <c r="H18" s="32" t="s">
        <v>257</v>
      </c>
      <c r="I18" s="18"/>
      <c r="J18" s="18"/>
    </row>
    <row r="19" spans="1:10" ht="19.95" customHeight="1">
      <c r="A19" s="83" t="s">
        <v>31</v>
      </c>
      <c r="B19" s="38">
        <f>((1+B16)^(1/12))-1</f>
        <v>5.369603483312746E-2</v>
      </c>
      <c r="C19" s="30" t="s">
        <v>277</v>
      </c>
      <c r="D19" s="21"/>
      <c r="E19" s="18"/>
      <c r="F19" s="111" t="s">
        <v>298</v>
      </c>
      <c r="G19" s="70">
        <f>B17</f>
        <v>1.2143295980573843E-2</v>
      </c>
      <c r="H19" s="32" t="s">
        <v>275</v>
      </c>
      <c r="I19" s="18"/>
      <c r="J19" s="18"/>
    </row>
    <row r="20" spans="1:10" ht="19.95" customHeight="1">
      <c r="A20" s="84" t="s">
        <v>225</v>
      </c>
      <c r="B20" s="50">
        <f>PMT(B17,B15,-B3)</f>
        <v>111014.82187676849</v>
      </c>
      <c r="C20" s="31" t="s">
        <v>278</v>
      </c>
      <c r="D20" s="22"/>
      <c r="E20" s="18"/>
      <c r="F20" s="111" t="s">
        <v>73</v>
      </c>
      <c r="G20" s="68">
        <f>B20</f>
        <v>111014.82187676849</v>
      </c>
      <c r="H20" s="32" t="s">
        <v>264</v>
      </c>
      <c r="I20" s="18"/>
      <c r="J20" s="18"/>
    </row>
    <row r="21" spans="1:10" ht="19.95" customHeight="1">
      <c r="A21" s="99"/>
      <c r="B21" s="19"/>
      <c r="C21" s="19"/>
      <c r="D21" s="18"/>
      <c r="E21" s="18"/>
      <c r="F21" s="111" t="s">
        <v>74</v>
      </c>
      <c r="G21" s="68">
        <f>B31</f>
        <v>63034.172307692315</v>
      </c>
      <c r="H21" s="32" t="s">
        <v>299</v>
      </c>
      <c r="I21" s="18"/>
      <c r="J21" s="18"/>
    </row>
    <row r="22" spans="1:10" ht="24" customHeight="1">
      <c r="A22" s="97" t="s">
        <v>267</v>
      </c>
      <c r="B22" s="24"/>
      <c r="C22" s="25"/>
      <c r="D22" s="24"/>
      <c r="E22" s="18"/>
      <c r="F22" s="112" t="s">
        <v>255</v>
      </c>
      <c r="G22" s="75">
        <f>B32</f>
        <v>174048.99418446081</v>
      </c>
      <c r="H22" s="76" t="s">
        <v>300</v>
      </c>
      <c r="I22" s="18"/>
      <c r="J22" s="18"/>
    </row>
    <row r="23" spans="1:10" ht="19.95" customHeight="1">
      <c r="A23" s="98" t="s">
        <v>22</v>
      </c>
      <c r="B23" s="39" t="s">
        <v>23</v>
      </c>
      <c r="C23" s="27" t="s">
        <v>270</v>
      </c>
      <c r="D23" s="28"/>
      <c r="E23" s="18"/>
      <c r="F23" s="113" t="s">
        <v>301</v>
      </c>
      <c r="G23" s="72">
        <f>B32*B15</f>
        <v>14968213.49986363</v>
      </c>
      <c r="H23" s="33" t="s">
        <v>302</v>
      </c>
      <c r="I23" s="18"/>
      <c r="J23" s="18"/>
    </row>
    <row r="24" spans="1:10" ht="19.95" customHeight="1">
      <c r="A24" s="82" t="s">
        <v>246</v>
      </c>
      <c r="B24" s="45">
        <v>0.03</v>
      </c>
      <c r="C24" s="29" t="s">
        <v>254</v>
      </c>
      <c r="D24" s="26"/>
      <c r="E24" s="18"/>
      <c r="F24" s="114"/>
      <c r="G24" s="18"/>
      <c r="H24" s="18"/>
      <c r="I24" s="18"/>
      <c r="J24" s="18"/>
    </row>
    <row r="25" spans="1:10" ht="25.95" customHeight="1">
      <c r="A25" s="83" t="s">
        <v>32</v>
      </c>
      <c r="B25" s="41">
        <v>40000</v>
      </c>
      <c r="C25" s="30" t="s">
        <v>259</v>
      </c>
      <c r="D25" s="21"/>
      <c r="E25" s="18"/>
      <c r="F25" s="115" t="s">
        <v>303</v>
      </c>
      <c r="G25" s="23"/>
      <c r="H25" s="23"/>
      <c r="I25" s="18"/>
      <c r="J25" s="18"/>
    </row>
    <row r="26" spans="1:10" ht="19.95" customHeight="1">
      <c r="A26" s="83" t="s">
        <v>245</v>
      </c>
      <c r="B26" s="45">
        <v>2.5000000000000001E-3</v>
      </c>
      <c r="C26" s="30" t="s">
        <v>254</v>
      </c>
      <c r="D26" s="21"/>
      <c r="E26" s="18"/>
      <c r="F26" s="110" t="s">
        <v>304</v>
      </c>
      <c r="G26" s="79" t="s">
        <v>305</v>
      </c>
      <c r="H26" s="20"/>
      <c r="I26" s="18"/>
      <c r="J26" s="18"/>
    </row>
    <row r="27" spans="1:10" ht="19.95" customHeight="1">
      <c r="A27" s="83" t="s">
        <v>247</v>
      </c>
      <c r="B27" s="46">
        <v>0.19</v>
      </c>
      <c r="C27" s="30" t="s">
        <v>279</v>
      </c>
      <c r="D27" s="21"/>
      <c r="E27" s="18"/>
      <c r="F27" s="111" t="s">
        <v>306</v>
      </c>
      <c r="G27" s="80" t="s">
        <v>307</v>
      </c>
      <c r="H27" s="21"/>
      <c r="I27" s="18"/>
      <c r="J27" s="18"/>
    </row>
    <row r="28" spans="1:10" ht="19.95" customHeight="1">
      <c r="A28" s="83" t="s">
        <v>226</v>
      </c>
      <c r="B28" s="36">
        <f>B3*B24/B14*(1+B27)</f>
        <v>48643.172307692315</v>
      </c>
      <c r="C28" s="30" t="s">
        <v>278</v>
      </c>
      <c r="D28" s="21"/>
      <c r="E28" s="18"/>
      <c r="F28" s="113" t="s">
        <v>308</v>
      </c>
      <c r="G28" s="81" t="s">
        <v>212</v>
      </c>
      <c r="H28" s="22"/>
      <c r="I28" s="18"/>
      <c r="J28" s="18"/>
    </row>
    <row r="29" spans="1:10" ht="19.95" customHeight="1">
      <c r="A29" s="83" t="s">
        <v>227</v>
      </c>
      <c r="B29" s="37">
        <f>B25/B14*(1+B27)</f>
        <v>10984.615384615387</v>
      </c>
      <c r="C29" s="30" t="s">
        <v>278</v>
      </c>
      <c r="D29" s="21"/>
      <c r="E29" s="18"/>
      <c r="F29" s="114"/>
      <c r="G29" s="18"/>
      <c r="H29" s="18"/>
      <c r="I29" s="18"/>
      <c r="J29" s="18"/>
    </row>
    <row r="30" spans="1:10" ht="25.95" customHeight="1">
      <c r="A30" s="83" t="s">
        <v>228</v>
      </c>
      <c r="B30" s="37">
        <f>B3*B26/B14</f>
        <v>3406.3846153846157</v>
      </c>
      <c r="C30" s="30" t="s">
        <v>278</v>
      </c>
      <c r="D30" s="21"/>
      <c r="E30" s="18"/>
      <c r="F30" s="115" t="s">
        <v>309</v>
      </c>
      <c r="G30" s="23"/>
      <c r="H30" s="23"/>
      <c r="I30" s="18"/>
      <c r="J30" s="18"/>
    </row>
    <row r="31" spans="1:10" ht="19.95" customHeight="1">
      <c r="A31" s="85" t="s">
        <v>33</v>
      </c>
      <c r="B31" s="53">
        <f>SUM(B28:B30)</f>
        <v>63034.172307692315</v>
      </c>
      <c r="C31" s="30" t="s">
        <v>278</v>
      </c>
      <c r="D31" s="21"/>
      <c r="E31" s="18"/>
      <c r="F31" s="116" t="s">
        <v>310</v>
      </c>
      <c r="G31" s="219" t="s">
        <v>311</v>
      </c>
      <c r="H31" s="220"/>
      <c r="I31" s="18"/>
      <c r="J31" s="18"/>
    </row>
    <row r="32" spans="1:10" ht="19.95" customHeight="1">
      <c r="A32" s="86" t="s">
        <v>34</v>
      </c>
      <c r="B32" s="52">
        <f>B20+B31</f>
        <v>174048.99418446081</v>
      </c>
      <c r="C32" s="51" t="s">
        <v>278</v>
      </c>
      <c r="D32" s="109"/>
      <c r="E32" s="18"/>
      <c r="F32" s="117" t="s">
        <v>312</v>
      </c>
      <c r="G32" s="221" t="s">
        <v>16</v>
      </c>
      <c r="H32" s="222"/>
      <c r="I32" s="18"/>
      <c r="J32" s="18"/>
    </row>
    <row r="33" spans="1:10" ht="19.95" customHeight="1">
      <c r="A33" s="99"/>
      <c r="B33" s="19"/>
      <c r="C33" s="19"/>
      <c r="D33" s="18"/>
      <c r="E33" s="18"/>
      <c r="F33" s="117" t="s">
        <v>313</v>
      </c>
      <c r="G33" s="221" t="s">
        <v>17</v>
      </c>
      <c r="H33" s="222"/>
      <c r="I33" s="18"/>
      <c r="J33" s="18"/>
    </row>
    <row r="34" spans="1:10" ht="25.95" customHeight="1">
      <c r="A34" s="100" t="s">
        <v>268</v>
      </c>
      <c r="B34" s="25"/>
      <c r="C34" s="25"/>
      <c r="D34" s="24"/>
      <c r="E34" s="18"/>
      <c r="F34" s="117" t="s">
        <v>314</v>
      </c>
      <c r="G34" s="221" t="s">
        <v>18</v>
      </c>
      <c r="H34" s="222"/>
      <c r="I34" s="18"/>
      <c r="J34" s="18"/>
    </row>
    <row r="35" spans="1:10" ht="19.95" customHeight="1">
      <c r="A35" s="101" t="s">
        <v>12</v>
      </c>
      <c r="B35" s="39" t="s">
        <v>22</v>
      </c>
      <c r="C35" s="39" t="s">
        <v>23</v>
      </c>
      <c r="D35" s="55" t="s">
        <v>270</v>
      </c>
      <c r="E35" s="18"/>
      <c r="F35" s="117" t="s">
        <v>315</v>
      </c>
      <c r="G35" s="221" t="s">
        <v>316</v>
      </c>
      <c r="H35" s="222"/>
      <c r="I35" s="18"/>
      <c r="J35" s="18"/>
    </row>
    <row r="36" spans="1:10" ht="19.95" customHeight="1">
      <c r="A36" s="102" t="s">
        <v>262</v>
      </c>
      <c r="B36" s="87" t="s">
        <v>36</v>
      </c>
      <c r="C36" s="42">
        <v>11</v>
      </c>
      <c r="D36" s="54" t="s">
        <v>260</v>
      </c>
      <c r="E36" s="18"/>
      <c r="F36" s="117" t="s">
        <v>317</v>
      </c>
      <c r="G36" s="221" t="s">
        <v>318</v>
      </c>
      <c r="H36" s="222"/>
      <c r="I36" s="18"/>
      <c r="J36" s="18"/>
    </row>
    <row r="37" spans="1:10" ht="19.95" customHeight="1">
      <c r="A37" s="103" t="s">
        <v>35</v>
      </c>
      <c r="B37" s="88" t="s">
        <v>37</v>
      </c>
      <c r="C37" s="45">
        <v>0.8</v>
      </c>
      <c r="D37" s="34" t="s">
        <v>257</v>
      </c>
      <c r="E37" s="18"/>
      <c r="F37" s="117" t="s">
        <v>319</v>
      </c>
      <c r="G37" s="221" t="s">
        <v>320</v>
      </c>
      <c r="H37" s="222"/>
      <c r="I37" s="18"/>
      <c r="J37" s="18"/>
    </row>
    <row r="38" spans="1:10" ht="19.95" customHeight="1">
      <c r="A38" s="103" t="s">
        <v>35</v>
      </c>
      <c r="B38" s="88" t="s">
        <v>38</v>
      </c>
      <c r="C38" s="44">
        <f>((1+C37)^(1/B13))-1</f>
        <v>1.1367716673677863E-2</v>
      </c>
      <c r="D38" s="34" t="s">
        <v>275</v>
      </c>
      <c r="E38" s="18"/>
      <c r="F38" s="117" t="s">
        <v>321</v>
      </c>
      <c r="G38" s="221" t="s">
        <v>322</v>
      </c>
      <c r="H38" s="222"/>
      <c r="I38" s="18"/>
      <c r="J38" s="18"/>
    </row>
    <row r="39" spans="1:10" ht="19.95" customHeight="1">
      <c r="A39" s="104" t="s">
        <v>35</v>
      </c>
      <c r="B39" s="89" t="s">
        <v>230</v>
      </c>
      <c r="C39" s="43">
        <f>ROUNDDOWN((C36-1)*$B$14,0)+1</f>
        <v>44</v>
      </c>
      <c r="D39" s="60" t="s">
        <v>261</v>
      </c>
      <c r="E39" s="18"/>
      <c r="F39" s="117" t="s">
        <v>323</v>
      </c>
      <c r="G39" s="221" t="s">
        <v>324</v>
      </c>
      <c r="H39" s="222"/>
      <c r="I39" s="18"/>
      <c r="J39" s="18"/>
    </row>
    <row r="40" spans="1:10" ht="19.95" customHeight="1">
      <c r="A40" s="105" t="s">
        <v>263</v>
      </c>
      <c r="B40" s="90" t="s">
        <v>40</v>
      </c>
      <c r="C40" s="42">
        <v>7</v>
      </c>
      <c r="D40" s="61" t="s">
        <v>260</v>
      </c>
      <c r="E40" s="18"/>
      <c r="F40" s="117" t="s">
        <v>325</v>
      </c>
      <c r="G40" s="221" t="s">
        <v>326</v>
      </c>
      <c r="H40" s="222"/>
      <c r="I40" s="18"/>
      <c r="J40" s="18"/>
    </row>
    <row r="41" spans="1:10" ht="19.95" customHeight="1">
      <c r="A41" s="106" t="s">
        <v>39</v>
      </c>
      <c r="B41" s="91" t="s">
        <v>41</v>
      </c>
      <c r="C41" s="57">
        <f>C40+1</f>
        <v>8</v>
      </c>
      <c r="D41" s="56" t="s">
        <v>260</v>
      </c>
      <c r="E41" s="18"/>
      <c r="F41" s="118" t="s">
        <v>327</v>
      </c>
      <c r="G41" s="223" t="s">
        <v>328</v>
      </c>
      <c r="H41" s="224"/>
      <c r="I41" s="18"/>
      <c r="J41" s="18"/>
    </row>
    <row r="42" spans="1:10" ht="19.95" customHeight="1">
      <c r="A42" s="106" t="s">
        <v>39</v>
      </c>
      <c r="B42" s="91" t="s">
        <v>42</v>
      </c>
      <c r="C42" s="41">
        <v>3000000</v>
      </c>
      <c r="D42" s="56" t="s">
        <v>251</v>
      </c>
      <c r="E42" s="18"/>
      <c r="F42" s="18"/>
      <c r="G42" s="18"/>
      <c r="H42" s="18"/>
      <c r="I42" s="18"/>
      <c r="J42" s="18"/>
    </row>
    <row r="43" spans="1:10" ht="19.95" customHeight="1">
      <c r="A43" s="106" t="s">
        <v>39</v>
      </c>
      <c r="B43" s="91" t="s">
        <v>43</v>
      </c>
      <c r="C43" s="58">
        <f>ROUNDDOWN(C40*$B$14,0)</f>
        <v>30</v>
      </c>
      <c r="D43" s="56" t="s">
        <v>261</v>
      </c>
      <c r="E43" s="18"/>
      <c r="F43" s="18"/>
      <c r="G43" s="18"/>
      <c r="H43" s="18"/>
      <c r="I43" s="18"/>
      <c r="J43" s="18"/>
    </row>
    <row r="44" spans="1:10" ht="19.95" customHeight="1">
      <c r="A44" s="107" t="s">
        <v>39</v>
      </c>
      <c r="B44" s="92" t="s">
        <v>44</v>
      </c>
      <c r="C44" s="59">
        <f>ROUNDDOWN(C41*$B$14,0)</f>
        <v>34</v>
      </c>
      <c r="D44" s="62" t="s">
        <v>261</v>
      </c>
      <c r="E44" s="18"/>
      <c r="F44" s="18"/>
      <c r="G44" s="18"/>
      <c r="H44" s="18"/>
      <c r="I44" s="18"/>
      <c r="J44" s="18"/>
    </row>
    <row r="45" spans="1:10" ht="19.95" customHeight="1">
      <c r="A45" s="102" t="s">
        <v>286</v>
      </c>
      <c r="B45" s="87" t="s">
        <v>46</v>
      </c>
      <c r="C45" s="42">
        <v>4</v>
      </c>
      <c r="D45" s="54" t="s">
        <v>260</v>
      </c>
      <c r="E45" s="18"/>
      <c r="F45" s="18"/>
      <c r="G45" s="18"/>
      <c r="H45" s="18"/>
      <c r="I45" s="18"/>
      <c r="J45" s="18"/>
    </row>
    <row r="46" spans="1:10" ht="19.95" customHeight="1">
      <c r="A46" s="103" t="s">
        <v>45</v>
      </c>
      <c r="B46" s="88" t="s">
        <v>47</v>
      </c>
      <c r="C46" s="47">
        <f>C45</f>
        <v>4</v>
      </c>
      <c r="D46" s="34" t="s">
        <v>260</v>
      </c>
      <c r="E46" s="18"/>
      <c r="F46" s="18"/>
      <c r="G46" s="18"/>
      <c r="H46" s="18"/>
      <c r="I46" s="18"/>
      <c r="J46" s="18"/>
    </row>
    <row r="47" spans="1:10" ht="19.95" customHeight="1">
      <c r="A47" s="103" t="s">
        <v>45</v>
      </c>
      <c r="B47" s="88" t="s">
        <v>48</v>
      </c>
      <c r="C47" s="48">
        <v>6800000</v>
      </c>
      <c r="D47" s="34" t="s">
        <v>251</v>
      </c>
      <c r="E47" s="18"/>
      <c r="F47" s="18"/>
      <c r="G47" s="18"/>
      <c r="H47" s="18"/>
      <c r="I47" s="18"/>
      <c r="J47" s="18"/>
    </row>
    <row r="48" spans="1:10" ht="19.95" customHeight="1">
      <c r="A48" s="103" t="s">
        <v>45</v>
      </c>
      <c r="B48" s="88" t="s">
        <v>43</v>
      </c>
      <c r="C48" s="35">
        <f>ROUNDDOWN((C45-1)*$B$14,0)</f>
        <v>13</v>
      </c>
      <c r="D48" s="34" t="s">
        <v>261</v>
      </c>
      <c r="E48" s="18"/>
      <c r="F48" s="18"/>
      <c r="G48" s="18"/>
      <c r="H48" s="18"/>
      <c r="I48" s="18"/>
      <c r="J48" s="18"/>
    </row>
    <row r="49" spans="1:10" ht="19.95" customHeight="1">
      <c r="A49" s="104" t="s">
        <v>45</v>
      </c>
      <c r="B49" s="89" t="s">
        <v>49</v>
      </c>
      <c r="C49" s="43">
        <f>ROUNDDOWN(C46*$B$14,0)</f>
        <v>17</v>
      </c>
      <c r="D49" s="60" t="s">
        <v>261</v>
      </c>
      <c r="E49" s="18"/>
      <c r="F49" s="18"/>
      <c r="G49" s="18"/>
      <c r="H49" s="18"/>
      <c r="I49" s="18"/>
      <c r="J49" s="18"/>
    </row>
    <row r="50" spans="1:10" ht="19.95" customHeight="1">
      <c r="A50" s="105" t="s">
        <v>287</v>
      </c>
      <c r="B50" s="90" t="s">
        <v>51</v>
      </c>
      <c r="C50" s="42">
        <v>10</v>
      </c>
      <c r="D50" s="61" t="s">
        <v>260</v>
      </c>
      <c r="E50" s="18"/>
      <c r="F50" s="18"/>
      <c r="G50" s="18"/>
      <c r="H50" s="18"/>
      <c r="I50" s="18"/>
      <c r="J50" s="18"/>
    </row>
    <row r="51" spans="1:10" ht="19.95" customHeight="1">
      <c r="A51" s="107" t="s">
        <v>50</v>
      </c>
      <c r="B51" s="92" t="s">
        <v>52</v>
      </c>
      <c r="C51" s="57">
        <f>ROUNDDOWN(C50*$B$14,0)</f>
        <v>43</v>
      </c>
      <c r="D51" s="62" t="s">
        <v>261</v>
      </c>
      <c r="E51" s="18"/>
      <c r="F51" s="18"/>
      <c r="G51" s="18"/>
      <c r="H51" s="18"/>
      <c r="I51" s="18"/>
      <c r="J51" s="18"/>
    </row>
    <row r="52" spans="1:10" ht="19.95" customHeight="1">
      <c r="A52" s="102" t="s">
        <v>288</v>
      </c>
      <c r="B52" s="87" t="s">
        <v>54</v>
      </c>
      <c r="C52" s="42">
        <v>10</v>
      </c>
      <c r="D52" s="54" t="s">
        <v>260</v>
      </c>
      <c r="E52" s="18"/>
      <c r="F52" s="18"/>
      <c r="G52" s="18"/>
      <c r="H52" s="18"/>
      <c r="I52" s="18"/>
      <c r="J52" s="18"/>
    </row>
    <row r="53" spans="1:10" ht="19.95" customHeight="1">
      <c r="A53" s="103" t="s">
        <v>53</v>
      </c>
      <c r="B53" s="88" t="s">
        <v>55</v>
      </c>
      <c r="C53" s="41">
        <v>2000000</v>
      </c>
      <c r="D53" s="34" t="s">
        <v>251</v>
      </c>
      <c r="E53" s="18"/>
      <c r="F53" s="18"/>
      <c r="G53" s="18"/>
      <c r="H53" s="18"/>
      <c r="I53" s="18"/>
      <c r="J53" s="18"/>
    </row>
    <row r="54" spans="1:10" ht="19.95" customHeight="1">
      <c r="A54" s="104" t="s">
        <v>53</v>
      </c>
      <c r="B54" s="89" t="s">
        <v>56</v>
      </c>
      <c r="C54" s="47">
        <f>ROUNDDOWN(C52*$B$14,0)</f>
        <v>43</v>
      </c>
      <c r="D54" s="60" t="s">
        <v>261</v>
      </c>
      <c r="E54" s="18"/>
      <c r="F54" s="18"/>
      <c r="G54" s="18"/>
      <c r="H54" s="18"/>
      <c r="I54" s="18"/>
      <c r="J54" s="18"/>
    </row>
    <row r="55" spans="1:10" ht="19.95" customHeight="1">
      <c r="A55" s="105" t="s">
        <v>289</v>
      </c>
      <c r="B55" s="90" t="s">
        <v>54</v>
      </c>
      <c r="C55" s="42">
        <v>10</v>
      </c>
      <c r="D55" s="61" t="s">
        <v>260</v>
      </c>
      <c r="E55" s="18"/>
      <c r="F55" s="18"/>
      <c r="G55" s="18"/>
      <c r="H55" s="18"/>
      <c r="I55" s="18"/>
      <c r="J55" s="18"/>
    </row>
    <row r="56" spans="1:10" ht="19.95" customHeight="1">
      <c r="A56" s="106" t="s">
        <v>57</v>
      </c>
      <c r="B56" s="91" t="s">
        <v>55</v>
      </c>
      <c r="C56" s="41">
        <v>2000000</v>
      </c>
      <c r="D56" s="56" t="s">
        <v>251</v>
      </c>
      <c r="E56" s="18"/>
      <c r="F56" s="18"/>
      <c r="G56" s="18"/>
      <c r="H56" s="18"/>
      <c r="I56" s="18"/>
      <c r="J56" s="18"/>
    </row>
    <row r="57" spans="1:10" ht="19.95" customHeight="1">
      <c r="A57" s="107" t="s">
        <v>57</v>
      </c>
      <c r="B57" s="92" t="s">
        <v>56</v>
      </c>
      <c r="C57" s="57">
        <f>ROUNDDOWN(C55*$B$14,0)</f>
        <v>43</v>
      </c>
      <c r="D57" s="62" t="s">
        <v>261</v>
      </c>
      <c r="E57" s="18"/>
      <c r="F57" s="18"/>
      <c r="G57" s="18"/>
      <c r="H57" s="18"/>
      <c r="I57" s="18"/>
      <c r="J57" s="18"/>
    </row>
    <row r="58" spans="1:10" ht="19.95" customHeight="1">
      <c r="A58" s="102" t="s">
        <v>290</v>
      </c>
      <c r="B58" s="87" t="s">
        <v>59</v>
      </c>
      <c r="C58" s="42">
        <v>10</v>
      </c>
      <c r="D58" s="54" t="s">
        <v>260</v>
      </c>
      <c r="E58" s="18"/>
      <c r="F58" s="18"/>
      <c r="G58" s="18"/>
      <c r="H58" s="18"/>
      <c r="I58" s="18"/>
      <c r="J58" s="18"/>
    </row>
    <row r="59" spans="1:10" ht="19.95" customHeight="1">
      <c r="A59" s="103" t="s">
        <v>58</v>
      </c>
      <c r="B59" s="88" t="s">
        <v>364</v>
      </c>
      <c r="C59" s="46">
        <v>0.4</v>
      </c>
      <c r="D59" s="34" t="s">
        <v>265</v>
      </c>
      <c r="E59" s="18"/>
      <c r="F59" s="18"/>
      <c r="G59" s="18"/>
      <c r="H59" s="18"/>
      <c r="I59" s="18"/>
      <c r="J59" s="18"/>
    </row>
    <row r="60" spans="1:10" ht="19.95" customHeight="1">
      <c r="A60" s="103" t="s">
        <v>58</v>
      </c>
      <c r="B60" s="88" t="s">
        <v>60</v>
      </c>
      <c r="C60" s="47">
        <f>ROUNDDOWN(C58*$B$14,0)</f>
        <v>43</v>
      </c>
      <c r="D60" s="34" t="s">
        <v>261</v>
      </c>
      <c r="E60" s="18"/>
      <c r="F60" s="18"/>
      <c r="G60" s="18"/>
      <c r="H60" s="18"/>
      <c r="I60" s="18"/>
      <c r="J60" s="18"/>
    </row>
    <row r="61" spans="1:10" ht="19.95" customHeight="1">
      <c r="A61" s="104" t="s">
        <v>58</v>
      </c>
      <c r="B61" s="89" t="s">
        <v>229</v>
      </c>
      <c r="C61" s="65">
        <v>100</v>
      </c>
      <c r="D61" s="60" t="s">
        <v>283</v>
      </c>
      <c r="E61" s="18"/>
      <c r="F61" s="18"/>
      <c r="G61" s="18"/>
      <c r="H61" s="18"/>
      <c r="I61" s="18"/>
      <c r="J61" s="18"/>
    </row>
    <row r="62" spans="1:10" ht="19.95" customHeight="1">
      <c r="A62" s="105" t="s">
        <v>291</v>
      </c>
      <c r="B62" s="90" t="s">
        <v>62</v>
      </c>
      <c r="C62" s="42">
        <v>10</v>
      </c>
      <c r="D62" s="61" t="s">
        <v>260</v>
      </c>
      <c r="E62" s="18"/>
      <c r="F62" s="18"/>
      <c r="G62" s="18"/>
      <c r="H62" s="18"/>
      <c r="I62" s="18"/>
      <c r="J62" s="18"/>
    </row>
    <row r="63" spans="1:10" ht="19.95" customHeight="1">
      <c r="A63" s="106" t="s">
        <v>61</v>
      </c>
      <c r="B63" s="91" t="s">
        <v>63</v>
      </c>
      <c r="C63" s="42">
        <v>14</v>
      </c>
      <c r="D63" s="56" t="s">
        <v>258</v>
      </c>
      <c r="E63" s="18"/>
      <c r="F63" s="18"/>
      <c r="G63" s="18"/>
      <c r="H63" s="18"/>
      <c r="I63" s="18"/>
      <c r="J63" s="18"/>
    </row>
    <row r="64" spans="1:10" ht="19.95" customHeight="1">
      <c r="A64" s="106" t="s">
        <v>61</v>
      </c>
      <c r="B64" s="91" t="s">
        <v>64</v>
      </c>
      <c r="C64" s="41">
        <v>3000</v>
      </c>
      <c r="D64" s="56" t="s">
        <v>284</v>
      </c>
      <c r="E64" s="18"/>
      <c r="F64" s="18"/>
      <c r="G64" s="18"/>
      <c r="H64" s="18"/>
      <c r="I64" s="18"/>
      <c r="J64" s="18"/>
    </row>
    <row r="65" spans="1:10" ht="19.95" customHeight="1">
      <c r="A65" s="106" t="s">
        <v>61</v>
      </c>
      <c r="B65" s="91" t="s">
        <v>65</v>
      </c>
      <c r="C65" s="63">
        <f>C63*C64</f>
        <v>42000</v>
      </c>
      <c r="D65" s="56" t="s">
        <v>285</v>
      </c>
      <c r="E65" s="18"/>
      <c r="F65" s="18"/>
      <c r="G65" s="18"/>
      <c r="H65" s="18"/>
      <c r="I65" s="18"/>
      <c r="J65" s="18"/>
    </row>
    <row r="66" spans="1:10" ht="19.95" customHeight="1">
      <c r="A66" s="106" t="s">
        <v>61</v>
      </c>
      <c r="B66" s="91" t="s">
        <v>66</v>
      </c>
      <c r="C66" s="59">
        <f>ROUNDDOWN(C62*$B$14,0)</f>
        <v>43</v>
      </c>
      <c r="D66" s="56" t="s">
        <v>261</v>
      </c>
      <c r="E66" s="18"/>
      <c r="F66" s="18"/>
      <c r="G66" s="18"/>
      <c r="H66" s="18"/>
      <c r="I66" s="18"/>
      <c r="J66" s="18"/>
    </row>
    <row r="67" spans="1:10" ht="19.95" customHeight="1">
      <c r="A67" s="108" t="s">
        <v>61</v>
      </c>
      <c r="B67" s="93" t="s">
        <v>229</v>
      </c>
      <c r="C67" s="42">
        <v>120</v>
      </c>
      <c r="D67" s="64" t="s">
        <v>283</v>
      </c>
      <c r="E67" s="18"/>
      <c r="F67" s="18"/>
      <c r="G67" s="18"/>
      <c r="H67" s="18"/>
      <c r="I67" s="18"/>
      <c r="J67" s="18"/>
    </row>
    <row r="68" spans="1:10" ht="19.95" customHeight="1">
      <c r="A68" s="99"/>
      <c r="B68" s="19"/>
      <c r="C68" s="19"/>
      <c r="D68" s="18"/>
      <c r="E68" s="18"/>
      <c r="F68" s="18"/>
      <c r="G68" s="18"/>
      <c r="H68" s="18"/>
      <c r="I68" s="18"/>
      <c r="J68" s="18"/>
    </row>
    <row r="69" spans="1:10" ht="25.95" customHeight="1">
      <c r="A69" s="100" t="s">
        <v>269</v>
      </c>
      <c r="B69" s="25"/>
      <c r="C69" s="25"/>
      <c r="D69" s="24"/>
      <c r="E69" s="18"/>
      <c r="F69" s="18"/>
      <c r="G69" s="18"/>
      <c r="H69" s="18"/>
      <c r="I69" s="18"/>
      <c r="J69" s="18"/>
    </row>
    <row r="70" spans="1:10" ht="19.95" customHeight="1">
      <c r="A70" s="98" t="s">
        <v>24</v>
      </c>
      <c r="B70" s="39" t="s">
        <v>67</v>
      </c>
      <c r="C70" s="27" t="s">
        <v>270</v>
      </c>
      <c r="D70" s="28"/>
      <c r="E70" s="18"/>
      <c r="F70" s="18"/>
      <c r="G70" s="18"/>
      <c r="H70" s="18"/>
      <c r="I70" s="18"/>
      <c r="J70" s="18"/>
    </row>
    <row r="71" spans="1:10" ht="19.95" customHeight="1">
      <c r="A71" s="94" t="s">
        <v>68</v>
      </c>
      <c r="B71" s="41">
        <v>1</v>
      </c>
      <c r="C71" s="29" t="s">
        <v>251</v>
      </c>
      <c r="D71" s="26"/>
      <c r="E71" s="18"/>
      <c r="F71" s="18"/>
      <c r="G71" s="18"/>
      <c r="H71" s="18"/>
      <c r="I71" s="18"/>
      <c r="J71" s="18"/>
    </row>
    <row r="72" spans="1:10" ht="19.95" customHeight="1">
      <c r="A72" s="95" t="s">
        <v>69</v>
      </c>
      <c r="B72" s="49">
        <v>9.9999999999999995E-7</v>
      </c>
      <c r="C72" s="30" t="s">
        <v>280</v>
      </c>
      <c r="D72" s="21"/>
      <c r="E72" s="18"/>
      <c r="F72" s="18"/>
      <c r="G72" s="18"/>
      <c r="H72" s="18"/>
      <c r="I72" s="18"/>
      <c r="J72" s="18"/>
    </row>
    <row r="73" spans="1:10" ht="19.95" customHeight="1">
      <c r="A73" s="95" t="s">
        <v>70</v>
      </c>
      <c r="B73" s="42">
        <v>0</v>
      </c>
      <c r="C73" s="30" t="s">
        <v>281</v>
      </c>
      <c r="D73" s="21"/>
      <c r="E73" s="18"/>
      <c r="F73" s="18"/>
      <c r="G73" s="18"/>
      <c r="H73" s="18"/>
      <c r="I73" s="18"/>
      <c r="J73" s="18"/>
    </row>
    <row r="74" spans="1:10" ht="19.95" customHeight="1">
      <c r="A74" s="96" t="s">
        <v>71</v>
      </c>
      <c r="B74" s="42">
        <v>0</v>
      </c>
      <c r="C74" s="31" t="s">
        <v>282</v>
      </c>
      <c r="D74" s="22"/>
      <c r="E74" s="18"/>
      <c r="F74" s="18"/>
      <c r="G74" s="18"/>
      <c r="H74" s="18"/>
      <c r="I74" s="18"/>
      <c r="J74" s="18"/>
    </row>
    <row r="75" spans="1:10" ht="19.9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 ht="19.9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 ht="19.9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 ht="19.9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 ht="19.9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 ht="19.9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 ht="19.9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 ht="19.9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 ht="19.9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 ht="19.9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 ht="19.9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 ht="19.9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 ht="19.9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</row>
  </sheetData>
  <mergeCells count="15">
    <mergeCell ref="G40:H40"/>
    <mergeCell ref="G41:H41"/>
    <mergeCell ref="F4:H4"/>
    <mergeCell ref="G35:H35"/>
    <mergeCell ref="G36:H36"/>
    <mergeCell ref="G37:H37"/>
    <mergeCell ref="G38:H38"/>
    <mergeCell ref="G39:H39"/>
    <mergeCell ref="G33:H33"/>
    <mergeCell ref="G34:H34"/>
    <mergeCell ref="F1:H1"/>
    <mergeCell ref="F2:H2"/>
    <mergeCell ref="F3:H3"/>
    <mergeCell ref="G31:H31"/>
    <mergeCell ref="G32:H32"/>
  </mergeCells>
  <hyperlinks>
    <hyperlink ref="F31" location="'Casos'!A1" tooltip="Ir a Casos" display="→  Casos" xr:uid="{E16AB6BD-B573-48DB-A4A2-902BF5334FBA}"/>
    <hyperlink ref="F32" location="'Caso1_Normal'!A1" tooltip="Ir a Caso1_Normal" display="→  Caso1_Normal" xr:uid="{F7DF2696-C193-48FA-9835-A5759340CBFD}"/>
    <hyperlink ref="F33" location="'Caso2_CambioTasa'!A1" tooltip="Ir a Caso2_CambioTasa" display="→  Caso2_CambioTasa" xr:uid="{0D0AF18A-CC5C-4FD2-AEA8-1D438B8F5C62}"/>
    <hyperlink ref="F34" location="'Caso3_Dacion'!A1" tooltip="Ir a Caso3_Dacion" display="→  Caso3_Dacion" xr:uid="{931C603D-1BED-4671-889B-CDE3EBCB1C1D}"/>
    <hyperlink ref="F35" location="'Caso4_Retoma'!A1" tooltip="Ir a Caso4_Retoma" display="→  Caso4_Retoma" xr:uid="{2D377D29-67EC-42B3-8619-0C7A3926404A}"/>
    <hyperlink ref="F36" location="'Caso5_Prepago'!A1" tooltip="Ir a Caso5_Prepago" display="→  Caso5_Prepago" xr:uid="{E9863AB1-51D1-4788-8E3A-F9958AC2DB80}"/>
    <hyperlink ref="F37" location="'Caso6_MenorPlazo'!A1" tooltip="Ir a Caso6_MenorPlazo" display="→  Caso6_MenorPlazo" xr:uid="{D56ECBDA-94FB-4240-9095-76F23E5033C3}"/>
    <hyperlink ref="F38" location="'Caso7_MenorCuota'!A1" tooltip="Ir a Caso7_MenorCuota" display="→  Caso7_MenorCuota" xr:uid="{B1F2B2F2-C090-4C36-81A3-8E2D41E742A5}"/>
    <hyperlink ref="F39" location="'Caso8_PagoInferior'!A1" tooltip="Ir a Caso8_PagoInferior" display="→  Caso8_PagoInferior" xr:uid="{CF89C9C2-4B57-42E5-BC1F-DD12B5FD5487}"/>
    <hyperlink ref="F40" location="'Caso9_Cobranza'!A1" tooltip="Ir a Caso9_Cobranza" display="→  Caso9_Cobranza" xr:uid="{891E93E8-C9BE-4C4D-988A-F33E77DC8409}"/>
    <hyperlink ref="F41" location="'Validaciones'!A1" tooltip="Ir a Validaciones" display="→  Validaciones" xr:uid="{082DE8C9-086F-4C0F-B1BF-1BBD01CCAD71}"/>
    <hyperlink ref="F4" location="'Casos'!A1" tooltip="Abrir Casos" display="→  Ir a la hoja de casos (Casos)" xr:uid="{C177DB72-6AA1-4FBD-AC9B-B41C583BAC0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4"/>
  <sheetViews>
    <sheetView showGridLines="0" zoomScale="80" zoomScaleNormal="80" workbookViewId="0">
      <pane ySplit="2" topLeftCell="A3" activePane="bottomLeft" state="frozen"/>
      <selection pane="bottomLeft" activeCell="I14" sqref="I14"/>
    </sheetView>
  </sheetViews>
  <sheetFormatPr baseColWidth="10" defaultColWidth="8.796875" defaultRowHeight="15" customHeight="1"/>
  <cols>
    <col min="1" max="2" width="9.69921875" style="3" customWidth="1"/>
    <col min="3" max="3" width="25" style="3" customWidth="1"/>
    <col min="4" max="17" width="16.69921875" style="3" customWidth="1"/>
    <col min="18" max="18" width="20" style="3" customWidth="1"/>
    <col min="19" max="21" width="3" style="3" customWidth="1"/>
    <col min="22" max="22" width="38.296875" style="3" customWidth="1"/>
    <col min="23" max="24" width="20" style="3" customWidth="1"/>
    <col min="25" max="25" width="55" style="3" customWidth="1"/>
    <col min="26" max="28" width="10.69921875" style="3" customWidth="1"/>
    <col min="29" max="16384" width="8.796875" style="3"/>
  </cols>
  <sheetData>
    <row r="1" spans="1:28" ht="34.049999999999997" customHeight="1">
      <c r="A1" s="148" t="s">
        <v>339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8"/>
      <c r="T1" s="18"/>
      <c r="U1" s="18"/>
      <c r="V1" s="115" t="s">
        <v>336</v>
      </c>
      <c r="W1" s="23"/>
      <c r="X1" s="23"/>
      <c r="Y1" s="23"/>
      <c r="Z1" s="18"/>
      <c r="AA1" s="18"/>
      <c r="AB1" s="18"/>
    </row>
    <row r="2" spans="1:28" ht="34.049999999999997" customHeight="1">
      <c r="A2" s="140" t="s">
        <v>76</v>
      </c>
      <c r="B2" s="141" t="s">
        <v>77</v>
      </c>
      <c r="C2" s="141" t="s">
        <v>78</v>
      </c>
      <c r="D2" s="141" t="s">
        <v>79</v>
      </c>
      <c r="E2" s="141" t="s">
        <v>29</v>
      </c>
      <c r="F2" s="141" t="s">
        <v>80</v>
      </c>
      <c r="G2" s="141" t="s">
        <v>73</v>
      </c>
      <c r="H2" s="141" t="s">
        <v>81</v>
      </c>
      <c r="I2" s="141" t="s">
        <v>82</v>
      </c>
      <c r="J2" s="141" t="s">
        <v>83</v>
      </c>
      <c r="K2" s="141" t="s">
        <v>84</v>
      </c>
      <c r="L2" s="141" t="s">
        <v>9</v>
      </c>
      <c r="M2" s="141" t="s">
        <v>85</v>
      </c>
      <c r="N2" s="141" t="s">
        <v>86</v>
      </c>
      <c r="O2" s="141" t="s">
        <v>87</v>
      </c>
      <c r="P2" s="141" t="s">
        <v>88</v>
      </c>
      <c r="Q2" s="141" t="s">
        <v>89</v>
      </c>
      <c r="R2" s="142" t="s">
        <v>90</v>
      </c>
      <c r="S2" s="18"/>
      <c r="T2" s="18"/>
      <c r="U2" s="18"/>
      <c r="V2" s="110" t="s">
        <v>72</v>
      </c>
      <c r="W2" s="165">
        <f>Inputs!$B$15</f>
        <v>86</v>
      </c>
      <c r="X2" s="66"/>
      <c r="Y2" s="66"/>
      <c r="Z2" s="18"/>
      <c r="AA2" s="18"/>
      <c r="AB2" s="18"/>
    </row>
    <row r="3" spans="1:28" ht="18" customHeight="1">
      <c r="A3" s="155">
        <v>0</v>
      </c>
      <c r="B3" s="156">
        <v>0</v>
      </c>
      <c r="C3" s="159" t="s">
        <v>92</v>
      </c>
      <c r="D3" s="153">
        <f>Inputs!$B$3</f>
        <v>5904400</v>
      </c>
      <c r="E3" s="154">
        <v>0</v>
      </c>
      <c r="F3" s="153">
        <v>0</v>
      </c>
      <c r="G3" s="153">
        <v>0</v>
      </c>
      <c r="H3" s="153">
        <v>0</v>
      </c>
      <c r="I3" s="153">
        <v>0</v>
      </c>
      <c r="J3" s="153">
        <v>0</v>
      </c>
      <c r="K3" s="153">
        <v>0</v>
      </c>
      <c r="L3" s="153">
        <v>0</v>
      </c>
      <c r="M3" s="153">
        <v>0</v>
      </c>
      <c r="N3" s="153">
        <f>D3</f>
        <v>5904400</v>
      </c>
      <c r="O3" s="153">
        <v>0</v>
      </c>
      <c r="P3" s="153">
        <v>0</v>
      </c>
      <c r="Q3" s="153">
        <v>0</v>
      </c>
      <c r="R3" s="162" t="s">
        <v>93</v>
      </c>
      <c r="S3" s="18"/>
      <c r="T3" s="18"/>
      <c r="U3" s="18"/>
      <c r="V3" s="111" t="s">
        <v>29</v>
      </c>
      <c r="W3" s="166">
        <f>Inputs!$B$17</f>
        <v>1.2143295980573843E-2</v>
      </c>
      <c r="X3" s="144"/>
      <c r="Y3" s="144"/>
      <c r="Z3" s="18"/>
      <c r="AA3" s="18"/>
      <c r="AB3" s="18"/>
    </row>
    <row r="4" spans="1:28" ht="18" customHeight="1">
      <c r="A4" s="157">
        <v>1</v>
      </c>
      <c r="B4" s="77">
        <f>ROUNDUP(A4/Inputs!$B$14,0)</f>
        <v>1</v>
      </c>
      <c r="C4" s="160" t="str">
        <f>IF(A4=Inputs!$B$15,"Pago final","Pago normal")</f>
        <v>Pago normal</v>
      </c>
      <c r="D4" s="149">
        <f t="shared" ref="D4:D35" si="0">N3</f>
        <v>5904400</v>
      </c>
      <c r="E4" s="150">
        <f>Inputs!$B$17</f>
        <v>1.2143295980573843E-2</v>
      </c>
      <c r="F4" s="149">
        <f t="shared" ref="F4:F35" si="1">D4*E4</f>
        <v>71698.876787700196</v>
      </c>
      <c r="G4" s="149">
        <f>MIN(Inputs!$B$20,D4+F4)</f>
        <v>111014.82187676849</v>
      </c>
      <c r="H4" s="149">
        <f t="shared" ref="H4:H35" si="2">MIN(D4,G4-F4)</f>
        <v>39315.945089068293</v>
      </c>
      <c r="I4" s="149">
        <f>Inputs!$B$28</f>
        <v>48643.172307692315</v>
      </c>
      <c r="J4" s="149">
        <f>Inputs!$B$29</f>
        <v>10984.615384615387</v>
      </c>
      <c r="K4" s="149">
        <f>Inputs!$B$30</f>
        <v>3406.3846153846157</v>
      </c>
      <c r="L4" s="149">
        <f t="shared" ref="L4:L35" si="3">SUM(I4:K4)</f>
        <v>63034.172307692315</v>
      </c>
      <c r="M4" s="149">
        <f t="shared" ref="M4:M35" si="4">G4+L4</f>
        <v>174048.99418446081</v>
      </c>
      <c r="N4" s="149">
        <f t="shared" ref="N4:N35" si="5">MAX(0,D4-H4)</f>
        <v>5865084.0549109317</v>
      </c>
      <c r="O4" s="149">
        <f>IF(OR(A4=Inputs!$B$15,ROUNDUP((A4+1)/Inputs!$B$14,0)&gt;B4),SUMIF($B$4:B4,B4,$I$4:I4),0)</f>
        <v>0</v>
      </c>
      <c r="P4" s="149">
        <f>IF(OR(A4=Inputs!$B$15,ROUNDUP((A4+1)/Inputs!$B$14,0)&gt;B4),SUMIF($B$4:B4,B4,$J$4:J4),0)</f>
        <v>0</v>
      </c>
      <c r="Q4" s="149">
        <f>IF(OR(A4=Inputs!$B$15,ROUNDUP((A4+1)/Inputs!$B$14,0)&gt;B4),SUMIF($B$4:B4,B4,$K$4:K4),0)</f>
        <v>0</v>
      </c>
      <c r="R4" s="163" t="str">
        <f t="shared" ref="R4:R35" si="6">IF(N4&lt;=0.005,"Amortizado","Vigente al día")</f>
        <v>Vigente al día</v>
      </c>
      <c r="S4" s="18"/>
      <c r="T4" s="18"/>
      <c r="U4" s="18"/>
      <c r="V4" s="111" t="s">
        <v>73</v>
      </c>
      <c r="W4" s="167">
        <f>Inputs!$B$20</f>
        <v>111014.82187676849</v>
      </c>
      <c r="X4" s="145"/>
      <c r="Y4" s="145"/>
      <c r="Z4" s="18"/>
      <c r="AA4" s="18"/>
      <c r="AB4" s="18"/>
    </row>
    <row r="5" spans="1:28" ht="18" customHeight="1">
      <c r="A5" s="157">
        <v>2</v>
      </c>
      <c r="B5" s="77">
        <f>ROUNDUP(A5/Inputs!$B$14,0)</f>
        <v>1</v>
      </c>
      <c r="C5" s="160" t="str">
        <f>IF(A5=Inputs!$B$15,"Pago final","Pago normal")</f>
        <v>Pago normal</v>
      </c>
      <c r="D5" s="149">
        <f t="shared" si="0"/>
        <v>5865084.0549109317</v>
      </c>
      <c r="E5" s="150">
        <f>Inputs!$B$17</f>
        <v>1.2143295980573843E-2</v>
      </c>
      <c r="F5" s="149">
        <f t="shared" si="1"/>
        <v>71221.451629727657</v>
      </c>
      <c r="G5" s="149">
        <f>MIN(Inputs!$B$20,D5+F5)</f>
        <v>111014.82187676849</v>
      </c>
      <c r="H5" s="149">
        <f t="shared" si="2"/>
        <v>39793.370247040832</v>
      </c>
      <c r="I5" s="149">
        <f>Inputs!$B$28</f>
        <v>48643.172307692315</v>
      </c>
      <c r="J5" s="149">
        <f>Inputs!$B$29</f>
        <v>10984.615384615387</v>
      </c>
      <c r="K5" s="149">
        <f>Inputs!$B$30</f>
        <v>3406.3846153846157</v>
      </c>
      <c r="L5" s="149">
        <f t="shared" si="3"/>
        <v>63034.172307692315</v>
      </c>
      <c r="M5" s="149">
        <f t="shared" si="4"/>
        <v>174048.99418446081</v>
      </c>
      <c r="N5" s="149">
        <f t="shared" si="5"/>
        <v>5825290.6846638909</v>
      </c>
      <c r="O5" s="149">
        <f>IF(OR(A5=Inputs!$B$15,ROUNDUP((A5+1)/Inputs!$B$14,0)&gt;B5),SUMIF($B$4:B5,B5,$I$4:I5),0)</f>
        <v>0</v>
      </c>
      <c r="P5" s="149">
        <f>IF(OR(A5=Inputs!$B$15,ROUNDUP((A5+1)/Inputs!$B$14,0)&gt;B5),SUMIF($B$4:B5,B5,$J$4:J5),0)</f>
        <v>0</v>
      </c>
      <c r="Q5" s="149">
        <f>IF(OR(A5=Inputs!$B$15,ROUNDUP((A5+1)/Inputs!$B$14,0)&gt;B5),SUMIF($B$4:B5,B5,$K$4:K5),0)</f>
        <v>0</v>
      </c>
      <c r="R5" s="163" t="str">
        <f t="shared" si="6"/>
        <v>Vigente al día</v>
      </c>
      <c r="S5" s="18"/>
      <c r="T5" s="18"/>
      <c r="U5" s="18"/>
      <c r="V5" s="111" t="s">
        <v>74</v>
      </c>
      <c r="W5" s="167">
        <f>Inputs!$B$31</f>
        <v>63034.172307692315</v>
      </c>
      <c r="X5" s="145"/>
      <c r="Y5" s="145"/>
      <c r="Z5" s="18"/>
      <c r="AA5" s="18"/>
      <c r="AB5" s="18"/>
    </row>
    <row r="6" spans="1:28" ht="18" customHeight="1">
      <c r="A6" s="157">
        <v>3</v>
      </c>
      <c r="B6" s="77">
        <f>ROUNDUP(A6/Inputs!$B$14,0)</f>
        <v>1</v>
      </c>
      <c r="C6" s="160" t="str">
        <f>IF(A6=Inputs!$B$15,"Pago final","Pago normal")</f>
        <v>Pago normal</v>
      </c>
      <c r="D6" s="149">
        <f t="shared" si="0"/>
        <v>5825290.6846638909</v>
      </c>
      <c r="E6" s="150">
        <f>Inputs!$B$17</f>
        <v>1.2143295980573843E-2</v>
      </c>
      <c r="F6" s="149">
        <f t="shared" si="1"/>
        <v>70738.228956753272</v>
      </c>
      <c r="G6" s="149">
        <f>MIN(Inputs!$B$20,D6+F6)</f>
        <v>111014.82187676849</v>
      </c>
      <c r="H6" s="149">
        <f t="shared" si="2"/>
        <v>40276.592920015217</v>
      </c>
      <c r="I6" s="149">
        <f>Inputs!$B$28</f>
        <v>48643.172307692315</v>
      </c>
      <c r="J6" s="149">
        <f>Inputs!$B$29</f>
        <v>10984.615384615387</v>
      </c>
      <c r="K6" s="149">
        <f>Inputs!$B$30</f>
        <v>3406.3846153846157</v>
      </c>
      <c r="L6" s="149">
        <f t="shared" si="3"/>
        <v>63034.172307692315</v>
      </c>
      <c r="M6" s="149">
        <f t="shared" si="4"/>
        <v>174048.99418446081</v>
      </c>
      <c r="N6" s="149">
        <f t="shared" si="5"/>
        <v>5785014.0917438753</v>
      </c>
      <c r="O6" s="149">
        <f>IF(OR(A6=Inputs!$B$15,ROUNDUP((A6+1)/Inputs!$B$14,0)&gt;B6),SUMIF($B$4:B6,B6,$I$4:I6),0)</f>
        <v>0</v>
      </c>
      <c r="P6" s="149">
        <f>IF(OR(A6=Inputs!$B$15,ROUNDUP((A6+1)/Inputs!$B$14,0)&gt;B6),SUMIF($B$4:B6,B6,$J$4:J6),0)</f>
        <v>0</v>
      </c>
      <c r="Q6" s="149">
        <f>IF(OR(A6=Inputs!$B$15,ROUNDUP((A6+1)/Inputs!$B$14,0)&gt;B6),SUMIF($B$4:B6,B6,$K$4:K6),0)</f>
        <v>0</v>
      </c>
      <c r="R6" s="163" t="str">
        <f t="shared" si="6"/>
        <v>Vigente al día</v>
      </c>
      <c r="S6" s="18"/>
      <c r="T6" s="18"/>
      <c r="U6" s="18"/>
      <c r="V6" s="111" t="s">
        <v>75</v>
      </c>
      <c r="W6" s="167">
        <f>Inputs!$B$32</f>
        <v>174048.99418446081</v>
      </c>
      <c r="X6" s="145"/>
      <c r="Y6" s="145"/>
      <c r="Z6" s="18"/>
      <c r="AA6" s="18"/>
      <c r="AB6" s="18"/>
    </row>
    <row r="7" spans="1:28" ht="18" customHeight="1">
      <c r="A7" s="157">
        <v>4</v>
      </c>
      <c r="B7" s="77">
        <f>ROUNDUP(A7/Inputs!$B$14,0)</f>
        <v>1</v>
      </c>
      <c r="C7" s="160" t="str">
        <f>IF(A7=Inputs!$B$15,"Pago final","Pago normal")</f>
        <v>Pago normal</v>
      </c>
      <c r="D7" s="149">
        <f t="shared" si="0"/>
        <v>5785014.0917438753</v>
      </c>
      <c r="E7" s="150">
        <f>Inputs!$B$17</f>
        <v>1.2143295980573843E-2</v>
      </c>
      <c r="F7" s="149">
        <f t="shared" si="1"/>
        <v>70249.138367836436</v>
      </c>
      <c r="G7" s="149">
        <f>MIN(Inputs!$B$20,D7+F7)</f>
        <v>111014.82187676849</v>
      </c>
      <c r="H7" s="149">
        <f t="shared" si="2"/>
        <v>40765.683508932052</v>
      </c>
      <c r="I7" s="149">
        <f>Inputs!$B$28</f>
        <v>48643.172307692315</v>
      </c>
      <c r="J7" s="149">
        <f>Inputs!$B$29</f>
        <v>10984.615384615387</v>
      </c>
      <c r="K7" s="149">
        <f>Inputs!$B$30</f>
        <v>3406.3846153846157</v>
      </c>
      <c r="L7" s="149">
        <f t="shared" si="3"/>
        <v>63034.172307692315</v>
      </c>
      <c r="M7" s="149">
        <f t="shared" si="4"/>
        <v>174048.99418446081</v>
      </c>
      <c r="N7" s="149">
        <f t="shared" si="5"/>
        <v>5744248.4082349436</v>
      </c>
      <c r="O7" s="149">
        <f>IF(OR(A7=Inputs!$B$15,ROUNDUP((A7+1)/Inputs!$B$14,0)&gt;B7),SUMIF($B$4:B7,B7,$I$4:I7),0)</f>
        <v>194572.68923076926</v>
      </c>
      <c r="P7" s="149">
        <f>IF(OR(A7=Inputs!$B$15,ROUNDUP((A7+1)/Inputs!$B$14,0)&gt;B7),SUMIF($B$4:B7,B7,$J$4:J7),0)</f>
        <v>43938.461538461546</v>
      </c>
      <c r="Q7" s="149">
        <f>IF(OR(A7=Inputs!$B$15,ROUNDUP((A7+1)/Inputs!$B$14,0)&gt;B7),SUMIF($B$4:B7,B7,$K$4:K7),0)</f>
        <v>13625.538461538463</v>
      </c>
      <c r="R7" s="163" t="str">
        <f t="shared" si="6"/>
        <v>Vigente al día</v>
      </c>
      <c r="S7" s="18"/>
      <c r="T7" s="18"/>
      <c r="U7" s="18"/>
      <c r="V7" s="111" t="s">
        <v>91</v>
      </c>
      <c r="W7" s="167">
        <f>SUM(F4:F89)</f>
        <v>3642874.6814020928</v>
      </c>
      <c r="X7" s="145"/>
      <c r="Y7" s="145"/>
      <c r="Z7" s="18"/>
      <c r="AA7" s="18"/>
      <c r="AB7" s="18"/>
    </row>
    <row r="8" spans="1:28" ht="18" customHeight="1">
      <c r="A8" s="157">
        <v>5</v>
      </c>
      <c r="B8" s="77">
        <f>ROUNDUP(A8/Inputs!$B$14,0)</f>
        <v>2</v>
      </c>
      <c r="C8" s="160" t="str">
        <f>IF(A8=Inputs!$B$15,"Pago final","Pago normal")</f>
        <v>Pago normal</v>
      </c>
      <c r="D8" s="149">
        <f t="shared" si="0"/>
        <v>5744248.4082349436</v>
      </c>
      <c r="E8" s="150">
        <f>Inputs!$B$17</f>
        <v>1.2143295980573843E-2</v>
      </c>
      <c r="F8" s="149">
        <f t="shared" si="1"/>
        <v>69754.108607137081</v>
      </c>
      <c r="G8" s="149">
        <f>MIN(Inputs!$B$20,D8+F8)</f>
        <v>111014.82187676849</v>
      </c>
      <c r="H8" s="149">
        <f t="shared" si="2"/>
        <v>41260.713269631407</v>
      </c>
      <c r="I8" s="149">
        <f>Inputs!$B$28</f>
        <v>48643.172307692315</v>
      </c>
      <c r="J8" s="149">
        <f>Inputs!$B$29</f>
        <v>10984.615384615387</v>
      </c>
      <c r="K8" s="149">
        <f>Inputs!$B$30</f>
        <v>3406.3846153846157</v>
      </c>
      <c r="L8" s="149">
        <f t="shared" si="3"/>
        <v>63034.172307692315</v>
      </c>
      <c r="M8" s="149">
        <f t="shared" si="4"/>
        <v>174048.99418446081</v>
      </c>
      <c r="N8" s="149">
        <f t="shared" si="5"/>
        <v>5702987.6949653123</v>
      </c>
      <c r="O8" s="149">
        <f>IF(OR(A8=Inputs!$B$15,ROUNDUP((A8+1)/Inputs!$B$14,0)&gt;B8),SUMIF($B$4:B8,B8,$I$4:I8),0)</f>
        <v>0</v>
      </c>
      <c r="P8" s="149">
        <f>IF(OR(A8=Inputs!$B$15,ROUNDUP((A8+1)/Inputs!$B$14,0)&gt;B8),SUMIF($B$4:B8,B8,$J$4:J8),0)</f>
        <v>0</v>
      </c>
      <c r="Q8" s="149">
        <f>IF(OR(A8=Inputs!$B$15,ROUNDUP((A8+1)/Inputs!$B$14,0)&gt;B8),SUMIF($B$4:B8,B8,$K$4:K8),0)</f>
        <v>0</v>
      </c>
      <c r="R8" s="163" t="str">
        <f t="shared" si="6"/>
        <v>Vigente al día</v>
      </c>
      <c r="S8" s="18"/>
      <c r="T8" s="18"/>
      <c r="U8" s="18"/>
      <c r="V8" s="111" t="s">
        <v>86</v>
      </c>
      <c r="W8" s="167">
        <f>N89</f>
        <v>4.2928149923682213E-9</v>
      </c>
      <c r="X8" s="145"/>
      <c r="Y8" s="145"/>
      <c r="Z8" s="18"/>
      <c r="AA8" s="18"/>
      <c r="AB8" s="18"/>
    </row>
    <row r="9" spans="1:28" ht="18" customHeight="1">
      <c r="A9" s="157">
        <v>6</v>
      </c>
      <c r="B9" s="77">
        <f>ROUNDUP(A9/Inputs!$B$14,0)</f>
        <v>2</v>
      </c>
      <c r="C9" s="160" t="str">
        <f>IF(A9=Inputs!$B$15,"Pago final","Pago normal")</f>
        <v>Pago normal</v>
      </c>
      <c r="D9" s="149">
        <f t="shared" si="0"/>
        <v>5702987.6949653123</v>
      </c>
      <c r="E9" s="150">
        <f>Inputs!$B$17</f>
        <v>1.2143295980573843E-2</v>
      </c>
      <c r="F9" s="149">
        <f t="shared" si="1"/>
        <v>69253.067553534362</v>
      </c>
      <c r="G9" s="149">
        <f>MIN(Inputs!$B$20,D9+F9)</f>
        <v>111014.82187676849</v>
      </c>
      <c r="H9" s="149">
        <f t="shared" si="2"/>
        <v>41761.754323234127</v>
      </c>
      <c r="I9" s="149">
        <f>Inputs!$B$28</f>
        <v>48643.172307692315</v>
      </c>
      <c r="J9" s="149">
        <f>Inputs!$B$29</f>
        <v>10984.615384615387</v>
      </c>
      <c r="K9" s="149">
        <f>Inputs!$B$30</f>
        <v>3406.3846153846157</v>
      </c>
      <c r="L9" s="149">
        <f t="shared" si="3"/>
        <v>63034.172307692315</v>
      </c>
      <c r="M9" s="149">
        <f t="shared" si="4"/>
        <v>174048.99418446081</v>
      </c>
      <c r="N9" s="149">
        <f t="shared" si="5"/>
        <v>5661225.9406420784</v>
      </c>
      <c r="O9" s="149">
        <f>IF(OR(A9=Inputs!$B$15,ROUNDUP((A9+1)/Inputs!$B$14,0)&gt;B9),SUMIF($B$4:B9,B9,$I$4:I9),0)</f>
        <v>0</v>
      </c>
      <c r="P9" s="149">
        <f>IF(OR(A9=Inputs!$B$15,ROUNDUP((A9+1)/Inputs!$B$14,0)&gt;B9),SUMIF($B$4:B9,B9,$J$4:J9),0)</f>
        <v>0</v>
      </c>
      <c r="Q9" s="149">
        <f>IF(OR(A9=Inputs!$B$15,ROUNDUP((A9+1)/Inputs!$B$14,0)&gt;B9),SUMIF($B$4:B9,B9,$K$4:K9),0)</f>
        <v>0</v>
      </c>
      <c r="R9" s="163" t="str">
        <f t="shared" si="6"/>
        <v>Vigente al día</v>
      </c>
      <c r="S9" s="18"/>
      <c r="T9" s="18"/>
      <c r="U9" s="18"/>
      <c r="V9" s="113" t="s">
        <v>94</v>
      </c>
      <c r="W9" s="168">
        <f>INDEX(O4:O89,ROUNDDOWN(Inputs!$B$14,0))</f>
        <v>194572.68923076926</v>
      </c>
      <c r="X9" s="145"/>
      <c r="Y9" s="145"/>
      <c r="Z9" s="18"/>
      <c r="AA9" s="18"/>
      <c r="AB9" s="18"/>
    </row>
    <row r="10" spans="1:28" ht="18" customHeight="1">
      <c r="A10" s="157">
        <v>7</v>
      </c>
      <c r="B10" s="77">
        <f>ROUNDUP(A10/Inputs!$B$14,0)</f>
        <v>2</v>
      </c>
      <c r="C10" s="160" t="str">
        <f>IF(A10=Inputs!$B$15,"Pago final","Pago normal")</f>
        <v>Pago normal</v>
      </c>
      <c r="D10" s="149">
        <f t="shared" si="0"/>
        <v>5661225.9406420784</v>
      </c>
      <c r="E10" s="150">
        <f>Inputs!$B$17</f>
        <v>1.2143295980573843E-2</v>
      </c>
      <c r="F10" s="149">
        <f t="shared" si="1"/>
        <v>68745.942210119319</v>
      </c>
      <c r="G10" s="149">
        <f>MIN(Inputs!$B$20,D10+F10)</f>
        <v>111014.82187676849</v>
      </c>
      <c r="H10" s="149">
        <f t="shared" si="2"/>
        <v>42268.879666649169</v>
      </c>
      <c r="I10" s="149">
        <f>Inputs!$B$28</f>
        <v>48643.172307692315</v>
      </c>
      <c r="J10" s="149">
        <f>Inputs!$B$29</f>
        <v>10984.615384615387</v>
      </c>
      <c r="K10" s="149">
        <f>Inputs!$B$30</f>
        <v>3406.3846153846157</v>
      </c>
      <c r="L10" s="149">
        <f t="shared" si="3"/>
        <v>63034.172307692315</v>
      </c>
      <c r="M10" s="149">
        <f t="shared" si="4"/>
        <v>174048.99418446081</v>
      </c>
      <c r="N10" s="149">
        <f t="shared" si="5"/>
        <v>5618957.0609754296</v>
      </c>
      <c r="O10" s="149">
        <f>IF(OR(A10=Inputs!$B$15,ROUNDUP((A10+1)/Inputs!$B$14,0)&gt;B10),SUMIF($B$4:B10,B10,$I$4:I10),0)</f>
        <v>0</v>
      </c>
      <c r="P10" s="149">
        <f>IF(OR(A10=Inputs!$B$15,ROUNDUP((A10+1)/Inputs!$B$14,0)&gt;B10),SUMIF($B$4:B10,B10,$J$4:J10),0)</f>
        <v>0</v>
      </c>
      <c r="Q10" s="149">
        <f>IF(OR(A10=Inputs!$B$15,ROUNDUP((A10+1)/Inputs!$B$14,0)&gt;B10),SUMIF($B$4:B10,B10,$K$4:K10),0)</f>
        <v>0</v>
      </c>
      <c r="R10" s="163" t="str">
        <f t="shared" si="6"/>
        <v>Vigente al día</v>
      </c>
      <c r="S10" s="18"/>
      <c r="T10" s="18"/>
      <c r="U10" s="18"/>
      <c r="V10" s="18"/>
      <c r="W10" s="18"/>
      <c r="X10" s="18"/>
      <c r="Y10" s="18"/>
      <c r="Z10" s="18"/>
      <c r="AA10" s="18"/>
      <c r="AB10" s="18"/>
    </row>
    <row r="11" spans="1:28" ht="25.95" customHeight="1">
      <c r="A11" s="157">
        <v>8</v>
      </c>
      <c r="B11" s="77">
        <f>ROUNDUP(A11/Inputs!$B$14,0)</f>
        <v>2</v>
      </c>
      <c r="C11" s="160" t="str">
        <f>IF(A11=Inputs!$B$15,"Pago final","Pago normal")</f>
        <v>Pago normal</v>
      </c>
      <c r="D11" s="149">
        <f t="shared" si="0"/>
        <v>5618957.0609754296</v>
      </c>
      <c r="E11" s="150">
        <f>Inputs!$B$17</f>
        <v>1.2143295980573843E-2</v>
      </c>
      <c r="F11" s="149">
        <f t="shared" si="1"/>
        <v>68232.658693559948</v>
      </c>
      <c r="G11" s="149">
        <f>MIN(Inputs!$B$20,D11+F11)</f>
        <v>111014.82187676849</v>
      </c>
      <c r="H11" s="149">
        <f t="shared" si="2"/>
        <v>42782.16318320854</v>
      </c>
      <c r="I11" s="149">
        <f>Inputs!$B$28</f>
        <v>48643.172307692315</v>
      </c>
      <c r="J11" s="149">
        <f>Inputs!$B$29</f>
        <v>10984.615384615387</v>
      </c>
      <c r="K11" s="149">
        <f>Inputs!$B$30</f>
        <v>3406.3846153846157</v>
      </c>
      <c r="L11" s="149">
        <f t="shared" si="3"/>
        <v>63034.172307692315</v>
      </c>
      <c r="M11" s="149">
        <f t="shared" si="4"/>
        <v>174048.99418446081</v>
      </c>
      <c r="N11" s="149">
        <f t="shared" si="5"/>
        <v>5576174.897792221</v>
      </c>
      <c r="O11" s="149">
        <f>IF(OR(A11=Inputs!$B$15,ROUNDUP((A11+1)/Inputs!$B$14,0)&gt;B11),SUMIF($B$4:B11,B11,$I$4:I11),0)</f>
        <v>194572.68923076926</v>
      </c>
      <c r="P11" s="149">
        <f>IF(OR(A11=Inputs!$B$15,ROUNDUP((A11+1)/Inputs!$B$14,0)&gt;B11),SUMIF($B$4:B11,B11,$J$4:J11),0)</f>
        <v>43938.461538461546</v>
      </c>
      <c r="Q11" s="149">
        <f>IF(OR(A11=Inputs!$B$15,ROUNDUP((A11+1)/Inputs!$B$14,0)&gt;B11),SUMIF($B$4:B11,B11,$K$4:K11),0)</f>
        <v>13625.538461538463</v>
      </c>
      <c r="R11" s="163" t="str">
        <f t="shared" si="6"/>
        <v>Vigente al día</v>
      </c>
      <c r="S11" s="18"/>
      <c r="T11" s="18"/>
      <c r="U11" s="18"/>
      <c r="V11" s="115" t="s">
        <v>95</v>
      </c>
      <c r="W11" s="23"/>
      <c r="X11" s="23"/>
      <c r="Y11" s="23"/>
      <c r="Z11" s="18"/>
      <c r="AA11" s="18"/>
      <c r="AB11" s="18"/>
    </row>
    <row r="12" spans="1:28" ht="18" customHeight="1">
      <c r="A12" s="157">
        <v>9</v>
      </c>
      <c r="B12" s="77">
        <f>ROUNDUP(A12/Inputs!$B$14,0)</f>
        <v>3</v>
      </c>
      <c r="C12" s="160" t="str">
        <f>IF(A12=Inputs!$B$15,"Pago final","Pago normal")</f>
        <v>Pago normal</v>
      </c>
      <c r="D12" s="149">
        <f t="shared" si="0"/>
        <v>5576174.897792221</v>
      </c>
      <c r="E12" s="150">
        <f>Inputs!$B$17</f>
        <v>1.2143295980573843E-2</v>
      </c>
      <c r="F12" s="149">
        <f t="shared" si="1"/>
        <v>67713.142223337039</v>
      </c>
      <c r="G12" s="149">
        <f>MIN(Inputs!$B$20,D12+F12)</f>
        <v>111014.82187676849</v>
      </c>
      <c r="H12" s="149">
        <f t="shared" si="2"/>
        <v>43301.679653431449</v>
      </c>
      <c r="I12" s="149">
        <f>Inputs!$B$28</f>
        <v>48643.172307692315</v>
      </c>
      <c r="J12" s="149">
        <f>Inputs!$B$29</f>
        <v>10984.615384615387</v>
      </c>
      <c r="K12" s="149">
        <f>Inputs!$B$30</f>
        <v>3406.3846153846157</v>
      </c>
      <c r="L12" s="149">
        <f t="shared" si="3"/>
        <v>63034.172307692315</v>
      </c>
      <c r="M12" s="149">
        <f t="shared" si="4"/>
        <v>174048.99418446081</v>
      </c>
      <c r="N12" s="149">
        <f t="shared" si="5"/>
        <v>5532873.2181387898</v>
      </c>
      <c r="O12" s="149">
        <f>IF(OR(A12=Inputs!$B$15,ROUNDUP((A12+1)/Inputs!$B$14,0)&gt;B12),SUMIF($B$4:B12,B12,$I$4:I12),0)</f>
        <v>0</v>
      </c>
      <c r="P12" s="149">
        <f>IF(OR(A12=Inputs!$B$15,ROUNDUP((A12+1)/Inputs!$B$14,0)&gt;B12),SUMIF($B$4:B12,B12,$J$4:J12),0)</f>
        <v>0</v>
      </c>
      <c r="Q12" s="149">
        <f>IF(OR(A12=Inputs!$B$15,ROUNDUP((A12+1)/Inputs!$B$14,0)&gt;B12),SUMIF($B$4:B12,B12,$K$4:K12),0)</f>
        <v>0</v>
      </c>
      <c r="R12" s="163" t="str">
        <f t="shared" si="6"/>
        <v>Vigente al día</v>
      </c>
      <c r="S12" s="18"/>
      <c r="T12" s="18"/>
      <c r="U12" s="18"/>
      <c r="V12" s="122" t="s">
        <v>96</v>
      </c>
      <c r="W12" s="122" t="s">
        <v>97</v>
      </c>
      <c r="X12" s="122" t="s">
        <v>98</v>
      </c>
      <c r="Y12" s="122" t="s">
        <v>99</v>
      </c>
      <c r="Z12" s="18"/>
      <c r="AA12" s="18"/>
      <c r="AB12" s="18"/>
    </row>
    <row r="13" spans="1:28" ht="18" customHeight="1">
      <c r="A13" s="157">
        <v>10</v>
      </c>
      <c r="B13" s="77">
        <f>ROUNDUP(A13/Inputs!$B$14,0)</f>
        <v>3</v>
      </c>
      <c r="C13" s="160" t="str">
        <f>IF(A13=Inputs!$B$15,"Pago final","Pago normal")</f>
        <v>Pago normal</v>
      </c>
      <c r="D13" s="149">
        <f t="shared" si="0"/>
        <v>5532873.2181387898</v>
      </c>
      <c r="E13" s="150">
        <f>Inputs!$B$17</f>
        <v>1.2143295980573843E-2</v>
      </c>
      <c r="F13" s="149">
        <f t="shared" si="1"/>
        <v>67187.317110849428</v>
      </c>
      <c r="G13" s="149">
        <f>MIN(Inputs!$B$20,D13+F13)</f>
        <v>111014.82187676849</v>
      </c>
      <c r="H13" s="149">
        <f t="shared" si="2"/>
        <v>43827.50476591906</v>
      </c>
      <c r="I13" s="149">
        <f>Inputs!$B$28</f>
        <v>48643.172307692315</v>
      </c>
      <c r="J13" s="149">
        <f>Inputs!$B$29</f>
        <v>10984.615384615387</v>
      </c>
      <c r="K13" s="149">
        <f>Inputs!$B$30</f>
        <v>3406.3846153846157</v>
      </c>
      <c r="L13" s="149">
        <f t="shared" si="3"/>
        <v>63034.172307692315</v>
      </c>
      <c r="M13" s="149">
        <f t="shared" si="4"/>
        <v>174048.99418446081</v>
      </c>
      <c r="N13" s="149">
        <f t="shared" si="5"/>
        <v>5489045.7133728703</v>
      </c>
      <c r="O13" s="149">
        <f>IF(OR(A13=Inputs!$B$15,ROUNDUP((A13+1)/Inputs!$B$14,0)&gt;B13),SUMIF($B$4:B13,B13,$I$4:I13),0)</f>
        <v>0</v>
      </c>
      <c r="P13" s="149">
        <f>IF(OR(A13=Inputs!$B$15,ROUNDUP((A13+1)/Inputs!$B$14,0)&gt;B13),SUMIF($B$4:B13,B13,$J$4:J13),0)</f>
        <v>0</v>
      </c>
      <c r="Q13" s="149">
        <f>IF(OR(A13=Inputs!$B$15,ROUNDUP((A13+1)/Inputs!$B$14,0)&gt;B13),SUMIF($B$4:B13,B13,$K$4:K13),0)</f>
        <v>0</v>
      </c>
      <c r="R13" s="163" t="str">
        <f t="shared" si="6"/>
        <v>Vigente al día</v>
      </c>
      <c r="S13" s="18"/>
      <c r="T13" s="18"/>
      <c r="U13" s="18"/>
      <c r="V13" s="110" t="s">
        <v>100</v>
      </c>
      <c r="W13" s="169">
        <f>M4</f>
        <v>174048.99418446081</v>
      </c>
      <c r="X13" s="169"/>
      <c r="Y13" s="171" t="s">
        <v>101</v>
      </c>
      <c r="Z13" s="18"/>
      <c r="AA13" s="18"/>
      <c r="AB13" s="18"/>
    </row>
    <row r="14" spans="1:28" ht="18" customHeight="1">
      <c r="A14" s="157">
        <v>11</v>
      </c>
      <c r="B14" s="77">
        <f>ROUNDUP(A14/Inputs!$B$14,0)</f>
        <v>3</v>
      </c>
      <c r="C14" s="160" t="str">
        <f>IF(A14=Inputs!$B$15,"Pago final","Pago normal")</f>
        <v>Pago normal</v>
      </c>
      <c r="D14" s="149">
        <f t="shared" si="0"/>
        <v>5489045.7133728703</v>
      </c>
      <c r="E14" s="150">
        <f>Inputs!$B$17</f>
        <v>1.2143295980573843E-2</v>
      </c>
      <c r="F14" s="149">
        <f t="shared" si="1"/>
        <v>66655.106748386854</v>
      </c>
      <c r="G14" s="149">
        <f>MIN(Inputs!$B$20,D14+F14)</f>
        <v>111014.82187676849</v>
      </c>
      <c r="H14" s="149">
        <f t="shared" si="2"/>
        <v>44359.715128381635</v>
      </c>
      <c r="I14" s="149">
        <f>Inputs!$B$28</f>
        <v>48643.172307692315</v>
      </c>
      <c r="J14" s="149">
        <f>Inputs!$B$29</f>
        <v>10984.615384615387</v>
      </c>
      <c r="K14" s="149">
        <f>Inputs!$B$30</f>
        <v>3406.3846153846157</v>
      </c>
      <c r="L14" s="149">
        <f t="shared" si="3"/>
        <v>63034.172307692315</v>
      </c>
      <c r="M14" s="149">
        <f t="shared" si="4"/>
        <v>174048.99418446081</v>
      </c>
      <c r="N14" s="149">
        <f t="shared" si="5"/>
        <v>5444685.9982444886</v>
      </c>
      <c r="O14" s="149">
        <f>IF(OR(A14=Inputs!$B$15,ROUNDUP((A14+1)/Inputs!$B$14,0)&gt;B14),SUMIF($B$4:B14,B14,$I$4:I14),0)</f>
        <v>0</v>
      </c>
      <c r="P14" s="149">
        <f>IF(OR(A14=Inputs!$B$15,ROUNDUP((A14+1)/Inputs!$B$14,0)&gt;B14),SUMIF($B$4:B14,B14,$J$4:J14),0)</f>
        <v>0</v>
      </c>
      <c r="Q14" s="149">
        <f>IF(OR(A14=Inputs!$B$15,ROUNDUP((A14+1)/Inputs!$B$14,0)&gt;B14),SUMIF($B$4:B14,B14,$K$4:K14),0)</f>
        <v>0</v>
      </c>
      <c r="R14" s="163" t="str">
        <f t="shared" si="6"/>
        <v>Vigente al día</v>
      </c>
      <c r="S14" s="18"/>
      <c r="T14" s="18"/>
      <c r="U14" s="18"/>
      <c r="V14" s="111" t="s">
        <v>102</v>
      </c>
      <c r="W14" s="170"/>
      <c r="X14" s="170">
        <f>F4</f>
        <v>71698.876787700196</v>
      </c>
      <c r="Y14" s="172" t="s">
        <v>103</v>
      </c>
      <c r="Z14" s="18"/>
      <c r="AA14" s="18"/>
      <c r="AB14" s="18"/>
    </row>
    <row r="15" spans="1:28" ht="18" customHeight="1">
      <c r="A15" s="157">
        <v>12</v>
      </c>
      <c r="B15" s="77">
        <f>ROUNDUP(A15/Inputs!$B$14,0)</f>
        <v>3</v>
      </c>
      <c r="C15" s="160" t="str">
        <f>IF(A15=Inputs!$B$15,"Pago final","Pago normal")</f>
        <v>Pago normal</v>
      </c>
      <c r="D15" s="149">
        <f t="shared" si="0"/>
        <v>5444685.9982444886</v>
      </c>
      <c r="E15" s="150">
        <f>Inputs!$B$17</f>
        <v>1.2143295980573843E-2</v>
      </c>
      <c r="F15" s="149">
        <f t="shared" si="1"/>
        <v>66116.433597968979</v>
      </c>
      <c r="G15" s="149">
        <f>MIN(Inputs!$B$20,D15+F15)</f>
        <v>111014.82187676849</v>
      </c>
      <c r="H15" s="149">
        <f t="shared" si="2"/>
        <v>44898.38827879951</v>
      </c>
      <c r="I15" s="149">
        <f>Inputs!$B$28</f>
        <v>48643.172307692315</v>
      </c>
      <c r="J15" s="149">
        <f>Inputs!$B$29</f>
        <v>10984.615384615387</v>
      </c>
      <c r="K15" s="149">
        <f>Inputs!$B$30</f>
        <v>3406.3846153846157</v>
      </c>
      <c r="L15" s="149">
        <f t="shared" si="3"/>
        <v>63034.172307692315</v>
      </c>
      <c r="M15" s="149">
        <f t="shared" si="4"/>
        <v>174048.99418446081</v>
      </c>
      <c r="N15" s="149">
        <f t="shared" si="5"/>
        <v>5399787.6099656895</v>
      </c>
      <c r="O15" s="149">
        <f>IF(OR(A15=Inputs!$B$15,ROUNDUP((A15+1)/Inputs!$B$14,0)&gt;B15),SUMIF($B$4:B15,B15,$I$4:I15),0)</f>
        <v>0</v>
      </c>
      <c r="P15" s="149">
        <f>IF(OR(A15=Inputs!$B$15,ROUNDUP((A15+1)/Inputs!$B$14,0)&gt;B15),SUMIF($B$4:B15,B15,$J$4:J15),0)</f>
        <v>0</v>
      </c>
      <c r="Q15" s="149">
        <f>IF(OR(A15=Inputs!$B$15,ROUNDUP((A15+1)/Inputs!$B$14,0)&gt;B15),SUMIF($B$4:B15,B15,$K$4:K15),0)</f>
        <v>0</v>
      </c>
      <c r="R15" s="163" t="str">
        <f t="shared" si="6"/>
        <v>Vigente al día</v>
      </c>
      <c r="S15" s="18"/>
      <c r="T15" s="18"/>
      <c r="U15" s="18"/>
      <c r="V15" s="111" t="s">
        <v>104</v>
      </c>
      <c r="W15" s="170"/>
      <c r="X15" s="170">
        <f>H4</f>
        <v>39315.945089068293</v>
      </c>
      <c r="Y15" s="172" t="s">
        <v>105</v>
      </c>
      <c r="Z15" s="18"/>
      <c r="AA15" s="18"/>
      <c r="AB15" s="18"/>
    </row>
    <row r="16" spans="1:28" ht="18" customHeight="1">
      <c r="A16" s="157">
        <v>13</v>
      </c>
      <c r="B16" s="77">
        <f>ROUNDUP(A16/Inputs!$B$14,0)</f>
        <v>3</v>
      </c>
      <c r="C16" s="160" t="str">
        <f>IF(A16=Inputs!$B$15,"Pago final","Pago normal")</f>
        <v>Pago normal</v>
      </c>
      <c r="D16" s="149">
        <f t="shared" si="0"/>
        <v>5399787.6099656895</v>
      </c>
      <c r="E16" s="150">
        <f>Inputs!$B$17</f>
        <v>1.2143295980573843E-2</v>
      </c>
      <c r="F16" s="149">
        <f t="shared" si="1"/>
        <v>65571.219180048793</v>
      </c>
      <c r="G16" s="149">
        <f>MIN(Inputs!$B$20,D16+F16)</f>
        <v>111014.82187676849</v>
      </c>
      <c r="H16" s="149">
        <f t="shared" si="2"/>
        <v>45443.602696719696</v>
      </c>
      <c r="I16" s="149">
        <f>Inputs!$B$28</f>
        <v>48643.172307692315</v>
      </c>
      <c r="J16" s="149">
        <f>Inputs!$B$29</f>
        <v>10984.615384615387</v>
      </c>
      <c r="K16" s="149">
        <f>Inputs!$B$30</f>
        <v>3406.3846153846157</v>
      </c>
      <c r="L16" s="149">
        <f t="shared" si="3"/>
        <v>63034.172307692315</v>
      </c>
      <c r="M16" s="149">
        <f t="shared" si="4"/>
        <v>174048.99418446081</v>
      </c>
      <c r="N16" s="149">
        <f t="shared" si="5"/>
        <v>5354344.0072689699</v>
      </c>
      <c r="O16" s="149">
        <f>IF(OR(A16=Inputs!$B$15,ROUNDUP((A16+1)/Inputs!$B$14,0)&gt;B16),SUMIF($B$4:B16,B16,$I$4:I16),0)</f>
        <v>243215.86153846158</v>
      </c>
      <c r="P16" s="149">
        <f>IF(OR(A16=Inputs!$B$15,ROUNDUP((A16+1)/Inputs!$B$14,0)&gt;B16),SUMIF($B$4:B16,B16,$J$4:J16),0)</f>
        <v>54923.076923076937</v>
      </c>
      <c r="Q16" s="149">
        <f>IF(OR(A16=Inputs!$B$15,ROUNDUP((A16+1)/Inputs!$B$14,0)&gt;B16),SUMIF($B$4:B16,B16,$K$4:K16),0)</f>
        <v>17031.923076923078</v>
      </c>
      <c r="R16" s="163" t="str">
        <f t="shared" si="6"/>
        <v>Vigente al día</v>
      </c>
      <c r="S16" s="18"/>
      <c r="T16" s="18"/>
      <c r="U16" s="18"/>
      <c r="V16" s="173" t="s">
        <v>106</v>
      </c>
      <c r="W16" s="174"/>
      <c r="X16" s="174">
        <f>L4</f>
        <v>63034.172307692315</v>
      </c>
      <c r="Y16" s="175" t="s">
        <v>107</v>
      </c>
      <c r="Z16" s="18"/>
      <c r="AA16" s="18"/>
      <c r="AB16" s="18"/>
    </row>
    <row r="17" spans="1:28" ht="18" customHeight="1">
      <c r="A17" s="157">
        <v>14</v>
      </c>
      <c r="B17" s="77">
        <f>ROUNDUP(A17/Inputs!$B$14,0)</f>
        <v>4</v>
      </c>
      <c r="C17" s="160" t="str">
        <f>IF(A17=Inputs!$B$15,"Pago final","Pago normal")</f>
        <v>Pago normal</v>
      </c>
      <c r="D17" s="149">
        <f t="shared" si="0"/>
        <v>5354344.0072689699</v>
      </c>
      <c r="E17" s="150">
        <f>Inputs!$B$17</f>
        <v>1.2143295980573843E-2</v>
      </c>
      <c r="F17" s="149">
        <f t="shared" si="1"/>
        <v>65019.384062078927</v>
      </c>
      <c r="G17" s="149">
        <f>MIN(Inputs!$B$20,D17+F17)</f>
        <v>111014.82187676849</v>
      </c>
      <c r="H17" s="149">
        <f t="shared" si="2"/>
        <v>45995.437814689561</v>
      </c>
      <c r="I17" s="149">
        <f>Inputs!$B$28</f>
        <v>48643.172307692315</v>
      </c>
      <c r="J17" s="149">
        <f>Inputs!$B$29</f>
        <v>10984.615384615387</v>
      </c>
      <c r="K17" s="149">
        <f>Inputs!$B$30</f>
        <v>3406.3846153846157</v>
      </c>
      <c r="L17" s="149">
        <f t="shared" si="3"/>
        <v>63034.172307692315</v>
      </c>
      <c r="M17" s="149">
        <f t="shared" si="4"/>
        <v>174048.99418446081</v>
      </c>
      <c r="N17" s="149">
        <f t="shared" si="5"/>
        <v>5308348.5694542807</v>
      </c>
      <c r="O17" s="149">
        <f>IF(OR(A17=Inputs!$B$15,ROUNDUP((A17+1)/Inputs!$B$14,0)&gt;B17),SUMIF($B$4:B17,B17,$I$4:I17),0)</f>
        <v>0</v>
      </c>
      <c r="P17" s="149">
        <f>IF(OR(A17=Inputs!$B$15,ROUNDUP((A17+1)/Inputs!$B$14,0)&gt;B17),SUMIF($B$4:B17,B17,$J$4:J17),0)</f>
        <v>0</v>
      </c>
      <c r="Q17" s="149">
        <f>IF(OR(A17=Inputs!$B$15,ROUNDUP((A17+1)/Inputs!$B$14,0)&gt;B17),SUMIF($B$4:B17,B17,$K$4:K17),0)</f>
        <v>0</v>
      </c>
      <c r="R17" s="163" t="str">
        <f t="shared" si="6"/>
        <v>Vigente al día</v>
      </c>
      <c r="S17" s="18"/>
      <c r="T17" s="18"/>
      <c r="U17" s="18"/>
      <c r="V17" s="176" t="s">
        <v>108</v>
      </c>
      <c r="W17" s="177">
        <f>SUM(W13:W16)</f>
        <v>174048.99418446081</v>
      </c>
      <c r="X17" s="177">
        <f>SUM(X13:X16)</f>
        <v>174048.99418446081</v>
      </c>
      <c r="Y17" s="178">
        <f>W17-X17</f>
        <v>0</v>
      </c>
      <c r="Z17" s="18"/>
      <c r="AA17" s="18"/>
      <c r="AB17" s="18"/>
    </row>
    <row r="18" spans="1:28" ht="18" customHeight="1">
      <c r="A18" s="157">
        <v>15</v>
      </c>
      <c r="B18" s="77">
        <f>ROUNDUP(A18/Inputs!$B$14,0)</f>
        <v>4</v>
      </c>
      <c r="C18" s="160" t="str">
        <f>IF(A18=Inputs!$B$15,"Pago final","Pago normal")</f>
        <v>Pago normal</v>
      </c>
      <c r="D18" s="149">
        <f t="shared" si="0"/>
        <v>5308348.5694542807</v>
      </c>
      <c r="E18" s="150">
        <f>Inputs!$B$17</f>
        <v>1.2143295980573843E-2</v>
      </c>
      <c r="F18" s="149">
        <f t="shared" si="1"/>
        <v>64460.847846939076</v>
      </c>
      <c r="G18" s="149">
        <f>MIN(Inputs!$B$20,D18+F18)</f>
        <v>111014.82187676849</v>
      </c>
      <c r="H18" s="149">
        <f t="shared" si="2"/>
        <v>46553.974029829413</v>
      </c>
      <c r="I18" s="149">
        <f>Inputs!$B$28</f>
        <v>48643.172307692315</v>
      </c>
      <c r="J18" s="149">
        <f>Inputs!$B$29</f>
        <v>10984.615384615387</v>
      </c>
      <c r="K18" s="149">
        <f>Inputs!$B$30</f>
        <v>3406.3846153846157</v>
      </c>
      <c r="L18" s="149">
        <f t="shared" si="3"/>
        <v>63034.172307692315</v>
      </c>
      <c r="M18" s="149">
        <f t="shared" si="4"/>
        <v>174048.99418446081</v>
      </c>
      <c r="N18" s="149">
        <f t="shared" si="5"/>
        <v>5261794.5954244509</v>
      </c>
      <c r="O18" s="149">
        <f>IF(OR(A18=Inputs!$B$15,ROUNDUP((A18+1)/Inputs!$B$14,0)&gt;B18),SUMIF($B$4:B18,B18,$I$4:I18),0)</f>
        <v>0</v>
      </c>
      <c r="P18" s="149">
        <f>IF(OR(A18=Inputs!$B$15,ROUNDUP((A18+1)/Inputs!$B$14,0)&gt;B18),SUMIF($B$4:B18,B18,$J$4:J18),0)</f>
        <v>0</v>
      </c>
      <c r="Q18" s="149">
        <f>IF(OR(A18=Inputs!$B$15,ROUNDUP((A18+1)/Inputs!$B$14,0)&gt;B18),SUMIF($B$4:B18,B18,$K$4:K18),0)</f>
        <v>0</v>
      </c>
      <c r="R18" s="163" t="str">
        <f t="shared" si="6"/>
        <v>Vigente al día</v>
      </c>
      <c r="S18" s="18"/>
      <c r="T18" s="18"/>
      <c r="U18" s="18"/>
      <c r="V18" s="18"/>
      <c r="W18" s="18"/>
      <c r="X18" s="18"/>
      <c r="Y18" s="18"/>
      <c r="Z18" s="18"/>
      <c r="AA18" s="18"/>
      <c r="AB18" s="18"/>
    </row>
    <row r="19" spans="1:28" ht="18" customHeight="1">
      <c r="A19" s="157">
        <v>16</v>
      </c>
      <c r="B19" s="77">
        <f>ROUNDUP(A19/Inputs!$B$14,0)</f>
        <v>4</v>
      </c>
      <c r="C19" s="160" t="str">
        <f>IF(A19=Inputs!$B$15,"Pago final","Pago normal")</f>
        <v>Pago normal</v>
      </c>
      <c r="D19" s="149">
        <f t="shared" si="0"/>
        <v>5261794.5954244509</v>
      </c>
      <c r="E19" s="150">
        <f>Inputs!$B$17</f>
        <v>1.2143295980573843E-2</v>
      </c>
      <c r="F19" s="149">
        <f t="shared" si="1"/>
        <v>63895.529161222905</v>
      </c>
      <c r="G19" s="149">
        <f>MIN(Inputs!$B$20,D19+F19)</f>
        <v>111014.82187676849</v>
      </c>
      <c r="H19" s="149">
        <f t="shared" si="2"/>
        <v>47119.292715545584</v>
      </c>
      <c r="I19" s="149">
        <f>Inputs!$B$28</f>
        <v>48643.172307692315</v>
      </c>
      <c r="J19" s="149">
        <f>Inputs!$B$29</f>
        <v>10984.615384615387</v>
      </c>
      <c r="K19" s="149">
        <f>Inputs!$B$30</f>
        <v>3406.3846153846157</v>
      </c>
      <c r="L19" s="149">
        <f t="shared" si="3"/>
        <v>63034.172307692315</v>
      </c>
      <c r="M19" s="149">
        <f t="shared" si="4"/>
        <v>174048.99418446081</v>
      </c>
      <c r="N19" s="149">
        <f t="shared" si="5"/>
        <v>5214675.3027089052</v>
      </c>
      <c r="O19" s="149">
        <f>IF(OR(A19=Inputs!$B$15,ROUNDUP((A19+1)/Inputs!$B$14,0)&gt;B19),SUMIF($B$4:B19,B19,$I$4:I19),0)</f>
        <v>0</v>
      </c>
      <c r="P19" s="149">
        <f>IF(OR(A19=Inputs!$B$15,ROUNDUP((A19+1)/Inputs!$B$14,0)&gt;B19),SUMIF($B$4:B19,B19,$J$4:J19),0)</f>
        <v>0</v>
      </c>
      <c r="Q19" s="149">
        <f>IF(OR(A19=Inputs!$B$15,ROUNDUP((A19+1)/Inputs!$B$14,0)&gt;B19),SUMIF($B$4:B19,B19,$K$4:K19),0)</f>
        <v>0</v>
      </c>
      <c r="R19" s="163" t="str">
        <f t="shared" si="6"/>
        <v>Vigente al día</v>
      </c>
      <c r="S19" s="18"/>
      <c r="T19" s="18"/>
      <c r="U19" s="18"/>
      <c r="V19" s="18"/>
      <c r="W19" s="18"/>
      <c r="X19" s="18"/>
      <c r="Y19" s="18"/>
      <c r="Z19" s="18"/>
      <c r="AA19" s="18"/>
      <c r="AB19" s="18"/>
    </row>
    <row r="20" spans="1:28" ht="18" customHeight="1">
      <c r="A20" s="157">
        <v>17</v>
      </c>
      <c r="B20" s="77">
        <f>ROUNDUP(A20/Inputs!$B$14,0)</f>
        <v>4</v>
      </c>
      <c r="C20" s="160" t="str">
        <f>IF(A20=Inputs!$B$15,"Pago final","Pago normal")</f>
        <v>Pago normal</v>
      </c>
      <c r="D20" s="149">
        <f t="shared" si="0"/>
        <v>5214675.3027089052</v>
      </c>
      <c r="E20" s="150">
        <f>Inputs!$B$17</f>
        <v>1.2143295980573843E-2</v>
      </c>
      <c r="F20" s="149">
        <f t="shared" si="1"/>
        <v>63323.345643382738</v>
      </c>
      <c r="G20" s="149">
        <f>MIN(Inputs!$B$20,D20+F20)</f>
        <v>111014.82187676849</v>
      </c>
      <c r="H20" s="149">
        <f t="shared" si="2"/>
        <v>47691.476233385751</v>
      </c>
      <c r="I20" s="149">
        <f>Inputs!$B$28</f>
        <v>48643.172307692315</v>
      </c>
      <c r="J20" s="149">
        <f>Inputs!$B$29</f>
        <v>10984.615384615387</v>
      </c>
      <c r="K20" s="149">
        <f>Inputs!$B$30</f>
        <v>3406.3846153846157</v>
      </c>
      <c r="L20" s="149">
        <f t="shared" si="3"/>
        <v>63034.172307692315</v>
      </c>
      <c r="M20" s="149">
        <f t="shared" si="4"/>
        <v>174048.99418446081</v>
      </c>
      <c r="N20" s="149">
        <f t="shared" si="5"/>
        <v>5166983.8264755197</v>
      </c>
      <c r="O20" s="149">
        <f>IF(OR(A20=Inputs!$B$15,ROUNDUP((A20+1)/Inputs!$B$14,0)&gt;B20),SUMIF($B$4:B20,B20,$I$4:I20),0)</f>
        <v>194572.68923076926</v>
      </c>
      <c r="P20" s="149">
        <f>IF(OR(A20=Inputs!$B$15,ROUNDUP((A20+1)/Inputs!$B$14,0)&gt;B20),SUMIF($B$4:B20,B20,$J$4:J20),0)</f>
        <v>43938.461538461546</v>
      </c>
      <c r="Q20" s="149">
        <f>IF(OR(A20=Inputs!$B$15,ROUNDUP((A20+1)/Inputs!$B$14,0)&gt;B20),SUMIF($B$4:B20,B20,$K$4:K20),0)</f>
        <v>13625.538461538463</v>
      </c>
      <c r="R20" s="163" t="str">
        <f t="shared" si="6"/>
        <v>Vigente al día</v>
      </c>
      <c r="S20" s="18"/>
      <c r="T20" s="18"/>
      <c r="U20" s="18"/>
      <c r="V20" s="179" t="s">
        <v>337</v>
      </c>
      <c r="W20" s="18"/>
      <c r="X20" s="18"/>
      <c r="Y20" s="18"/>
      <c r="Z20" s="18"/>
      <c r="AA20" s="18"/>
      <c r="AB20" s="18"/>
    </row>
    <row r="21" spans="1:28" ht="18" customHeight="1">
      <c r="A21" s="157">
        <v>18</v>
      </c>
      <c r="B21" s="77">
        <f>ROUNDUP(A21/Inputs!$B$14,0)</f>
        <v>5</v>
      </c>
      <c r="C21" s="160" t="str">
        <f>IF(A21=Inputs!$B$15,"Pago final","Pago normal")</f>
        <v>Pago normal</v>
      </c>
      <c r="D21" s="149">
        <f t="shared" si="0"/>
        <v>5166983.8264755197</v>
      </c>
      <c r="E21" s="150">
        <f>Inputs!$B$17</f>
        <v>1.2143295980573843E-2</v>
      </c>
      <c r="F21" s="149">
        <f t="shared" si="1"/>
        <v>62744.213931730235</v>
      </c>
      <c r="G21" s="149">
        <f>MIN(Inputs!$B$20,D21+F21)</f>
        <v>111014.82187676849</v>
      </c>
      <c r="H21" s="149">
        <f t="shared" si="2"/>
        <v>48270.607945038253</v>
      </c>
      <c r="I21" s="149">
        <f>Inputs!$B$28</f>
        <v>48643.172307692315</v>
      </c>
      <c r="J21" s="149">
        <f>Inputs!$B$29</f>
        <v>10984.615384615387</v>
      </c>
      <c r="K21" s="149">
        <f>Inputs!$B$30</f>
        <v>3406.3846153846157</v>
      </c>
      <c r="L21" s="149">
        <f t="shared" si="3"/>
        <v>63034.172307692315</v>
      </c>
      <c r="M21" s="149">
        <f t="shared" si="4"/>
        <v>174048.99418446081</v>
      </c>
      <c r="N21" s="149">
        <f t="shared" si="5"/>
        <v>5118713.2185304817</v>
      </c>
      <c r="O21" s="149">
        <f>IF(OR(A21=Inputs!$B$15,ROUNDUP((A21+1)/Inputs!$B$14,0)&gt;B21),SUMIF($B$4:B21,B21,$I$4:I21),0)</f>
        <v>0</v>
      </c>
      <c r="P21" s="149">
        <f>IF(OR(A21=Inputs!$B$15,ROUNDUP((A21+1)/Inputs!$B$14,0)&gt;B21),SUMIF($B$4:B21,B21,$J$4:J21),0)</f>
        <v>0</v>
      </c>
      <c r="Q21" s="149">
        <f>IF(OR(A21=Inputs!$B$15,ROUNDUP((A21+1)/Inputs!$B$14,0)&gt;B21),SUMIF($B$4:B21,B21,$K$4:K21),0)</f>
        <v>0</v>
      </c>
      <c r="R21" s="163" t="str">
        <f t="shared" si="6"/>
        <v>Vigente al día</v>
      </c>
      <c r="S21" s="18"/>
      <c r="T21" s="18"/>
      <c r="U21" s="18"/>
      <c r="V21" s="179" t="s">
        <v>338</v>
      </c>
      <c r="W21" s="18"/>
      <c r="X21" s="18"/>
      <c r="Y21" s="18"/>
      <c r="Z21" s="18"/>
      <c r="AA21" s="18"/>
      <c r="AB21" s="18"/>
    </row>
    <row r="22" spans="1:28" ht="18" customHeight="1">
      <c r="A22" s="157">
        <v>19</v>
      </c>
      <c r="B22" s="77">
        <f>ROUNDUP(A22/Inputs!$B$14,0)</f>
        <v>5</v>
      </c>
      <c r="C22" s="160" t="str">
        <f>IF(A22=Inputs!$B$15,"Pago final","Pago normal")</f>
        <v>Pago normal</v>
      </c>
      <c r="D22" s="149">
        <f t="shared" si="0"/>
        <v>5118713.2185304817</v>
      </c>
      <c r="E22" s="150">
        <f>Inputs!$B$17</f>
        <v>1.2143295980573843E-2</v>
      </c>
      <c r="F22" s="149">
        <f t="shared" si="1"/>
        <v>62158.049652291396</v>
      </c>
      <c r="G22" s="149">
        <f>MIN(Inputs!$B$20,D22+F22)</f>
        <v>111014.82187676849</v>
      </c>
      <c r="H22" s="149">
        <f t="shared" si="2"/>
        <v>48856.772224477092</v>
      </c>
      <c r="I22" s="149">
        <f>Inputs!$B$28</f>
        <v>48643.172307692315</v>
      </c>
      <c r="J22" s="149">
        <f>Inputs!$B$29</f>
        <v>10984.615384615387</v>
      </c>
      <c r="K22" s="149">
        <f>Inputs!$B$30</f>
        <v>3406.3846153846157</v>
      </c>
      <c r="L22" s="149">
        <f t="shared" si="3"/>
        <v>63034.172307692315</v>
      </c>
      <c r="M22" s="149">
        <f t="shared" si="4"/>
        <v>174048.99418446081</v>
      </c>
      <c r="N22" s="149">
        <f t="shared" si="5"/>
        <v>5069856.4463060042</v>
      </c>
      <c r="O22" s="149">
        <f>IF(OR(A22=Inputs!$B$15,ROUNDUP((A22+1)/Inputs!$B$14,0)&gt;B22),SUMIF($B$4:B22,B22,$I$4:I22),0)</f>
        <v>0</v>
      </c>
      <c r="P22" s="149">
        <f>IF(OR(A22=Inputs!$B$15,ROUNDUP((A22+1)/Inputs!$B$14,0)&gt;B22),SUMIF($B$4:B22,B22,$J$4:J22),0)</f>
        <v>0</v>
      </c>
      <c r="Q22" s="149">
        <f>IF(OR(A22=Inputs!$B$15,ROUNDUP((A22+1)/Inputs!$B$14,0)&gt;B22),SUMIF($B$4:B22,B22,$K$4:K22),0)</f>
        <v>0</v>
      </c>
      <c r="R22" s="163" t="str">
        <f t="shared" si="6"/>
        <v>Vigente al día</v>
      </c>
      <c r="S22" s="18"/>
      <c r="T22" s="18"/>
      <c r="U22" s="18"/>
      <c r="V22" s="18"/>
      <c r="W22" s="18"/>
      <c r="X22" s="18"/>
      <c r="Y22" s="18"/>
      <c r="Z22" s="18"/>
      <c r="AA22" s="18"/>
      <c r="AB22" s="18"/>
    </row>
    <row r="23" spans="1:28" ht="18" customHeight="1">
      <c r="A23" s="157">
        <v>20</v>
      </c>
      <c r="B23" s="77">
        <f>ROUNDUP(A23/Inputs!$B$14,0)</f>
        <v>5</v>
      </c>
      <c r="C23" s="160" t="str">
        <f>IF(A23=Inputs!$B$15,"Pago final","Pago normal")</f>
        <v>Pago normal</v>
      </c>
      <c r="D23" s="149">
        <f t="shared" si="0"/>
        <v>5069856.4463060042</v>
      </c>
      <c r="E23" s="150">
        <f>Inputs!$B$17</f>
        <v>1.2143295980573843E-2</v>
      </c>
      <c r="F23" s="149">
        <f t="shared" si="1"/>
        <v>61564.767406514089</v>
      </c>
      <c r="G23" s="149">
        <f>MIN(Inputs!$B$20,D23+F23)</f>
        <v>111014.82187676849</v>
      </c>
      <c r="H23" s="149">
        <f t="shared" si="2"/>
        <v>49450.054470254399</v>
      </c>
      <c r="I23" s="149">
        <f>Inputs!$B$28</f>
        <v>48643.172307692315</v>
      </c>
      <c r="J23" s="149">
        <f>Inputs!$B$29</f>
        <v>10984.615384615387</v>
      </c>
      <c r="K23" s="149">
        <f>Inputs!$B$30</f>
        <v>3406.3846153846157</v>
      </c>
      <c r="L23" s="149">
        <f t="shared" si="3"/>
        <v>63034.172307692315</v>
      </c>
      <c r="M23" s="149">
        <f t="shared" si="4"/>
        <v>174048.99418446081</v>
      </c>
      <c r="N23" s="149">
        <f t="shared" si="5"/>
        <v>5020406.3918357501</v>
      </c>
      <c r="O23" s="149">
        <f>IF(OR(A23=Inputs!$B$15,ROUNDUP((A23+1)/Inputs!$B$14,0)&gt;B23),SUMIF($B$4:B23,B23,$I$4:I23),0)</f>
        <v>0</v>
      </c>
      <c r="P23" s="149">
        <f>IF(OR(A23=Inputs!$B$15,ROUNDUP((A23+1)/Inputs!$B$14,0)&gt;B23),SUMIF($B$4:B23,B23,$J$4:J23),0)</f>
        <v>0</v>
      </c>
      <c r="Q23" s="149">
        <f>IF(OR(A23=Inputs!$B$15,ROUNDUP((A23+1)/Inputs!$B$14,0)&gt;B23),SUMIF($B$4:B23,B23,$K$4:K23),0)</f>
        <v>0</v>
      </c>
      <c r="R23" s="163" t="str">
        <f t="shared" si="6"/>
        <v>Vigente al día</v>
      </c>
      <c r="S23" s="18"/>
      <c r="T23" s="18"/>
      <c r="U23" s="18"/>
      <c r="V23" s="18"/>
      <c r="W23" s="18"/>
      <c r="X23" s="18"/>
      <c r="Y23" s="18"/>
      <c r="Z23" s="18"/>
      <c r="AA23" s="18"/>
      <c r="AB23" s="18"/>
    </row>
    <row r="24" spans="1:28" ht="18" customHeight="1">
      <c r="A24" s="157">
        <v>21</v>
      </c>
      <c r="B24" s="77">
        <f>ROUNDUP(A24/Inputs!$B$14,0)</f>
        <v>5</v>
      </c>
      <c r="C24" s="160" t="str">
        <f>IF(A24=Inputs!$B$15,"Pago final","Pago normal")</f>
        <v>Pago normal</v>
      </c>
      <c r="D24" s="149">
        <f t="shared" si="0"/>
        <v>5020406.3918357501</v>
      </c>
      <c r="E24" s="150">
        <f>Inputs!$B$17</f>
        <v>1.2143295980573843E-2</v>
      </c>
      <c r="F24" s="149">
        <f t="shared" si="1"/>
        <v>60964.280758826295</v>
      </c>
      <c r="G24" s="149">
        <f>MIN(Inputs!$B$20,D24+F24)</f>
        <v>111014.82187676849</v>
      </c>
      <c r="H24" s="149">
        <f t="shared" si="2"/>
        <v>50050.541117942194</v>
      </c>
      <c r="I24" s="149">
        <f>Inputs!$B$28</f>
        <v>48643.172307692315</v>
      </c>
      <c r="J24" s="149">
        <f>Inputs!$B$29</f>
        <v>10984.615384615387</v>
      </c>
      <c r="K24" s="149">
        <f>Inputs!$B$30</f>
        <v>3406.3846153846157</v>
      </c>
      <c r="L24" s="149">
        <f t="shared" si="3"/>
        <v>63034.172307692315</v>
      </c>
      <c r="M24" s="149">
        <f t="shared" si="4"/>
        <v>174048.99418446081</v>
      </c>
      <c r="N24" s="149">
        <f t="shared" si="5"/>
        <v>4970355.8507178081</v>
      </c>
      <c r="O24" s="149">
        <f>IF(OR(A24=Inputs!$B$15,ROUNDUP((A24+1)/Inputs!$B$14,0)&gt;B24),SUMIF($B$4:B24,B24,$I$4:I24),0)</f>
        <v>194572.68923076926</v>
      </c>
      <c r="P24" s="149">
        <f>IF(OR(A24=Inputs!$B$15,ROUNDUP((A24+1)/Inputs!$B$14,0)&gt;B24),SUMIF($B$4:B24,B24,$J$4:J24),0)</f>
        <v>43938.461538461546</v>
      </c>
      <c r="Q24" s="149">
        <f>IF(OR(A24=Inputs!$B$15,ROUNDUP((A24+1)/Inputs!$B$14,0)&gt;B24),SUMIF($B$4:B24,B24,$K$4:K24),0)</f>
        <v>13625.538461538463</v>
      </c>
      <c r="R24" s="163" t="str">
        <f t="shared" si="6"/>
        <v>Vigente al día</v>
      </c>
      <c r="S24" s="18"/>
      <c r="T24" s="18"/>
      <c r="U24" s="18"/>
      <c r="V24" s="18"/>
      <c r="W24" s="18"/>
      <c r="X24" s="18"/>
      <c r="Y24" s="18"/>
      <c r="Z24" s="18"/>
      <c r="AA24" s="18"/>
      <c r="AB24" s="18"/>
    </row>
    <row r="25" spans="1:28" ht="18" customHeight="1">
      <c r="A25" s="157">
        <v>22</v>
      </c>
      <c r="B25" s="77">
        <f>ROUNDUP(A25/Inputs!$B$14,0)</f>
        <v>6</v>
      </c>
      <c r="C25" s="160" t="str">
        <f>IF(A25=Inputs!$B$15,"Pago final","Pago normal")</f>
        <v>Pago normal</v>
      </c>
      <c r="D25" s="149">
        <f t="shared" si="0"/>
        <v>4970355.8507178081</v>
      </c>
      <c r="E25" s="150">
        <f>Inputs!$B$17</f>
        <v>1.2143295980573843E-2</v>
      </c>
      <c r="F25" s="149">
        <f t="shared" si="1"/>
        <v>60356.502224043244</v>
      </c>
      <c r="G25" s="149">
        <f>MIN(Inputs!$B$20,D25+F25)</f>
        <v>111014.82187676849</v>
      </c>
      <c r="H25" s="149">
        <f t="shared" si="2"/>
        <v>50658.319652725244</v>
      </c>
      <c r="I25" s="149">
        <f>Inputs!$B$28</f>
        <v>48643.172307692315</v>
      </c>
      <c r="J25" s="149">
        <f>Inputs!$B$29</f>
        <v>10984.615384615387</v>
      </c>
      <c r="K25" s="149">
        <f>Inputs!$B$30</f>
        <v>3406.3846153846157</v>
      </c>
      <c r="L25" s="149">
        <f t="shared" si="3"/>
        <v>63034.172307692315</v>
      </c>
      <c r="M25" s="149">
        <f t="shared" si="4"/>
        <v>174048.99418446081</v>
      </c>
      <c r="N25" s="149">
        <f t="shared" si="5"/>
        <v>4919697.5310650831</v>
      </c>
      <c r="O25" s="149">
        <f>IF(OR(A25=Inputs!$B$15,ROUNDUP((A25+1)/Inputs!$B$14,0)&gt;B25),SUMIF($B$4:B25,B25,$I$4:I25),0)</f>
        <v>0</v>
      </c>
      <c r="P25" s="149">
        <f>IF(OR(A25=Inputs!$B$15,ROUNDUP((A25+1)/Inputs!$B$14,0)&gt;B25),SUMIF($B$4:B25,B25,$J$4:J25),0)</f>
        <v>0</v>
      </c>
      <c r="Q25" s="149">
        <f>IF(OR(A25=Inputs!$B$15,ROUNDUP((A25+1)/Inputs!$B$14,0)&gt;B25),SUMIF($B$4:B25,B25,$K$4:K25),0)</f>
        <v>0</v>
      </c>
      <c r="R25" s="163" t="str">
        <f t="shared" si="6"/>
        <v>Vigente al día</v>
      </c>
      <c r="S25" s="18"/>
      <c r="T25" s="18"/>
      <c r="U25" s="18"/>
      <c r="V25" s="18"/>
      <c r="W25" s="18"/>
      <c r="X25" s="18"/>
      <c r="Y25" s="18"/>
      <c r="Z25" s="18"/>
      <c r="AA25" s="18"/>
      <c r="AB25" s="18"/>
    </row>
    <row r="26" spans="1:28" ht="18" customHeight="1">
      <c r="A26" s="157">
        <v>23</v>
      </c>
      <c r="B26" s="77">
        <f>ROUNDUP(A26/Inputs!$B$14,0)</f>
        <v>6</v>
      </c>
      <c r="C26" s="160" t="str">
        <f>IF(A26=Inputs!$B$15,"Pago final","Pago normal")</f>
        <v>Pago normal</v>
      </c>
      <c r="D26" s="149">
        <f t="shared" si="0"/>
        <v>4919697.5310650831</v>
      </c>
      <c r="E26" s="150">
        <f>Inputs!$B$17</f>
        <v>1.2143295980573843E-2</v>
      </c>
      <c r="F26" s="149">
        <f t="shared" si="1"/>
        <v>59741.343254621679</v>
      </c>
      <c r="G26" s="149">
        <f>MIN(Inputs!$B$20,D26+F26)</f>
        <v>111014.82187676849</v>
      </c>
      <c r="H26" s="149">
        <f t="shared" si="2"/>
        <v>51273.478622146809</v>
      </c>
      <c r="I26" s="149">
        <f>Inputs!$B$28</f>
        <v>48643.172307692315</v>
      </c>
      <c r="J26" s="149">
        <f>Inputs!$B$29</f>
        <v>10984.615384615387</v>
      </c>
      <c r="K26" s="149">
        <f>Inputs!$B$30</f>
        <v>3406.3846153846157</v>
      </c>
      <c r="L26" s="149">
        <f t="shared" si="3"/>
        <v>63034.172307692315</v>
      </c>
      <c r="M26" s="149">
        <f t="shared" si="4"/>
        <v>174048.99418446081</v>
      </c>
      <c r="N26" s="149">
        <f t="shared" si="5"/>
        <v>4868424.0524429362</v>
      </c>
      <c r="O26" s="149">
        <f>IF(OR(A26=Inputs!$B$15,ROUNDUP((A26+1)/Inputs!$B$14,0)&gt;B26),SUMIF($B$4:B26,B26,$I$4:I26),0)</f>
        <v>0</v>
      </c>
      <c r="P26" s="149">
        <f>IF(OR(A26=Inputs!$B$15,ROUNDUP((A26+1)/Inputs!$B$14,0)&gt;B26),SUMIF($B$4:B26,B26,$J$4:J26),0)</f>
        <v>0</v>
      </c>
      <c r="Q26" s="149">
        <f>IF(OR(A26=Inputs!$B$15,ROUNDUP((A26+1)/Inputs!$B$14,0)&gt;B26),SUMIF($B$4:B26,B26,$K$4:K26),0)</f>
        <v>0</v>
      </c>
      <c r="R26" s="163" t="str">
        <f t="shared" si="6"/>
        <v>Vigente al día</v>
      </c>
      <c r="S26" s="18"/>
      <c r="T26" s="18"/>
      <c r="U26" s="18"/>
      <c r="V26" s="18"/>
      <c r="W26" s="18"/>
      <c r="X26" s="18"/>
      <c r="Y26" s="18"/>
      <c r="Z26" s="18"/>
      <c r="AA26" s="18"/>
      <c r="AB26" s="18"/>
    </row>
    <row r="27" spans="1:28" ht="18" customHeight="1">
      <c r="A27" s="157">
        <v>24</v>
      </c>
      <c r="B27" s="77">
        <f>ROUNDUP(A27/Inputs!$B$14,0)</f>
        <v>6</v>
      </c>
      <c r="C27" s="160" t="str">
        <f>IF(A27=Inputs!$B$15,"Pago final","Pago normal")</f>
        <v>Pago normal</v>
      </c>
      <c r="D27" s="149">
        <f t="shared" si="0"/>
        <v>4868424.0524429362</v>
      </c>
      <c r="E27" s="150">
        <f>Inputs!$B$17</f>
        <v>1.2143295980573843E-2</v>
      </c>
      <c r="F27" s="149">
        <f t="shared" si="1"/>
        <v>59118.714227759323</v>
      </c>
      <c r="G27" s="149">
        <f>MIN(Inputs!$B$20,D27+F27)</f>
        <v>111014.82187676849</v>
      </c>
      <c r="H27" s="149">
        <f t="shared" si="2"/>
        <v>51896.107649009165</v>
      </c>
      <c r="I27" s="149">
        <f>Inputs!$B$28</f>
        <v>48643.172307692315</v>
      </c>
      <c r="J27" s="149">
        <f>Inputs!$B$29</f>
        <v>10984.615384615387</v>
      </c>
      <c r="K27" s="149">
        <f>Inputs!$B$30</f>
        <v>3406.3846153846157</v>
      </c>
      <c r="L27" s="149">
        <f t="shared" si="3"/>
        <v>63034.172307692315</v>
      </c>
      <c r="M27" s="149">
        <f t="shared" si="4"/>
        <v>174048.99418446081</v>
      </c>
      <c r="N27" s="149">
        <f t="shared" si="5"/>
        <v>4816527.9447939275</v>
      </c>
      <c r="O27" s="149">
        <f>IF(OR(A27=Inputs!$B$15,ROUNDUP((A27+1)/Inputs!$B$14,0)&gt;B27),SUMIF($B$4:B27,B27,$I$4:I27),0)</f>
        <v>0</v>
      </c>
      <c r="P27" s="149">
        <f>IF(OR(A27=Inputs!$B$15,ROUNDUP((A27+1)/Inputs!$B$14,0)&gt;B27),SUMIF($B$4:B27,B27,$J$4:J27),0)</f>
        <v>0</v>
      </c>
      <c r="Q27" s="149">
        <f>IF(OR(A27=Inputs!$B$15,ROUNDUP((A27+1)/Inputs!$B$14,0)&gt;B27),SUMIF($B$4:B27,B27,$K$4:K27),0)</f>
        <v>0</v>
      </c>
      <c r="R27" s="163" t="str">
        <f t="shared" si="6"/>
        <v>Vigente al día</v>
      </c>
      <c r="S27" s="18"/>
      <c r="T27" s="18"/>
      <c r="U27" s="18"/>
      <c r="V27" s="18"/>
      <c r="W27" s="18"/>
      <c r="X27" s="18"/>
      <c r="Y27" s="18"/>
      <c r="Z27" s="18"/>
      <c r="AA27" s="18"/>
      <c r="AB27" s="18"/>
    </row>
    <row r="28" spans="1:28" ht="18" customHeight="1">
      <c r="A28" s="157">
        <v>25</v>
      </c>
      <c r="B28" s="77">
        <f>ROUNDUP(A28/Inputs!$B$14,0)</f>
        <v>6</v>
      </c>
      <c r="C28" s="160" t="str">
        <f>IF(A28=Inputs!$B$15,"Pago final","Pago normal")</f>
        <v>Pago normal</v>
      </c>
      <c r="D28" s="149">
        <f t="shared" si="0"/>
        <v>4816527.9447939275</v>
      </c>
      <c r="E28" s="150">
        <f>Inputs!$B$17</f>
        <v>1.2143295980573843E-2</v>
      </c>
      <c r="F28" s="149">
        <f t="shared" si="1"/>
        <v>58488.52443233769</v>
      </c>
      <c r="G28" s="149">
        <f>MIN(Inputs!$B$20,D28+F28)</f>
        <v>111014.82187676849</v>
      </c>
      <c r="H28" s="149">
        <f t="shared" si="2"/>
        <v>52526.297444430798</v>
      </c>
      <c r="I28" s="149">
        <f>Inputs!$B$28</f>
        <v>48643.172307692315</v>
      </c>
      <c r="J28" s="149">
        <f>Inputs!$B$29</f>
        <v>10984.615384615387</v>
      </c>
      <c r="K28" s="149">
        <f>Inputs!$B$30</f>
        <v>3406.3846153846157</v>
      </c>
      <c r="L28" s="149">
        <f t="shared" si="3"/>
        <v>63034.172307692315</v>
      </c>
      <c r="M28" s="149">
        <f t="shared" si="4"/>
        <v>174048.99418446081</v>
      </c>
      <c r="N28" s="149">
        <f t="shared" si="5"/>
        <v>4764001.6473494964</v>
      </c>
      <c r="O28" s="149">
        <f>IF(OR(A28=Inputs!$B$15,ROUNDUP((A28+1)/Inputs!$B$14,0)&gt;B28),SUMIF($B$4:B28,B28,$I$4:I28),0)</f>
        <v>0</v>
      </c>
      <c r="P28" s="149">
        <f>IF(OR(A28=Inputs!$B$15,ROUNDUP((A28+1)/Inputs!$B$14,0)&gt;B28),SUMIF($B$4:B28,B28,$J$4:J28),0)</f>
        <v>0</v>
      </c>
      <c r="Q28" s="149">
        <f>IF(OR(A28=Inputs!$B$15,ROUNDUP((A28+1)/Inputs!$B$14,0)&gt;B28),SUMIF($B$4:B28,B28,$K$4:K28),0)</f>
        <v>0</v>
      </c>
      <c r="R28" s="163" t="str">
        <f t="shared" si="6"/>
        <v>Vigente al día</v>
      </c>
      <c r="S28" s="18"/>
      <c r="T28" s="18"/>
      <c r="U28" s="18"/>
      <c r="V28" s="18"/>
      <c r="W28" s="18"/>
      <c r="X28" s="18"/>
      <c r="Y28" s="18"/>
      <c r="Z28" s="18"/>
      <c r="AA28" s="18"/>
      <c r="AB28" s="18"/>
    </row>
    <row r="29" spans="1:28" ht="18" customHeight="1">
      <c r="A29" s="157">
        <v>26</v>
      </c>
      <c r="B29" s="77">
        <f>ROUNDUP(A29/Inputs!$B$14,0)</f>
        <v>6</v>
      </c>
      <c r="C29" s="160" t="str">
        <f>IF(A29=Inputs!$B$15,"Pago final","Pago normal")</f>
        <v>Pago normal</v>
      </c>
      <c r="D29" s="149">
        <f t="shared" si="0"/>
        <v>4764001.6473494964</v>
      </c>
      <c r="E29" s="150">
        <f>Inputs!$B$17</f>
        <v>1.2143295980573843E-2</v>
      </c>
      <c r="F29" s="149">
        <f t="shared" si="1"/>
        <v>57850.682055706304</v>
      </c>
      <c r="G29" s="149">
        <f>MIN(Inputs!$B$20,D29+F29)</f>
        <v>111014.82187676849</v>
      </c>
      <c r="H29" s="149">
        <f t="shared" si="2"/>
        <v>53164.139821062185</v>
      </c>
      <c r="I29" s="149">
        <f>Inputs!$B$28</f>
        <v>48643.172307692315</v>
      </c>
      <c r="J29" s="149">
        <f>Inputs!$B$29</f>
        <v>10984.615384615387</v>
      </c>
      <c r="K29" s="149">
        <f>Inputs!$B$30</f>
        <v>3406.3846153846157</v>
      </c>
      <c r="L29" s="149">
        <f t="shared" si="3"/>
        <v>63034.172307692315</v>
      </c>
      <c r="M29" s="149">
        <f t="shared" si="4"/>
        <v>174048.99418446081</v>
      </c>
      <c r="N29" s="149">
        <f t="shared" si="5"/>
        <v>4710837.5075284345</v>
      </c>
      <c r="O29" s="149">
        <f>IF(OR(A29=Inputs!$B$15,ROUNDUP((A29+1)/Inputs!$B$14,0)&gt;B29),SUMIF($B$4:B29,B29,$I$4:I29),0)</f>
        <v>243215.86153846158</v>
      </c>
      <c r="P29" s="149">
        <f>IF(OR(A29=Inputs!$B$15,ROUNDUP((A29+1)/Inputs!$B$14,0)&gt;B29),SUMIF($B$4:B29,B29,$J$4:J29),0)</f>
        <v>54923.076923076937</v>
      </c>
      <c r="Q29" s="149">
        <f>IF(OR(A29=Inputs!$B$15,ROUNDUP((A29+1)/Inputs!$B$14,0)&gt;B29),SUMIF($B$4:B29,B29,$K$4:K29),0)</f>
        <v>17031.923076923078</v>
      </c>
      <c r="R29" s="163" t="str">
        <f t="shared" si="6"/>
        <v>Vigente al día</v>
      </c>
      <c r="S29" s="18"/>
      <c r="T29" s="18"/>
      <c r="U29" s="18"/>
      <c r="V29" s="18"/>
      <c r="W29" s="18"/>
      <c r="X29" s="18"/>
      <c r="Y29" s="18"/>
      <c r="Z29" s="18"/>
      <c r="AA29" s="18"/>
      <c r="AB29" s="18"/>
    </row>
    <row r="30" spans="1:28" ht="18" customHeight="1">
      <c r="A30" s="157">
        <v>27</v>
      </c>
      <c r="B30" s="77">
        <f>ROUNDUP(A30/Inputs!$B$14,0)</f>
        <v>7</v>
      </c>
      <c r="C30" s="160" t="str">
        <f>IF(A30=Inputs!$B$15,"Pago final","Pago normal")</f>
        <v>Pago normal</v>
      </c>
      <c r="D30" s="149">
        <f t="shared" si="0"/>
        <v>4710837.5075284345</v>
      </c>
      <c r="E30" s="150">
        <f>Inputs!$B$17</f>
        <v>1.2143295980573843E-2</v>
      </c>
      <c r="F30" s="149">
        <f t="shared" si="1"/>
        <v>57205.09417030654</v>
      </c>
      <c r="G30" s="149">
        <f>MIN(Inputs!$B$20,D30+F30)</f>
        <v>111014.82187676849</v>
      </c>
      <c r="H30" s="149">
        <f t="shared" si="2"/>
        <v>53809.727706461948</v>
      </c>
      <c r="I30" s="149">
        <f>Inputs!$B$28</f>
        <v>48643.172307692315</v>
      </c>
      <c r="J30" s="149">
        <f>Inputs!$B$29</f>
        <v>10984.615384615387</v>
      </c>
      <c r="K30" s="149">
        <f>Inputs!$B$30</f>
        <v>3406.3846153846157</v>
      </c>
      <c r="L30" s="149">
        <f t="shared" si="3"/>
        <v>63034.172307692315</v>
      </c>
      <c r="M30" s="149">
        <f t="shared" si="4"/>
        <v>174048.99418446081</v>
      </c>
      <c r="N30" s="149">
        <f t="shared" si="5"/>
        <v>4657027.7798219724</v>
      </c>
      <c r="O30" s="149">
        <f>IF(OR(A30=Inputs!$B$15,ROUNDUP((A30+1)/Inputs!$B$14,0)&gt;B30),SUMIF($B$4:B30,B30,$I$4:I30),0)</f>
        <v>0</v>
      </c>
      <c r="P30" s="149">
        <f>IF(OR(A30=Inputs!$B$15,ROUNDUP((A30+1)/Inputs!$B$14,0)&gt;B30),SUMIF($B$4:B30,B30,$J$4:J30),0)</f>
        <v>0</v>
      </c>
      <c r="Q30" s="149">
        <f>IF(OR(A30=Inputs!$B$15,ROUNDUP((A30+1)/Inputs!$B$14,0)&gt;B30),SUMIF($B$4:B30,B30,$K$4:K30),0)</f>
        <v>0</v>
      </c>
      <c r="R30" s="163" t="str">
        <f t="shared" si="6"/>
        <v>Vigente al día</v>
      </c>
      <c r="S30" s="18"/>
      <c r="T30" s="18"/>
      <c r="U30" s="18"/>
      <c r="V30" s="18"/>
      <c r="W30" s="18"/>
      <c r="X30" s="18"/>
      <c r="Y30" s="18"/>
      <c r="Z30" s="18"/>
      <c r="AA30" s="18"/>
      <c r="AB30" s="18"/>
    </row>
    <row r="31" spans="1:28" ht="18" customHeight="1">
      <c r="A31" s="157">
        <v>28</v>
      </c>
      <c r="B31" s="77">
        <f>ROUNDUP(A31/Inputs!$B$14,0)</f>
        <v>7</v>
      </c>
      <c r="C31" s="160" t="str">
        <f>IF(A31=Inputs!$B$15,"Pago final","Pago normal")</f>
        <v>Pago normal</v>
      </c>
      <c r="D31" s="149">
        <f t="shared" si="0"/>
        <v>4657027.7798219724</v>
      </c>
      <c r="E31" s="150">
        <f>Inputs!$B$17</f>
        <v>1.2143295980573843E-2</v>
      </c>
      <c r="F31" s="149">
        <f t="shared" si="1"/>
        <v>56551.666720132882</v>
      </c>
      <c r="G31" s="149">
        <f>MIN(Inputs!$B$20,D31+F31)</f>
        <v>111014.82187676849</v>
      </c>
      <c r="H31" s="149">
        <f t="shared" si="2"/>
        <v>54463.155156635607</v>
      </c>
      <c r="I31" s="149">
        <f>Inputs!$B$28</f>
        <v>48643.172307692315</v>
      </c>
      <c r="J31" s="149">
        <f>Inputs!$B$29</f>
        <v>10984.615384615387</v>
      </c>
      <c r="K31" s="149">
        <f>Inputs!$B$30</f>
        <v>3406.3846153846157</v>
      </c>
      <c r="L31" s="149">
        <f t="shared" si="3"/>
        <v>63034.172307692315</v>
      </c>
      <c r="M31" s="149">
        <f t="shared" si="4"/>
        <v>174048.99418446081</v>
      </c>
      <c r="N31" s="149">
        <f t="shared" si="5"/>
        <v>4602564.6246653367</v>
      </c>
      <c r="O31" s="149">
        <f>IF(OR(A31=Inputs!$B$15,ROUNDUP((A31+1)/Inputs!$B$14,0)&gt;B31),SUMIF($B$4:B31,B31,$I$4:I31),0)</f>
        <v>0</v>
      </c>
      <c r="P31" s="149">
        <f>IF(OR(A31=Inputs!$B$15,ROUNDUP((A31+1)/Inputs!$B$14,0)&gt;B31),SUMIF($B$4:B31,B31,$J$4:J31),0)</f>
        <v>0</v>
      </c>
      <c r="Q31" s="149">
        <f>IF(OR(A31=Inputs!$B$15,ROUNDUP((A31+1)/Inputs!$B$14,0)&gt;B31),SUMIF($B$4:B31,B31,$K$4:K31),0)</f>
        <v>0</v>
      </c>
      <c r="R31" s="163" t="str">
        <f t="shared" si="6"/>
        <v>Vigente al día</v>
      </c>
      <c r="S31" s="18"/>
      <c r="T31" s="18"/>
      <c r="U31" s="18"/>
      <c r="V31" s="18"/>
      <c r="W31" s="18"/>
      <c r="X31" s="18"/>
      <c r="Y31" s="18"/>
      <c r="Z31" s="18"/>
      <c r="AA31" s="18"/>
      <c r="AB31" s="18"/>
    </row>
    <row r="32" spans="1:28" ht="18" customHeight="1">
      <c r="A32" s="157">
        <v>29</v>
      </c>
      <c r="B32" s="77">
        <f>ROUNDUP(A32/Inputs!$B$14,0)</f>
        <v>7</v>
      </c>
      <c r="C32" s="160" t="str">
        <f>IF(A32=Inputs!$B$15,"Pago final","Pago normal")</f>
        <v>Pago normal</v>
      </c>
      <c r="D32" s="149">
        <f t="shared" si="0"/>
        <v>4602564.6246653367</v>
      </c>
      <c r="E32" s="150">
        <f>Inputs!$B$17</f>
        <v>1.2143295980573843E-2</v>
      </c>
      <c r="F32" s="149">
        <f t="shared" si="1"/>
        <v>55890.304507029941</v>
      </c>
      <c r="G32" s="149">
        <f>MIN(Inputs!$B$20,D32+F32)</f>
        <v>111014.82187676849</v>
      </c>
      <c r="H32" s="149">
        <f t="shared" si="2"/>
        <v>55124.517369738547</v>
      </c>
      <c r="I32" s="149">
        <f>Inputs!$B$28</f>
        <v>48643.172307692315</v>
      </c>
      <c r="J32" s="149">
        <f>Inputs!$B$29</f>
        <v>10984.615384615387</v>
      </c>
      <c r="K32" s="149">
        <f>Inputs!$B$30</f>
        <v>3406.3846153846157</v>
      </c>
      <c r="L32" s="149">
        <f t="shared" si="3"/>
        <v>63034.172307692315</v>
      </c>
      <c r="M32" s="149">
        <f t="shared" si="4"/>
        <v>174048.99418446081</v>
      </c>
      <c r="N32" s="149">
        <f t="shared" si="5"/>
        <v>4547440.1072955979</v>
      </c>
      <c r="O32" s="149">
        <f>IF(OR(A32=Inputs!$B$15,ROUNDUP((A32+1)/Inputs!$B$14,0)&gt;B32),SUMIF($B$4:B32,B32,$I$4:I32),0)</f>
        <v>0</v>
      </c>
      <c r="P32" s="149">
        <f>IF(OR(A32=Inputs!$B$15,ROUNDUP((A32+1)/Inputs!$B$14,0)&gt;B32),SUMIF($B$4:B32,B32,$J$4:J32),0)</f>
        <v>0</v>
      </c>
      <c r="Q32" s="149">
        <f>IF(OR(A32=Inputs!$B$15,ROUNDUP((A32+1)/Inputs!$B$14,0)&gt;B32),SUMIF($B$4:B32,B32,$K$4:K32),0)</f>
        <v>0</v>
      </c>
      <c r="R32" s="163" t="str">
        <f t="shared" si="6"/>
        <v>Vigente al día</v>
      </c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spans="1:28" ht="18" customHeight="1">
      <c r="A33" s="157">
        <v>30</v>
      </c>
      <c r="B33" s="77">
        <f>ROUNDUP(A33/Inputs!$B$14,0)</f>
        <v>7</v>
      </c>
      <c r="C33" s="160" t="str">
        <f>IF(A33=Inputs!$B$15,"Pago final","Pago normal")</f>
        <v>Pago normal</v>
      </c>
      <c r="D33" s="149">
        <f t="shared" si="0"/>
        <v>4547440.1072955979</v>
      </c>
      <c r="E33" s="150">
        <f>Inputs!$B$17</f>
        <v>1.2143295980573843E-2</v>
      </c>
      <c r="F33" s="149">
        <f t="shared" si="1"/>
        <v>55220.91117682292</v>
      </c>
      <c r="G33" s="149">
        <f>MIN(Inputs!$B$20,D33+F33)</f>
        <v>111014.82187676849</v>
      </c>
      <c r="H33" s="149">
        <f t="shared" si="2"/>
        <v>55793.910699945569</v>
      </c>
      <c r="I33" s="149">
        <f>Inputs!$B$28</f>
        <v>48643.172307692315</v>
      </c>
      <c r="J33" s="149">
        <f>Inputs!$B$29</f>
        <v>10984.615384615387</v>
      </c>
      <c r="K33" s="149">
        <f>Inputs!$B$30</f>
        <v>3406.3846153846157</v>
      </c>
      <c r="L33" s="149">
        <f t="shared" si="3"/>
        <v>63034.172307692315</v>
      </c>
      <c r="M33" s="149">
        <f t="shared" si="4"/>
        <v>174048.99418446081</v>
      </c>
      <c r="N33" s="149">
        <f t="shared" si="5"/>
        <v>4491646.196595652</v>
      </c>
      <c r="O33" s="149">
        <f>IF(OR(A33=Inputs!$B$15,ROUNDUP((A33+1)/Inputs!$B$14,0)&gt;B33),SUMIF($B$4:B33,B33,$I$4:I33),0)</f>
        <v>194572.68923076926</v>
      </c>
      <c r="P33" s="149">
        <f>IF(OR(A33=Inputs!$B$15,ROUNDUP((A33+1)/Inputs!$B$14,0)&gt;B33),SUMIF($B$4:B33,B33,$J$4:J33),0)</f>
        <v>43938.461538461546</v>
      </c>
      <c r="Q33" s="149">
        <f>IF(OR(A33=Inputs!$B$15,ROUNDUP((A33+1)/Inputs!$B$14,0)&gt;B33),SUMIF($B$4:B33,B33,$K$4:K33),0)</f>
        <v>13625.538461538463</v>
      </c>
      <c r="R33" s="163" t="str">
        <f t="shared" si="6"/>
        <v>Vigente al día</v>
      </c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spans="1:28" ht="18" customHeight="1">
      <c r="A34" s="157">
        <v>31</v>
      </c>
      <c r="B34" s="77">
        <f>ROUNDUP(A34/Inputs!$B$14,0)</f>
        <v>8</v>
      </c>
      <c r="C34" s="160" t="str">
        <f>IF(A34=Inputs!$B$15,"Pago final","Pago normal")</f>
        <v>Pago normal</v>
      </c>
      <c r="D34" s="149">
        <f t="shared" si="0"/>
        <v>4491646.196595652</v>
      </c>
      <c r="E34" s="150">
        <f>Inputs!$B$17</f>
        <v>1.2143295980573843E-2</v>
      </c>
      <c r="F34" s="149">
        <f t="shared" si="1"/>
        <v>54543.389205279767</v>
      </c>
      <c r="G34" s="149">
        <f>MIN(Inputs!$B$20,D34+F34)</f>
        <v>111014.82187676849</v>
      </c>
      <c r="H34" s="149">
        <f t="shared" si="2"/>
        <v>56471.432671488721</v>
      </c>
      <c r="I34" s="149">
        <f>Inputs!$B$28</f>
        <v>48643.172307692315</v>
      </c>
      <c r="J34" s="149">
        <f>Inputs!$B$29</f>
        <v>10984.615384615387</v>
      </c>
      <c r="K34" s="149">
        <f>Inputs!$B$30</f>
        <v>3406.3846153846157</v>
      </c>
      <c r="L34" s="149">
        <f t="shared" si="3"/>
        <v>63034.172307692315</v>
      </c>
      <c r="M34" s="149">
        <f t="shared" si="4"/>
        <v>174048.99418446081</v>
      </c>
      <c r="N34" s="149">
        <f t="shared" si="5"/>
        <v>4435174.7639241638</v>
      </c>
      <c r="O34" s="149">
        <f>IF(OR(A34=Inputs!$B$15,ROUNDUP((A34+1)/Inputs!$B$14,0)&gt;B34),SUMIF($B$4:B34,B34,$I$4:I34),0)</f>
        <v>0</v>
      </c>
      <c r="P34" s="149">
        <f>IF(OR(A34=Inputs!$B$15,ROUNDUP((A34+1)/Inputs!$B$14,0)&gt;B34),SUMIF($B$4:B34,B34,$J$4:J34),0)</f>
        <v>0</v>
      </c>
      <c r="Q34" s="149">
        <f>IF(OR(A34=Inputs!$B$15,ROUNDUP((A34+1)/Inputs!$B$14,0)&gt;B34),SUMIF($B$4:B34,B34,$K$4:K34),0)</f>
        <v>0</v>
      </c>
      <c r="R34" s="163" t="str">
        <f t="shared" si="6"/>
        <v>Vigente al día</v>
      </c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spans="1:28" ht="18" customHeight="1">
      <c r="A35" s="157">
        <v>32</v>
      </c>
      <c r="B35" s="77">
        <f>ROUNDUP(A35/Inputs!$B$14,0)</f>
        <v>8</v>
      </c>
      <c r="C35" s="160" t="str">
        <f>IF(A35=Inputs!$B$15,"Pago final","Pago normal")</f>
        <v>Pago normal</v>
      </c>
      <c r="D35" s="149">
        <f t="shared" si="0"/>
        <v>4435174.7639241638</v>
      </c>
      <c r="E35" s="150">
        <f>Inputs!$B$17</f>
        <v>1.2143295980573843E-2</v>
      </c>
      <c r="F35" s="149">
        <f t="shared" si="1"/>
        <v>53857.639883902841</v>
      </c>
      <c r="G35" s="149">
        <f>MIN(Inputs!$B$20,D35+F35)</f>
        <v>111014.82187676849</v>
      </c>
      <c r="H35" s="149">
        <f t="shared" si="2"/>
        <v>57157.181992865648</v>
      </c>
      <c r="I35" s="149">
        <f>Inputs!$B$28</f>
        <v>48643.172307692315</v>
      </c>
      <c r="J35" s="149">
        <f>Inputs!$B$29</f>
        <v>10984.615384615387</v>
      </c>
      <c r="K35" s="149">
        <f>Inputs!$B$30</f>
        <v>3406.3846153846157</v>
      </c>
      <c r="L35" s="149">
        <f t="shared" si="3"/>
        <v>63034.172307692315</v>
      </c>
      <c r="M35" s="149">
        <f t="shared" si="4"/>
        <v>174048.99418446081</v>
      </c>
      <c r="N35" s="149">
        <f t="shared" si="5"/>
        <v>4378017.5819312977</v>
      </c>
      <c r="O35" s="149">
        <f>IF(OR(A35=Inputs!$B$15,ROUNDUP((A35+1)/Inputs!$B$14,0)&gt;B35),SUMIF($B$4:B35,B35,$I$4:I35),0)</f>
        <v>0</v>
      </c>
      <c r="P35" s="149">
        <f>IF(OR(A35=Inputs!$B$15,ROUNDUP((A35+1)/Inputs!$B$14,0)&gt;B35),SUMIF($B$4:B35,B35,$J$4:J35),0)</f>
        <v>0</v>
      </c>
      <c r="Q35" s="149">
        <f>IF(OR(A35=Inputs!$B$15,ROUNDUP((A35+1)/Inputs!$B$14,0)&gt;B35),SUMIF($B$4:B35,B35,$K$4:K35),0)</f>
        <v>0</v>
      </c>
      <c r="R35" s="163" t="str">
        <f t="shared" si="6"/>
        <v>Vigente al día</v>
      </c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spans="1:28" ht="18" customHeight="1">
      <c r="A36" s="157">
        <v>33</v>
      </c>
      <c r="B36" s="77">
        <f>ROUNDUP(A36/Inputs!$B$14,0)</f>
        <v>8</v>
      </c>
      <c r="C36" s="160" t="str">
        <f>IF(A36=Inputs!$B$15,"Pago final","Pago normal")</f>
        <v>Pago normal</v>
      </c>
      <c r="D36" s="149">
        <f t="shared" ref="D36:D67" si="7">N35</f>
        <v>4378017.5819312977</v>
      </c>
      <c r="E36" s="150">
        <f>Inputs!$B$17</f>
        <v>1.2143295980573843E-2</v>
      </c>
      <c r="F36" s="149">
        <f t="shared" ref="F36:F67" si="8">D36*E36</f>
        <v>53163.563305547941</v>
      </c>
      <c r="G36" s="149">
        <f>MIN(Inputs!$B$20,D36+F36)</f>
        <v>111014.82187676849</v>
      </c>
      <c r="H36" s="149">
        <f t="shared" ref="H36:H67" si="9">MIN(D36,G36-F36)</f>
        <v>57851.258571220547</v>
      </c>
      <c r="I36" s="149">
        <f>Inputs!$B$28</f>
        <v>48643.172307692315</v>
      </c>
      <c r="J36" s="149">
        <f>Inputs!$B$29</f>
        <v>10984.615384615387</v>
      </c>
      <c r="K36" s="149">
        <f>Inputs!$B$30</f>
        <v>3406.3846153846157</v>
      </c>
      <c r="L36" s="149">
        <f t="shared" ref="L36:L67" si="10">SUM(I36:K36)</f>
        <v>63034.172307692315</v>
      </c>
      <c r="M36" s="149">
        <f t="shared" ref="M36:M67" si="11">G36+L36</f>
        <v>174048.99418446081</v>
      </c>
      <c r="N36" s="149">
        <f t="shared" ref="N36:N67" si="12">MAX(0,D36-H36)</f>
        <v>4320166.3233600771</v>
      </c>
      <c r="O36" s="149">
        <f>IF(OR(A36=Inputs!$B$15,ROUNDUP((A36+1)/Inputs!$B$14,0)&gt;B36),SUMIF($B$4:B36,B36,$I$4:I36),0)</f>
        <v>0</v>
      </c>
      <c r="P36" s="149">
        <f>IF(OR(A36=Inputs!$B$15,ROUNDUP((A36+1)/Inputs!$B$14,0)&gt;B36),SUMIF($B$4:B36,B36,$J$4:J36),0)</f>
        <v>0</v>
      </c>
      <c r="Q36" s="149">
        <f>IF(OR(A36=Inputs!$B$15,ROUNDUP((A36+1)/Inputs!$B$14,0)&gt;B36),SUMIF($B$4:B36,B36,$K$4:K36),0)</f>
        <v>0</v>
      </c>
      <c r="R36" s="163" t="str">
        <f t="shared" ref="R36:R67" si="13">IF(N36&lt;=0.005,"Amortizado","Vigente al día")</f>
        <v>Vigente al día</v>
      </c>
      <c r="S36" s="18"/>
      <c r="T36" s="18"/>
      <c r="U36" s="18"/>
      <c r="V36" s="18"/>
      <c r="W36" s="18"/>
      <c r="X36" s="18"/>
      <c r="Y36" s="18"/>
      <c r="Z36" s="18"/>
      <c r="AA36" s="18"/>
      <c r="AB36" s="18"/>
    </row>
    <row r="37" spans="1:28" ht="18" customHeight="1">
      <c r="A37" s="157">
        <v>34</v>
      </c>
      <c r="B37" s="77">
        <f>ROUNDUP(A37/Inputs!$B$14,0)</f>
        <v>8</v>
      </c>
      <c r="C37" s="160" t="str">
        <f>IF(A37=Inputs!$B$15,"Pago final","Pago normal")</f>
        <v>Pago normal</v>
      </c>
      <c r="D37" s="149">
        <f t="shared" si="7"/>
        <v>4320166.3233600771</v>
      </c>
      <c r="E37" s="150">
        <f>Inputs!$B$17</f>
        <v>1.2143295980573843E-2</v>
      </c>
      <c r="F37" s="149">
        <f t="shared" si="8"/>
        <v>52461.058349868901</v>
      </c>
      <c r="G37" s="149">
        <f>MIN(Inputs!$B$20,D37+F37)</f>
        <v>111014.82187676849</v>
      </c>
      <c r="H37" s="149">
        <f t="shared" si="9"/>
        <v>58553.763526899587</v>
      </c>
      <c r="I37" s="149">
        <f>Inputs!$B$28</f>
        <v>48643.172307692315</v>
      </c>
      <c r="J37" s="149">
        <f>Inputs!$B$29</f>
        <v>10984.615384615387</v>
      </c>
      <c r="K37" s="149">
        <f>Inputs!$B$30</f>
        <v>3406.3846153846157</v>
      </c>
      <c r="L37" s="149">
        <f t="shared" si="10"/>
        <v>63034.172307692315</v>
      </c>
      <c r="M37" s="149">
        <f t="shared" si="11"/>
        <v>174048.99418446081</v>
      </c>
      <c r="N37" s="149">
        <f t="shared" si="12"/>
        <v>4261612.5598331774</v>
      </c>
      <c r="O37" s="149">
        <f>IF(OR(A37=Inputs!$B$15,ROUNDUP((A37+1)/Inputs!$B$14,0)&gt;B37),SUMIF($B$4:B37,B37,$I$4:I37),0)</f>
        <v>194572.68923076926</v>
      </c>
      <c r="P37" s="149">
        <f>IF(OR(A37=Inputs!$B$15,ROUNDUP((A37+1)/Inputs!$B$14,0)&gt;B37),SUMIF($B$4:B37,B37,$J$4:J37),0)</f>
        <v>43938.461538461546</v>
      </c>
      <c r="Q37" s="149">
        <f>IF(OR(A37=Inputs!$B$15,ROUNDUP((A37+1)/Inputs!$B$14,0)&gt;B37),SUMIF($B$4:B37,B37,$K$4:K37),0)</f>
        <v>13625.538461538463</v>
      </c>
      <c r="R37" s="163" t="str">
        <f t="shared" si="13"/>
        <v>Vigente al día</v>
      </c>
      <c r="S37" s="18"/>
      <c r="T37" s="18"/>
      <c r="U37" s="18"/>
      <c r="V37" s="18"/>
      <c r="W37" s="18"/>
      <c r="X37" s="18"/>
      <c r="Y37" s="18"/>
      <c r="Z37" s="18"/>
      <c r="AA37" s="18"/>
      <c r="AB37" s="18"/>
    </row>
    <row r="38" spans="1:28" ht="18" customHeight="1">
      <c r="A38" s="157">
        <v>35</v>
      </c>
      <c r="B38" s="77">
        <f>ROUNDUP(A38/Inputs!$B$14,0)</f>
        <v>9</v>
      </c>
      <c r="C38" s="160" t="str">
        <f>IF(A38=Inputs!$B$15,"Pago final","Pago normal")</f>
        <v>Pago normal</v>
      </c>
      <c r="D38" s="149">
        <f t="shared" si="7"/>
        <v>4261612.5598331774</v>
      </c>
      <c r="E38" s="150">
        <f>Inputs!$B$17</f>
        <v>1.2143295980573843E-2</v>
      </c>
      <c r="F38" s="149">
        <f t="shared" si="8"/>
        <v>51750.022668585225</v>
      </c>
      <c r="G38" s="149">
        <f>MIN(Inputs!$B$20,D38+F38)</f>
        <v>111014.82187676849</v>
      </c>
      <c r="H38" s="149">
        <f t="shared" si="9"/>
        <v>59264.799208183264</v>
      </c>
      <c r="I38" s="149">
        <f>Inputs!$B$28</f>
        <v>48643.172307692315</v>
      </c>
      <c r="J38" s="149">
        <f>Inputs!$B$29</f>
        <v>10984.615384615387</v>
      </c>
      <c r="K38" s="149">
        <f>Inputs!$B$30</f>
        <v>3406.3846153846157</v>
      </c>
      <c r="L38" s="149">
        <f t="shared" si="10"/>
        <v>63034.172307692315</v>
      </c>
      <c r="M38" s="149">
        <f t="shared" si="11"/>
        <v>174048.99418446081</v>
      </c>
      <c r="N38" s="149">
        <f t="shared" si="12"/>
        <v>4202347.7606249945</v>
      </c>
      <c r="O38" s="149">
        <f>IF(OR(A38=Inputs!$B$15,ROUNDUP((A38+1)/Inputs!$B$14,0)&gt;B38),SUMIF($B$4:B38,B38,$I$4:I38),0)</f>
        <v>0</v>
      </c>
      <c r="P38" s="149">
        <f>IF(OR(A38=Inputs!$B$15,ROUNDUP((A38+1)/Inputs!$B$14,0)&gt;B38),SUMIF($B$4:B38,B38,$J$4:J38),0)</f>
        <v>0</v>
      </c>
      <c r="Q38" s="149">
        <f>IF(OR(A38=Inputs!$B$15,ROUNDUP((A38+1)/Inputs!$B$14,0)&gt;B38),SUMIF($B$4:B38,B38,$K$4:K38),0)</f>
        <v>0</v>
      </c>
      <c r="R38" s="163" t="str">
        <f t="shared" si="13"/>
        <v>Vigente al día</v>
      </c>
      <c r="S38" s="18"/>
      <c r="T38" s="18"/>
      <c r="U38" s="18"/>
      <c r="V38" s="18"/>
      <c r="W38" s="18"/>
      <c r="X38" s="18"/>
      <c r="Y38" s="18"/>
      <c r="Z38" s="18"/>
      <c r="AA38" s="18"/>
      <c r="AB38" s="18"/>
    </row>
    <row r="39" spans="1:28" ht="18" customHeight="1">
      <c r="A39" s="157">
        <v>36</v>
      </c>
      <c r="B39" s="77">
        <f>ROUNDUP(A39/Inputs!$B$14,0)</f>
        <v>9</v>
      </c>
      <c r="C39" s="160" t="str">
        <f>IF(A39=Inputs!$B$15,"Pago final","Pago normal")</f>
        <v>Pago normal</v>
      </c>
      <c r="D39" s="149">
        <f t="shared" si="7"/>
        <v>4202347.7606249945</v>
      </c>
      <c r="E39" s="150">
        <f>Inputs!$B$17</f>
        <v>1.2143295980573843E-2</v>
      </c>
      <c r="F39" s="149">
        <f t="shared" si="8"/>
        <v>51030.352670570988</v>
      </c>
      <c r="G39" s="149">
        <f>MIN(Inputs!$B$20,D39+F39)</f>
        <v>111014.82187676849</v>
      </c>
      <c r="H39" s="149">
        <f t="shared" si="9"/>
        <v>59984.4692061975</v>
      </c>
      <c r="I39" s="149">
        <f>Inputs!$B$28</f>
        <v>48643.172307692315</v>
      </c>
      <c r="J39" s="149">
        <f>Inputs!$B$29</f>
        <v>10984.615384615387</v>
      </c>
      <c r="K39" s="149">
        <f>Inputs!$B$30</f>
        <v>3406.3846153846157</v>
      </c>
      <c r="L39" s="149">
        <f t="shared" si="10"/>
        <v>63034.172307692315</v>
      </c>
      <c r="M39" s="149">
        <f t="shared" si="11"/>
        <v>174048.99418446081</v>
      </c>
      <c r="N39" s="149">
        <f t="shared" si="12"/>
        <v>4142363.2914187969</v>
      </c>
      <c r="O39" s="149">
        <f>IF(OR(A39=Inputs!$B$15,ROUNDUP((A39+1)/Inputs!$B$14,0)&gt;B39),SUMIF($B$4:B39,B39,$I$4:I39),0)</f>
        <v>0</v>
      </c>
      <c r="P39" s="149">
        <f>IF(OR(A39=Inputs!$B$15,ROUNDUP((A39+1)/Inputs!$B$14,0)&gt;B39),SUMIF($B$4:B39,B39,$J$4:J39),0)</f>
        <v>0</v>
      </c>
      <c r="Q39" s="149">
        <f>IF(OR(A39=Inputs!$B$15,ROUNDUP((A39+1)/Inputs!$B$14,0)&gt;B39),SUMIF($B$4:B39,B39,$K$4:K39),0)</f>
        <v>0</v>
      </c>
      <c r="R39" s="163" t="str">
        <f t="shared" si="13"/>
        <v>Vigente al día</v>
      </c>
      <c r="S39" s="18"/>
      <c r="T39" s="18"/>
      <c r="U39" s="18"/>
      <c r="V39" s="18"/>
      <c r="W39" s="18"/>
      <c r="X39" s="18"/>
      <c r="Y39" s="18"/>
      <c r="Z39" s="18"/>
      <c r="AA39" s="18"/>
      <c r="AB39" s="18"/>
    </row>
    <row r="40" spans="1:28" ht="18" customHeight="1">
      <c r="A40" s="157">
        <v>37</v>
      </c>
      <c r="B40" s="77">
        <f>ROUNDUP(A40/Inputs!$B$14,0)</f>
        <v>9</v>
      </c>
      <c r="C40" s="160" t="str">
        <f>IF(A40=Inputs!$B$15,"Pago final","Pago normal")</f>
        <v>Pago normal</v>
      </c>
      <c r="D40" s="149">
        <f t="shared" si="7"/>
        <v>4142363.2914187969</v>
      </c>
      <c r="E40" s="150">
        <f>Inputs!$B$17</f>
        <v>1.2143295980573843E-2</v>
      </c>
      <c r="F40" s="149">
        <f t="shared" si="8"/>
        <v>50301.943506762509</v>
      </c>
      <c r="G40" s="149">
        <f>MIN(Inputs!$B$20,D40+F40)</f>
        <v>111014.82187676849</v>
      </c>
      <c r="H40" s="149">
        <f t="shared" si="9"/>
        <v>60712.878370005979</v>
      </c>
      <c r="I40" s="149">
        <f>Inputs!$B$28</f>
        <v>48643.172307692315</v>
      </c>
      <c r="J40" s="149">
        <f>Inputs!$B$29</f>
        <v>10984.615384615387</v>
      </c>
      <c r="K40" s="149">
        <f>Inputs!$B$30</f>
        <v>3406.3846153846157</v>
      </c>
      <c r="L40" s="149">
        <f t="shared" si="10"/>
        <v>63034.172307692315</v>
      </c>
      <c r="M40" s="149">
        <f t="shared" si="11"/>
        <v>174048.99418446081</v>
      </c>
      <c r="N40" s="149">
        <f t="shared" si="12"/>
        <v>4081650.4130487908</v>
      </c>
      <c r="O40" s="149">
        <f>IF(OR(A40=Inputs!$B$15,ROUNDUP((A40+1)/Inputs!$B$14,0)&gt;B40),SUMIF($B$4:B40,B40,$I$4:I40),0)</f>
        <v>0</v>
      </c>
      <c r="P40" s="149">
        <f>IF(OR(A40=Inputs!$B$15,ROUNDUP((A40+1)/Inputs!$B$14,0)&gt;B40),SUMIF($B$4:B40,B40,$J$4:J40),0)</f>
        <v>0</v>
      </c>
      <c r="Q40" s="149">
        <f>IF(OR(A40=Inputs!$B$15,ROUNDUP((A40+1)/Inputs!$B$14,0)&gt;B40),SUMIF($B$4:B40,B40,$K$4:K40),0)</f>
        <v>0</v>
      </c>
      <c r="R40" s="163" t="str">
        <f t="shared" si="13"/>
        <v>Vigente al día</v>
      </c>
      <c r="S40" s="18"/>
      <c r="T40" s="18"/>
      <c r="U40" s="18"/>
      <c r="V40" s="18"/>
      <c r="W40" s="18"/>
      <c r="X40" s="18"/>
      <c r="Y40" s="18"/>
      <c r="Z40" s="18"/>
      <c r="AA40" s="18"/>
      <c r="AB40" s="18"/>
    </row>
    <row r="41" spans="1:28" ht="18" customHeight="1">
      <c r="A41" s="157">
        <v>38</v>
      </c>
      <c r="B41" s="77">
        <f>ROUNDUP(A41/Inputs!$B$14,0)</f>
        <v>9</v>
      </c>
      <c r="C41" s="160" t="str">
        <f>IF(A41=Inputs!$B$15,"Pago final","Pago normal")</f>
        <v>Pago normal</v>
      </c>
      <c r="D41" s="149">
        <f t="shared" si="7"/>
        <v>4081650.4130487908</v>
      </c>
      <c r="E41" s="150">
        <f>Inputs!$B$17</f>
        <v>1.2143295980573843E-2</v>
      </c>
      <c r="F41" s="149">
        <f t="shared" si="8"/>
        <v>49564.689054882947</v>
      </c>
      <c r="G41" s="149">
        <f>MIN(Inputs!$B$20,D41+F41)</f>
        <v>111014.82187676849</v>
      </c>
      <c r="H41" s="149">
        <f t="shared" si="9"/>
        <v>61450.132821885541</v>
      </c>
      <c r="I41" s="149">
        <f>Inputs!$B$28</f>
        <v>48643.172307692315</v>
      </c>
      <c r="J41" s="149">
        <f>Inputs!$B$29</f>
        <v>10984.615384615387</v>
      </c>
      <c r="K41" s="149">
        <f>Inputs!$B$30</f>
        <v>3406.3846153846157</v>
      </c>
      <c r="L41" s="149">
        <f t="shared" si="10"/>
        <v>63034.172307692315</v>
      </c>
      <c r="M41" s="149">
        <f t="shared" si="11"/>
        <v>174048.99418446081</v>
      </c>
      <c r="N41" s="149">
        <f t="shared" si="12"/>
        <v>4020200.2802269054</v>
      </c>
      <c r="O41" s="149">
        <f>IF(OR(A41=Inputs!$B$15,ROUNDUP((A41+1)/Inputs!$B$14,0)&gt;B41),SUMIF($B$4:B41,B41,$I$4:I41),0)</f>
        <v>0</v>
      </c>
      <c r="P41" s="149">
        <f>IF(OR(A41=Inputs!$B$15,ROUNDUP((A41+1)/Inputs!$B$14,0)&gt;B41),SUMIF($B$4:B41,B41,$J$4:J41),0)</f>
        <v>0</v>
      </c>
      <c r="Q41" s="149">
        <f>IF(OR(A41=Inputs!$B$15,ROUNDUP((A41+1)/Inputs!$B$14,0)&gt;B41),SUMIF($B$4:B41,B41,$K$4:K41),0)</f>
        <v>0</v>
      </c>
      <c r="R41" s="163" t="str">
        <f t="shared" si="13"/>
        <v>Vigente al día</v>
      </c>
      <c r="S41" s="18"/>
      <c r="T41" s="18"/>
      <c r="U41" s="18"/>
      <c r="V41" s="18"/>
      <c r="W41" s="18"/>
      <c r="X41" s="18"/>
      <c r="Y41" s="18"/>
      <c r="Z41" s="18"/>
      <c r="AA41" s="18"/>
      <c r="AB41" s="18"/>
    </row>
    <row r="42" spans="1:28" ht="18" customHeight="1">
      <c r="A42" s="157">
        <v>39</v>
      </c>
      <c r="B42" s="77">
        <f>ROUNDUP(A42/Inputs!$B$14,0)</f>
        <v>9</v>
      </c>
      <c r="C42" s="160" t="str">
        <f>IF(A42=Inputs!$B$15,"Pago final","Pago normal")</f>
        <v>Pago normal</v>
      </c>
      <c r="D42" s="149">
        <f t="shared" si="7"/>
        <v>4020200.2802269054</v>
      </c>
      <c r="E42" s="150">
        <f>Inputs!$B$17</f>
        <v>1.2143295980573843E-2</v>
      </c>
      <c r="F42" s="149">
        <f t="shared" si="8"/>
        <v>48818.481903981214</v>
      </c>
      <c r="G42" s="149">
        <f>MIN(Inputs!$B$20,D42+F42)</f>
        <v>111014.82187676849</v>
      </c>
      <c r="H42" s="149">
        <f t="shared" si="9"/>
        <v>62196.339972787275</v>
      </c>
      <c r="I42" s="149">
        <f>Inputs!$B$28</f>
        <v>48643.172307692315</v>
      </c>
      <c r="J42" s="149">
        <f>Inputs!$B$29</f>
        <v>10984.615384615387</v>
      </c>
      <c r="K42" s="149">
        <f>Inputs!$B$30</f>
        <v>3406.3846153846157</v>
      </c>
      <c r="L42" s="149">
        <f t="shared" si="10"/>
        <v>63034.172307692315</v>
      </c>
      <c r="M42" s="149">
        <f t="shared" si="11"/>
        <v>174048.99418446081</v>
      </c>
      <c r="N42" s="149">
        <f t="shared" si="12"/>
        <v>3958003.9402541183</v>
      </c>
      <c r="O42" s="149">
        <f>IF(OR(A42=Inputs!$B$15,ROUNDUP((A42+1)/Inputs!$B$14,0)&gt;B42),SUMIF($B$4:B42,B42,$I$4:I42),0)</f>
        <v>243215.86153846158</v>
      </c>
      <c r="P42" s="149">
        <f>IF(OR(A42=Inputs!$B$15,ROUNDUP((A42+1)/Inputs!$B$14,0)&gt;B42),SUMIF($B$4:B42,B42,$J$4:J42),0)</f>
        <v>54923.076923076937</v>
      </c>
      <c r="Q42" s="149">
        <f>IF(OR(A42=Inputs!$B$15,ROUNDUP((A42+1)/Inputs!$B$14,0)&gt;B42),SUMIF($B$4:B42,B42,$K$4:K42),0)</f>
        <v>17031.923076923078</v>
      </c>
      <c r="R42" s="163" t="str">
        <f t="shared" si="13"/>
        <v>Vigente al día</v>
      </c>
      <c r="S42" s="18"/>
      <c r="T42" s="18"/>
      <c r="U42" s="18"/>
      <c r="V42" s="18"/>
      <c r="W42" s="18"/>
      <c r="X42" s="18"/>
      <c r="Y42" s="18"/>
      <c r="Z42" s="18"/>
      <c r="AA42" s="18"/>
      <c r="AB42" s="18"/>
    </row>
    <row r="43" spans="1:28" ht="18" customHeight="1">
      <c r="A43" s="157">
        <v>40</v>
      </c>
      <c r="B43" s="77">
        <f>ROUNDUP(A43/Inputs!$B$14,0)</f>
        <v>10</v>
      </c>
      <c r="C43" s="160" t="str">
        <f>IF(A43=Inputs!$B$15,"Pago final","Pago normal")</f>
        <v>Pago normal</v>
      </c>
      <c r="D43" s="149">
        <f t="shared" si="7"/>
        <v>3958003.9402541183</v>
      </c>
      <c r="E43" s="150">
        <f>Inputs!$B$17</f>
        <v>1.2143295980573843E-2</v>
      </c>
      <c r="F43" s="149">
        <f t="shared" si="8"/>
        <v>48063.213338783265</v>
      </c>
      <c r="G43" s="149">
        <f>MIN(Inputs!$B$20,D43+F43)</f>
        <v>111014.82187676849</v>
      </c>
      <c r="H43" s="149">
        <f t="shared" si="9"/>
        <v>62951.608537985223</v>
      </c>
      <c r="I43" s="149">
        <f>Inputs!$B$28</f>
        <v>48643.172307692315</v>
      </c>
      <c r="J43" s="149">
        <f>Inputs!$B$29</f>
        <v>10984.615384615387</v>
      </c>
      <c r="K43" s="149">
        <f>Inputs!$B$30</f>
        <v>3406.3846153846157</v>
      </c>
      <c r="L43" s="149">
        <f t="shared" si="10"/>
        <v>63034.172307692315</v>
      </c>
      <c r="M43" s="149">
        <f t="shared" si="11"/>
        <v>174048.99418446081</v>
      </c>
      <c r="N43" s="149">
        <f t="shared" si="12"/>
        <v>3895052.3317161333</v>
      </c>
      <c r="O43" s="149">
        <f>IF(OR(A43=Inputs!$B$15,ROUNDUP((A43+1)/Inputs!$B$14,0)&gt;B43),SUMIF($B$4:B43,B43,$I$4:I43),0)</f>
        <v>0</v>
      </c>
      <c r="P43" s="149">
        <f>IF(OR(A43=Inputs!$B$15,ROUNDUP((A43+1)/Inputs!$B$14,0)&gt;B43),SUMIF($B$4:B43,B43,$J$4:J43),0)</f>
        <v>0</v>
      </c>
      <c r="Q43" s="149">
        <f>IF(OR(A43=Inputs!$B$15,ROUNDUP((A43+1)/Inputs!$B$14,0)&gt;B43),SUMIF($B$4:B43,B43,$K$4:K43),0)</f>
        <v>0</v>
      </c>
      <c r="R43" s="163" t="str">
        <f t="shared" si="13"/>
        <v>Vigente al día</v>
      </c>
      <c r="S43" s="18"/>
      <c r="T43" s="18"/>
      <c r="U43" s="18"/>
      <c r="V43" s="18"/>
      <c r="W43" s="18"/>
      <c r="X43" s="18"/>
      <c r="Y43" s="18"/>
      <c r="Z43" s="18"/>
      <c r="AA43" s="18"/>
      <c r="AB43" s="18"/>
    </row>
    <row r="44" spans="1:28" ht="18" customHeight="1">
      <c r="A44" s="157">
        <v>41</v>
      </c>
      <c r="B44" s="77">
        <f>ROUNDUP(A44/Inputs!$B$14,0)</f>
        <v>10</v>
      </c>
      <c r="C44" s="160" t="str">
        <f>IF(A44=Inputs!$B$15,"Pago final","Pago normal")</f>
        <v>Pago normal</v>
      </c>
      <c r="D44" s="149">
        <f t="shared" si="7"/>
        <v>3895052.3317161333</v>
      </c>
      <c r="E44" s="150">
        <f>Inputs!$B$17</f>
        <v>1.2143295980573843E-2</v>
      </c>
      <c r="F44" s="149">
        <f t="shared" si="8"/>
        <v>47298.773323853296</v>
      </c>
      <c r="G44" s="149">
        <f>MIN(Inputs!$B$20,D44+F44)</f>
        <v>111014.82187676849</v>
      </c>
      <c r="H44" s="149">
        <f t="shared" si="9"/>
        <v>63716.048552915192</v>
      </c>
      <c r="I44" s="149">
        <f>Inputs!$B$28</f>
        <v>48643.172307692315</v>
      </c>
      <c r="J44" s="149">
        <f>Inputs!$B$29</f>
        <v>10984.615384615387</v>
      </c>
      <c r="K44" s="149">
        <f>Inputs!$B$30</f>
        <v>3406.3846153846157</v>
      </c>
      <c r="L44" s="149">
        <f t="shared" si="10"/>
        <v>63034.172307692315</v>
      </c>
      <c r="M44" s="149">
        <f t="shared" si="11"/>
        <v>174048.99418446081</v>
      </c>
      <c r="N44" s="149">
        <f t="shared" si="12"/>
        <v>3831336.2831632183</v>
      </c>
      <c r="O44" s="149">
        <f>IF(OR(A44=Inputs!$B$15,ROUNDUP((A44+1)/Inputs!$B$14,0)&gt;B44),SUMIF($B$4:B44,B44,$I$4:I44),0)</f>
        <v>0</v>
      </c>
      <c r="P44" s="149">
        <f>IF(OR(A44=Inputs!$B$15,ROUNDUP((A44+1)/Inputs!$B$14,0)&gt;B44),SUMIF($B$4:B44,B44,$J$4:J44),0)</f>
        <v>0</v>
      </c>
      <c r="Q44" s="149">
        <f>IF(OR(A44=Inputs!$B$15,ROUNDUP((A44+1)/Inputs!$B$14,0)&gt;B44),SUMIF($B$4:B44,B44,$K$4:K44),0)</f>
        <v>0</v>
      </c>
      <c r="R44" s="163" t="str">
        <f t="shared" si="13"/>
        <v>Vigente al día</v>
      </c>
      <c r="S44" s="18"/>
      <c r="T44" s="18"/>
      <c r="U44" s="18"/>
      <c r="V44" s="18"/>
      <c r="W44" s="18"/>
      <c r="X44" s="18"/>
      <c r="Y44" s="18"/>
      <c r="Z44" s="18"/>
      <c r="AA44" s="18"/>
      <c r="AB44" s="18"/>
    </row>
    <row r="45" spans="1:28" ht="18" customHeight="1">
      <c r="A45" s="157">
        <v>42</v>
      </c>
      <c r="B45" s="77">
        <f>ROUNDUP(A45/Inputs!$B$14,0)</f>
        <v>10</v>
      </c>
      <c r="C45" s="160" t="str">
        <f>IF(A45=Inputs!$B$15,"Pago final","Pago normal")</f>
        <v>Pago normal</v>
      </c>
      <c r="D45" s="149">
        <f t="shared" si="7"/>
        <v>3831336.2831632183</v>
      </c>
      <c r="E45" s="150">
        <f>Inputs!$B$17</f>
        <v>1.2143295980573843E-2</v>
      </c>
      <c r="F45" s="149">
        <f t="shared" si="8"/>
        <v>46525.050487562636</v>
      </c>
      <c r="G45" s="149">
        <f>MIN(Inputs!$B$20,D45+F45)</f>
        <v>111014.82187676849</v>
      </c>
      <c r="H45" s="149">
        <f t="shared" si="9"/>
        <v>64489.771389205853</v>
      </c>
      <c r="I45" s="149">
        <f>Inputs!$B$28</f>
        <v>48643.172307692315</v>
      </c>
      <c r="J45" s="149">
        <f>Inputs!$B$29</f>
        <v>10984.615384615387</v>
      </c>
      <c r="K45" s="149">
        <f>Inputs!$B$30</f>
        <v>3406.3846153846157</v>
      </c>
      <c r="L45" s="149">
        <f t="shared" si="10"/>
        <v>63034.172307692315</v>
      </c>
      <c r="M45" s="149">
        <f t="shared" si="11"/>
        <v>174048.99418446081</v>
      </c>
      <c r="N45" s="149">
        <f t="shared" si="12"/>
        <v>3766846.5117740124</v>
      </c>
      <c r="O45" s="149">
        <f>IF(OR(A45=Inputs!$B$15,ROUNDUP((A45+1)/Inputs!$B$14,0)&gt;B45),SUMIF($B$4:B45,B45,$I$4:I45),0)</f>
        <v>0</v>
      </c>
      <c r="P45" s="149">
        <f>IF(OR(A45=Inputs!$B$15,ROUNDUP((A45+1)/Inputs!$B$14,0)&gt;B45),SUMIF($B$4:B45,B45,$J$4:J45),0)</f>
        <v>0</v>
      </c>
      <c r="Q45" s="149">
        <f>IF(OR(A45=Inputs!$B$15,ROUNDUP((A45+1)/Inputs!$B$14,0)&gt;B45),SUMIF($B$4:B45,B45,$K$4:K45),0)</f>
        <v>0</v>
      </c>
      <c r="R45" s="163" t="str">
        <f t="shared" si="13"/>
        <v>Vigente al día</v>
      </c>
      <c r="S45" s="18"/>
      <c r="T45" s="18"/>
      <c r="U45" s="18"/>
      <c r="V45" s="18"/>
      <c r="W45" s="18"/>
      <c r="X45" s="18"/>
      <c r="Y45" s="18"/>
      <c r="Z45" s="18"/>
      <c r="AA45" s="18"/>
      <c r="AB45" s="18"/>
    </row>
    <row r="46" spans="1:28" ht="18" customHeight="1">
      <c r="A46" s="157">
        <v>43</v>
      </c>
      <c r="B46" s="77">
        <f>ROUNDUP(A46/Inputs!$B$14,0)</f>
        <v>10</v>
      </c>
      <c r="C46" s="160" t="str">
        <f>IF(A46=Inputs!$B$15,"Pago final","Pago normal")</f>
        <v>Pago normal</v>
      </c>
      <c r="D46" s="149">
        <f t="shared" si="7"/>
        <v>3766846.5117740124</v>
      </c>
      <c r="E46" s="150">
        <f>Inputs!$B$17</f>
        <v>1.2143295980573843E-2</v>
      </c>
      <c r="F46" s="149">
        <f t="shared" si="8"/>
        <v>45741.932105863962</v>
      </c>
      <c r="G46" s="149">
        <f>MIN(Inputs!$B$20,D46+F46)</f>
        <v>111014.82187676849</v>
      </c>
      <c r="H46" s="149">
        <f t="shared" si="9"/>
        <v>65272.889770904527</v>
      </c>
      <c r="I46" s="149">
        <f>Inputs!$B$28</f>
        <v>48643.172307692315</v>
      </c>
      <c r="J46" s="149">
        <f>Inputs!$B$29</f>
        <v>10984.615384615387</v>
      </c>
      <c r="K46" s="149">
        <f>Inputs!$B$30</f>
        <v>3406.3846153846157</v>
      </c>
      <c r="L46" s="149">
        <f t="shared" si="10"/>
        <v>63034.172307692315</v>
      </c>
      <c r="M46" s="149">
        <f t="shared" si="11"/>
        <v>174048.99418446081</v>
      </c>
      <c r="N46" s="149">
        <f t="shared" si="12"/>
        <v>3701573.6220031078</v>
      </c>
      <c r="O46" s="149">
        <f>IF(OR(A46=Inputs!$B$15,ROUNDUP((A46+1)/Inputs!$B$14,0)&gt;B46),SUMIF($B$4:B46,B46,$I$4:I46),0)</f>
        <v>194572.68923076926</v>
      </c>
      <c r="P46" s="149">
        <f>IF(OR(A46=Inputs!$B$15,ROUNDUP((A46+1)/Inputs!$B$14,0)&gt;B46),SUMIF($B$4:B46,B46,$J$4:J46),0)</f>
        <v>43938.461538461546</v>
      </c>
      <c r="Q46" s="149">
        <f>IF(OR(A46=Inputs!$B$15,ROUNDUP((A46+1)/Inputs!$B$14,0)&gt;B46),SUMIF($B$4:B46,B46,$K$4:K46),0)</f>
        <v>13625.538461538463</v>
      </c>
      <c r="R46" s="163" t="str">
        <f t="shared" si="13"/>
        <v>Vigente al día</v>
      </c>
      <c r="S46" s="18"/>
      <c r="T46" s="18"/>
      <c r="U46" s="18"/>
      <c r="V46" s="18"/>
      <c r="W46" s="18"/>
      <c r="X46" s="18"/>
      <c r="Y46" s="18"/>
      <c r="Z46" s="18"/>
      <c r="AA46" s="18"/>
      <c r="AB46" s="18"/>
    </row>
    <row r="47" spans="1:28" ht="18" customHeight="1">
      <c r="A47" s="157">
        <v>44</v>
      </c>
      <c r="B47" s="77">
        <f>ROUNDUP(A47/Inputs!$B$14,0)</f>
        <v>11</v>
      </c>
      <c r="C47" s="160" t="str">
        <f>IF(A47=Inputs!$B$15,"Pago final","Pago normal")</f>
        <v>Pago normal</v>
      </c>
      <c r="D47" s="149">
        <f t="shared" si="7"/>
        <v>3701573.6220031078</v>
      </c>
      <c r="E47" s="150">
        <f>Inputs!$B$17</f>
        <v>1.2143295980573843E-2</v>
      </c>
      <c r="F47" s="149">
        <f t="shared" si="8"/>
        <v>44949.304085868498</v>
      </c>
      <c r="G47" s="149">
        <f>MIN(Inputs!$B$20,D47+F47)</f>
        <v>111014.82187676849</v>
      </c>
      <c r="H47" s="149">
        <f t="shared" si="9"/>
        <v>66065.51779089999</v>
      </c>
      <c r="I47" s="149">
        <f>Inputs!$B$28</f>
        <v>48643.172307692315</v>
      </c>
      <c r="J47" s="149">
        <f>Inputs!$B$29</f>
        <v>10984.615384615387</v>
      </c>
      <c r="K47" s="149">
        <f>Inputs!$B$30</f>
        <v>3406.3846153846157</v>
      </c>
      <c r="L47" s="149">
        <f t="shared" si="10"/>
        <v>63034.172307692315</v>
      </c>
      <c r="M47" s="149">
        <f t="shared" si="11"/>
        <v>174048.99418446081</v>
      </c>
      <c r="N47" s="149">
        <f t="shared" si="12"/>
        <v>3635508.1042122077</v>
      </c>
      <c r="O47" s="149">
        <f>IF(OR(A47=Inputs!$B$15,ROUNDUP((A47+1)/Inputs!$B$14,0)&gt;B47),SUMIF($B$4:B47,B47,$I$4:I47),0)</f>
        <v>0</v>
      </c>
      <c r="P47" s="149">
        <f>IF(OR(A47=Inputs!$B$15,ROUNDUP((A47+1)/Inputs!$B$14,0)&gt;B47),SUMIF($B$4:B47,B47,$J$4:J47),0)</f>
        <v>0</v>
      </c>
      <c r="Q47" s="149">
        <f>IF(OR(A47=Inputs!$B$15,ROUNDUP((A47+1)/Inputs!$B$14,0)&gt;B47),SUMIF($B$4:B47,B47,$K$4:K47),0)</f>
        <v>0</v>
      </c>
      <c r="R47" s="163" t="str">
        <f t="shared" si="13"/>
        <v>Vigente al día</v>
      </c>
      <c r="S47" s="18"/>
      <c r="T47" s="18"/>
      <c r="U47" s="18"/>
      <c r="V47" s="18"/>
      <c r="W47" s="18"/>
      <c r="X47" s="18"/>
      <c r="Y47" s="18"/>
      <c r="Z47" s="18"/>
      <c r="AA47" s="18"/>
      <c r="AB47" s="18"/>
    </row>
    <row r="48" spans="1:28" ht="18" customHeight="1">
      <c r="A48" s="157">
        <v>45</v>
      </c>
      <c r="B48" s="77">
        <f>ROUNDUP(A48/Inputs!$B$14,0)</f>
        <v>11</v>
      </c>
      <c r="C48" s="160" t="str">
        <f>IF(A48=Inputs!$B$15,"Pago final","Pago normal")</f>
        <v>Pago normal</v>
      </c>
      <c r="D48" s="149">
        <f t="shared" si="7"/>
        <v>3635508.1042122077</v>
      </c>
      <c r="E48" s="150">
        <f>Inputs!$B$17</f>
        <v>1.2143295980573843E-2</v>
      </c>
      <c r="F48" s="149">
        <f t="shared" si="8"/>
        <v>44147.050949223732</v>
      </c>
      <c r="G48" s="149">
        <f>MIN(Inputs!$B$20,D48+F48)</f>
        <v>111014.82187676849</v>
      </c>
      <c r="H48" s="149">
        <f t="shared" si="9"/>
        <v>66867.770927544756</v>
      </c>
      <c r="I48" s="149">
        <f>Inputs!$B$28</f>
        <v>48643.172307692315</v>
      </c>
      <c r="J48" s="149">
        <f>Inputs!$B$29</f>
        <v>10984.615384615387</v>
      </c>
      <c r="K48" s="149">
        <f>Inputs!$B$30</f>
        <v>3406.3846153846157</v>
      </c>
      <c r="L48" s="149">
        <f t="shared" si="10"/>
        <v>63034.172307692315</v>
      </c>
      <c r="M48" s="149">
        <f t="shared" si="11"/>
        <v>174048.99418446081</v>
      </c>
      <c r="N48" s="149">
        <f t="shared" si="12"/>
        <v>3568640.333284663</v>
      </c>
      <c r="O48" s="149">
        <f>IF(OR(A48=Inputs!$B$15,ROUNDUP((A48+1)/Inputs!$B$14,0)&gt;B48),SUMIF($B$4:B48,B48,$I$4:I48),0)</f>
        <v>0</v>
      </c>
      <c r="P48" s="149">
        <f>IF(OR(A48=Inputs!$B$15,ROUNDUP((A48+1)/Inputs!$B$14,0)&gt;B48),SUMIF($B$4:B48,B48,$J$4:J48),0)</f>
        <v>0</v>
      </c>
      <c r="Q48" s="149">
        <f>IF(OR(A48=Inputs!$B$15,ROUNDUP((A48+1)/Inputs!$B$14,0)&gt;B48),SUMIF($B$4:B48,B48,$K$4:K48),0)</f>
        <v>0</v>
      </c>
      <c r="R48" s="163" t="str">
        <f t="shared" si="13"/>
        <v>Vigente al día</v>
      </c>
      <c r="S48" s="18"/>
      <c r="T48" s="18"/>
      <c r="U48" s="18"/>
      <c r="V48" s="18"/>
      <c r="W48" s="18"/>
      <c r="X48" s="18"/>
      <c r="Y48" s="18"/>
      <c r="Z48" s="18"/>
      <c r="AA48" s="18"/>
      <c r="AB48" s="18"/>
    </row>
    <row r="49" spans="1:28" ht="18" customHeight="1">
      <c r="A49" s="157">
        <v>46</v>
      </c>
      <c r="B49" s="77">
        <f>ROUNDUP(A49/Inputs!$B$14,0)</f>
        <v>11</v>
      </c>
      <c r="C49" s="160" t="str">
        <f>IF(A49=Inputs!$B$15,"Pago final","Pago normal")</f>
        <v>Pago normal</v>
      </c>
      <c r="D49" s="149">
        <f t="shared" si="7"/>
        <v>3568640.333284663</v>
      </c>
      <c r="E49" s="150">
        <f>Inputs!$B$17</f>
        <v>1.2143295980573843E-2</v>
      </c>
      <c r="F49" s="149">
        <f t="shared" si="8"/>
        <v>43335.05581528935</v>
      </c>
      <c r="G49" s="149">
        <f>MIN(Inputs!$B$20,D49+F49)</f>
        <v>111014.82187676849</v>
      </c>
      <c r="H49" s="149">
        <f t="shared" si="9"/>
        <v>67679.766061479138</v>
      </c>
      <c r="I49" s="149">
        <f>Inputs!$B$28</f>
        <v>48643.172307692315</v>
      </c>
      <c r="J49" s="149">
        <f>Inputs!$B$29</f>
        <v>10984.615384615387</v>
      </c>
      <c r="K49" s="149">
        <f>Inputs!$B$30</f>
        <v>3406.3846153846157</v>
      </c>
      <c r="L49" s="149">
        <f t="shared" si="10"/>
        <v>63034.172307692315</v>
      </c>
      <c r="M49" s="149">
        <f t="shared" si="11"/>
        <v>174048.99418446081</v>
      </c>
      <c r="N49" s="149">
        <f t="shared" si="12"/>
        <v>3500960.5672231838</v>
      </c>
      <c r="O49" s="149">
        <f>IF(OR(A49=Inputs!$B$15,ROUNDUP((A49+1)/Inputs!$B$14,0)&gt;B49),SUMIF($B$4:B49,B49,$I$4:I49),0)</f>
        <v>0</v>
      </c>
      <c r="P49" s="149">
        <f>IF(OR(A49=Inputs!$B$15,ROUNDUP((A49+1)/Inputs!$B$14,0)&gt;B49),SUMIF($B$4:B49,B49,$J$4:J49),0)</f>
        <v>0</v>
      </c>
      <c r="Q49" s="149">
        <f>IF(OR(A49=Inputs!$B$15,ROUNDUP((A49+1)/Inputs!$B$14,0)&gt;B49),SUMIF($B$4:B49,B49,$K$4:K49),0)</f>
        <v>0</v>
      </c>
      <c r="R49" s="163" t="str">
        <f t="shared" si="13"/>
        <v>Vigente al día</v>
      </c>
      <c r="S49" s="18"/>
      <c r="T49" s="18"/>
      <c r="U49" s="18"/>
      <c r="V49" s="18"/>
      <c r="W49" s="18"/>
      <c r="X49" s="18"/>
      <c r="Y49" s="18"/>
      <c r="Z49" s="18"/>
      <c r="AA49" s="18"/>
      <c r="AB49" s="18"/>
    </row>
    <row r="50" spans="1:28" ht="18" customHeight="1">
      <c r="A50" s="157">
        <v>47</v>
      </c>
      <c r="B50" s="77">
        <f>ROUNDUP(A50/Inputs!$B$14,0)</f>
        <v>11</v>
      </c>
      <c r="C50" s="160" t="str">
        <f>IF(A50=Inputs!$B$15,"Pago final","Pago normal")</f>
        <v>Pago normal</v>
      </c>
      <c r="D50" s="149">
        <f t="shared" si="7"/>
        <v>3500960.5672231838</v>
      </c>
      <c r="E50" s="150">
        <f>Inputs!$B$17</f>
        <v>1.2143295980573843E-2</v>
      </c>
      <c r="F50" s="149">
        <f t="shared" si="8"/>
        <v>42513.200384108808</v>
      </c>
      <c r="G50" s="149">
        <f>MIN(Inputs!$B$20,D50+F50)</f>
        <v>111014.82187676849</v>
      </c>
      <c r="H50" s="149">
        <f t="shared" si="9"/>
        <v>68501.621492659673</v>
      </c>
      <c r="I50" s="149">
        <f>Inputs!$B$28</f>
        <v>48643.172307692315</v>
      </c>
      <c r="J50" s="149">
        <f>Inputs!$B$29</f>
        <v>10984.615384615387</v>
      </c>
      <c r="K50" s="149">
        <f>Inputs!$B$30</f>
        <v>3406.3846153846157</v>
      </c>
      <c r="L50" s="149">
        <f t="shared" si="10"/>
        <v>63034.172307692315</v>
      </c>
      <c r="M50" s="149">
        <f t="shared" si="11"/>
        <v>174048.99418446081</v>
      </c>
      <c r="N50" s="149">
        <f t="shared" si="12"/>
        <v>3432458.9457305241</v>
      </c>
      <c r="O50" s="149">
        <f>IF(OR(A50=Inputs!$B$15,ROUNDUP((A50+1)/Inputs!$B$14,0)&gt;B50),SUMIF($B$4:B50,B50,$I$4:I50),0)</f>
        <v>194572.68923076926</v>
      </c>
      <c r="P50" s="149">
        <f>IF(OR(A50=Inputs!$B$15,ROUNDUP((A50+1)/Inputs!$B$14,0)&gt;B50),SUMIF($B$4:B50,B50,$J$4:J50),0)</f>
        <v>43938.461538461546</v>
      </c>
      <c r="Q50" s="149">
        <f>IF(OR(A50=Inputs!$B$15,ROUNDUP((A50+1)/Inputs!$B$14,0)&gt;B50),SUMIF($B$4:B50,B50,$K$4:K50),0)</f>
        <v>13625.538461538463</v>
      </c>
      <c r="R50" s="163" t="str">
        <f t="shared" si="13"/>
        <v>Vigente al día</v>
      </c>
      <c r="S50" s="18"/>
      <c r="T50" s="18"/>
      <c r="U50" s="18"/>
      <c r="V50" s="18"/>
      <c r="W50" s="18"/>
      <c r="X50" s="18"/>
      <c r="Y50" s="18"/>
      <c r="Z50" s="18"/>
      <c r="AA50" s="18"/>
      <c r="AB50" s="18"/>
    </row>
    <row r="51" spans="1:28" ht="18" customHeight="1">
      <c r="A51" s="157">
        <v>48</v>
      </c>
      <c r="B51" s="77">
        <f>ROUNDUP(A51/Inputs!$B$14,0)</f>
        <v>12</v>
      </c>
      <c r="C51" s="160" t="str">
        <f>IF(A51=Inputs!$B$15,"Pago final","Pago normal")</f>
        <v>Pago normal</v>
      </c>
      <c r="D51" s="149">
        <f t="shared" si="7"/>
        <v>3432458.9457305241</v>
      </c>
      <c r="E51" s="150">
        <f>Inputs!$B$17</f>
        <v>1.2143295980573843E-2</v>
      </c>
      <c r="F51" s="149">
        <f t="shared" si="8"/>
        <v>41681.364919174201</v>
      </c>
      <c r="G51" s="149">
        <f>MIN(Inputs!$B$20,D51+F51)</f>
        <v>111014.82187676849</v>
      </c>
      <c r="H51" s="149">
        <f t="shared" si="9"/>
        <v>69333.456957594288</v>
      </c>
      <c r="I51" s="149">
        <f>Inputs!$B$28</f>
        <v>48643.172307692315</v>
      </c>
      <c r="J51" s="149">
        <f>Inputs!$B$29</f>
        <v>10984.615384615387</v>
      </c>
      <c r="K51" s="149">
        <f>Inputs!$B$30</f>
        <v>3406.3846153846157</v>
      </c>
      <c r="L51" s="149">
        <f t="shared" si="10"/>
        <v>63034.172307692315</v>
      </c>
      <c r="M51" s="149">
        <f t="shared" si="11"/>
        <v>174048.99418446081</v>
      </c>
      <c r="N51" s="149">
        <f t="shared" si="12"/>
        <v>3363125.4887729296</v>
      </c>
      <c r="O51" s="149">
        <f>IF(OR(A51=Inputs!$B$15,ROUNDUP((A51+1)/Inputs!$B$14,0)&gt;B51),SUMIF($B$4:B51,B51,$I$4:I51),0)</f>
        <v>0</v>
      </c>
      <c r="P51" s="149">
        <f>IF(OR(A51=Inputs!$B$15,ROUNDUP((A51+1)/Inputs!$B$14,0)&gt;B51),SUMIF($B$4:B51,B51,$J$4:J51),0)</f>
        <v>0</v>
      </c>
      <c r="Q51" s="149">
        <f>IF(OR(A51=Inputs!$B$15,ROUNDUP((A51+1)/Inputs!$B$14,0)&gt;B51),SUMIF($B$4:B51,B51,$K$4:K51),0)</f>
        <v>0</v>
      </c>
      <c r="R51" s="163" t="str">
        <f t="shared" si="13"/>
        <v>Vigente al día</v>
      </c>
      <c r="S51" s="18"/>
      <c r="T51" s="18"/>
      <c r="U51" s="18"/>
      <c r="V51" s="18"/>
      <c r="W51" s="18"/>
      <c r="X51" s="18"/>
      <c r="Y51" s="18"/>
      <c r="Z51" s="18"/>
      <c r="AA51" s="18"/>
      <c r="AB51" s="18"/>
    </row>
    <row r="52" spans="1:28" ht="18" customHeight="1">
      <c r="A52" s="157">
        <v>49</v>
      </c>
      <c r="B52" s="77">
        <f>ROUNDUP(A52/Inputs!$B$14,0)</f>
        <v>12</v>
      </c>
      <c r="C52" s="160" t="str">
        <f>IF(A52=Inputs!$B$15,"Pago final","Pago normal")</f>
        <v>Pago normal</v>
      </c>
      <c r="D52" s="149">
        <f t="shared" si="7"/>
        <v>3363125.4887729296</v>
      </c>
      <c r="E52" s="150">
        <f>Inputs!$B$17</f>
        <v>1.2143295980573843E-2</v>
      </c>
      <c r="F52" s="149">
        <f t="shared" si="8"/>
        <v>40839.428229981757</v>
      </c>
      <c r="G52" s="149">
        <f>MIN(Inputs!$B$20,D52+F52)</f>
        <v>111014.82187676849</v>
      </c>
      <c r="H52" s="149">
        <f t="shared" si="9"/>
        <v>70175.393646786732</v>
      </c>
      <c r="I52" s="149">
        <f>Inputs!$B$28</f>
        <v>48643.172307692315</v>
      </c>
      <c r="J52" s="149">
        <f>Inputs!$B$29</f>
        <v>10984.615384615387</v>
      </c>
      <c r="K52" s="149">
        <f>Inputs!$B$30</f>
        <v>3406.3846153846157</v>
      </c>
      <c r="L52" s="149">
        <f t="shared" si="10"/>
        <v>63034.172307692315</v>
      </c>
      <c r="M52" s="149">
        <f t="shared" si="11"/>
        <v>174048.99418446081</v>
      </c>
      <c r="N52" s="149">
        <f t="shared" si="12"/>
        <v>3292950.0951261427</v>
      </c>
      <c r="O52" s="149">
        <f>IF(OR(A52=Inputs!$B$15,ROUNDUP((A52+1)/Inputs!$B$14,0)&gt;B52),SUMIF($B$4:B52,B52,$I$4:I52),0)</f>
        <v>0</v>
      </c>
      <c r="P52" s="149">
        <f>IF(OR(A52=Inputs!$B$15,ROUNDUP((A52+1)/Inputs!$B$14,0)&gt;B52),SUMIF($B$4:B52,B52,$J$4:J52),0)</f>
        <v>0</v>
      </c>
      <c r="Q52" s="149">
        <f>IF(OR(A52=Inputs!$B$15,ROUNDUP((A52+1)/Inputs!$B$14,0)&gt;B52),SUMIF($B$4:B52,B52,$K$4:K52),0)</f>
        <v>0</v>
      </c>
      <c r="R52" s="163" t="str">
        <f t="shared" si="13"/>
        <v>Vigente al día</v>
      </c>
      <c r="S52" s="18"/>
      <c r="T52" s="18"/>
      <c r="U52" s="18"/>
      <c r="V52" s="18"/>
      <c r="W52" s="18"/>
      <c r="X52" s="18"/>
      <c r="Y52" s="18"/>
      <c r="Z52" s="18"/>
      <c r="AA52" s="18"/>
      <c r="AB52" s="18"/>
    </row>
    <row r="53" spans="1:28" ht="18" customHeight="1">
      <c r="A53" s="157">
        <v>50</v>
      </c>
      <c r="B53" s="77">
        <f>ROUNDUP(A53/Inputs!$B$14,0)</f>
        <v>12</v>
      </c>
      <c r="C53" s="160" t="str">
        <f>IF(A53=Inputs!$B$15,"Pago final","Pago normal")</f>
        <v>Pago normal</v>
      </c>
      <c r="D53" s="149">
        <f t="shared" si="7"/>
        <v>3292950.0951261427</v>
      </c>
      <c r="E53" s="150">
        <f>Inputs!$B$17</f>
        <v>1.2143295980573843E-2</v>
      </c>
      <c r="F53" s="149">
        <f t="shared" si="8"/>
        <v>39987.267654375544</v>
      </c>
      <c r="G53" s="149">
        <f>MIN(Inputs!$B$20,D53+F53)</f>
        <v>111014.82187676849</v>
      </c>
      <c r="H53" s="149">
        <f t="shared" si="9"/>
        <v>71027.554222392937</v>
      </c>
      <c r="I53" s="149">
        <f>Inputs!$B$28</f>
        <v>48643.172307692315</v>
      </c>
      <c r="J53" s="149">
        <f>Inputs!$B$29</f>
        <v>10984.615384615387</v>
      </c>
      <c r="K53" s="149">
        <f>Inputs!$B$30</f>
        <v>3406.3846153846157</v>
      </c>
      <c r="L53" s="149">
        <f t="shared" si="10"/>
        <v>63034.172307692315</v>
      </c>
      <c r="M53" s="149">
        <f t="shared" si="11"/>
        <v>174048.99418446081</v>
      </c>
      <c r="N53" s="149">
        <f t="shared" si="12"/>
        <v>3221922.5409037499</v>
      </c>
      <c r="O53" s="149">
        <f>IF(OR(A53=Inputs!$B$15,ROUNDUP((A53+1)/Inputs!$B$14,0)&gt;B53),SUMIF($B$4:B53,B53,$I$4:I53),0)</f>
        <v>0</v>
      </c>
      <c r="P53" s="149">
        <f>IF(OR(A53=Inputs!$B$15,ROUNDUP((A53+1)/Inputs!$B$14,0)&gt;B53),SUMIF($B$4:B53,B53,$J$4:J53),0)</f>
        <v>0</v>
      </c>
      <c r="Q53" s="149">
        <f>IF(OR(A53=Inputs!$B$15,ROUNDUP((A53+1)/Inputs!$B$14,0)&gt;B53),SUMIF($B$4:B53,B53,$K$4:K53),0)</f>
        <v>0</v>
      </c>
      <c r="R53" s="163" t="str">
        <f t="shared" si="13"/>
        <v>Vigente al día</v>
      </c>
      <c r="S53" s="18"/>
      <c r="T53" s="18"/>
      <c r="U53" s="18"/>
      <c r="V53" s="18"/>
      <c r="W53" s="18"/>
      <c r="X53" s="18"/>
      <c r="Y53" s="18"/>
      <c r="Z53" s="18"/>
      <c r="AA53" s="18"/>
      <c r="AB53" s="18"/>
    </row>
    <row r="54" spans="1:28" ht="18" customHeight="1">
      <c r="A54" s="157">
        <v>51</v>
      </c>
      <c r="B54" s="77">
        <f>ROUNDUP(A54/Inputs!$B$14,0)</f>
        <v>12</v>
      </c>
      <c r="C54" s="160" t="str">
        <f>IF(A54=Inputs!$B$15,"Pago final","Pago normal")</f>
        <v>Pago normal</v>
      </c>
      <c r="D54" s="149">
        <f t="shared" si="7"/>
        <v>3221922.5409037499</v>
      </c>
      <c r="E54" s="150">
        <f>Inputs!$B$17</f>
        <v>1.2143295980573843E-2</v>
      </c>
      <c r="F54" s="149">
        <f t="shared" si="8"/>
        <v>39124.75904067677</v>
      </c>
      <c r="G54" s="149">
        <f>MIN(Inputs!$B$20,D54+F54)</f>
        <v>111014.82187676849</v>
      </c>
      <c r="H54" s="149">
        <f t="shared" si="9"/>
        <v>71890.062836091718</v>
      </c>
      <c r="I54" s="149">
        <f>Inputs!$B$28</f>
        <v>48643.172307692315</v>
      </c>
      <c r="J54" s="149">
        <f>Inputs!$B$29</f>
        <v>10984.615384615387</v>
      </c>
      <c r="K54" s="149">
        <f>Inputs!$B$30</f>
        <v>3406.3846153846157</v>
      </c>
      <c r="L54" s="149">
        <f t="shared" si="10"/>
        <v>63034.172307692315</v>
      </c>
      <c r="M54" s="149">
        <f t="shared" si="11"/>
        <v>174048.99418446081</v>
      </c>
      <c r="N54" s="149">
        <f t="shared" si="12"/>
        <v>3150032.4780676584</v>
      </c>
      <c r="O54" s="149">
        <f>IF(OR(A54=Inputs!$B$15,ROUNDUP((A54+1)/Inputs!$B$14,0)&gt;B54),SUMIF($B$4:B54,B54,$I$4:I54),0)</f>
        <v>0</v>
      </c>
      <c r="P54" s="149">
        <f>IF(OR(A54=Inputs!$B$15,ROUNDUP((A54+1)/Inputs!$B$14,0)&gt;B54),SUMIF($B$4:B54,B54,$J$4:J54),0)</f>
        <v>0</v>
      </c>
      <c r="Q54" s="149">
        <f>IF(OR(A54=Inputs!$B$15,ROUNDUP((A54+1)/Inputs!$B$14,0)&gt;B54),SUMIF($B$4:B54,B54,$K$4:K54),0)</f>
        <v>0</v>
      </c>
      <c r="R54" s="163" t="str">
        <f t="shared" si="13"/>
        <v>Vigente al día</v>
      </c>
      <c r="S54" s="18"/>
      <c r="T54" s="18"/>
      <c r="U54" s="18"/>
      <c r="V54" s="18"/>
      <c r="W54" s="18"/>
      <c r="X54" s="18"/>
      <c r="Y54" s="18"/>
      <c r="Z54" s="18"/>
      <c r="AA54" s="18"/>
      <c r="AB54" s="18"/>
    </row>
    <row r="55" spans="1:28" ht="18" customHeight="1">
      <c r="A55" s="157">
        <v>52</v>
      </c>
      <c r="B55" s="77">
        <f>ROUNDUP(A55/Inputs!$B$14,0)</f>
        <v>12</v>
      </c>
      <c r="C55" s="160" t="str">
        <f>IF(A55=Inputs!$B$15,"Pago final","Pago normal")</f>
        <v>Pago normal</v>
      </c>
      <c r="D55" s="149">
        <f t="shared" si="7"/>
        <v>3150032.4780676584</v>
      </c>
      <c r="E55" s="150">
        <f>Inputs!$B$17</f>
        <v>1.2143295980573843E-2</v>
      </c>
      <c r="F55" s="149">
        <f t="shared" si="8"/>
        <v>38251.776729596058</v>
      </c>
      <c r="G55" s="149">
        <f>MIN(Inputs!$B$20,D55+F55)</f>
        <v>111014.82187676849</v>
      </c>
      <c r="H55" s="149">
        <f t="shared" si="9"/>
        <v>72763.045147172437</v>
      </c>
      <c r="I55" s="149">
        <f>Inputs!$B$28</f>
        <v>48643.172307692315</v>
      </c>
      <c r="J55" s="149">
        <f>Inputs!$B$29</f>
        <v>10984.615384615387</v>
      </c>
      <c r="K55" s="149">
        <f>Inputs!$B$30</f>
        <v>3406.3846153846157</v>
      </c>
      <c r="L55" s="149">
        <f t="shared" si="10"/>
        <v>63034.172307692315</v>
      </c>
      <c r="M55" s="149">
        <f t="shared" si="11"/>
        <v>174048.99418446081</v>
      </c>
      <c r="N55" s="149">
        <f t="shared" si="12"/>
        <v>3077269.4329204857</v>
      </c>
      <c r="O55" s="149">
        <f>IF(OR(A55=Inputs!$B$15,ROUNDUP((A55+1)/Inputs!$B$14,0)&gt;B55),SUMIF($B$4:B55,B55,$I$4:I55),0)</f>
        <v>243215.86153846158</v>
      </c>
      <c r="P55" s="149">
        <f>IF(OR(A55=Inputs!$B$15,ROUNDUP((A55+1)/Inputs!$B$14,0)&gt;B55),SUMIF($B$4:B55,B55,$J$4:J55),0)</f>
        <v>54923.076923076937</v>
      </c>
      <c r="Q55" s="149">
        <f>IF(OR(A55=Inputs!$B$15,ROUNDUP((A55+1)/Inputs!$B$14,0)&gt;B55),SUMIF($B$4:B55,B55,$K$4:K55),0)</f>
        <v>17031.923076923078</v>
      </c>
      <c r="R55" s="163" t="str">
        <f t="shared" si="13"/>
        <v>Vigente al día</v>
      </c>
      <c r="S55" s="18"/>
      <c r="T55" s="18"/>
      <c r="U55" s="18"/>
      <c r="V55" s="18"/>
      <c r="W55" s="18"/>
      <c r="X55" s="18"/>
      <c r="Y55" s="18"/>
      <c r="Z55" s="18"/>
      <c r="AA55" s="18"/>
      <c r="AB55" s="18"/>
    </row>
    <row r="56" spans="1:28" ht="18" customHeight="1">
      <c r="A56" s="157">
        <v>53</v>
      </c>
      <c r="B56" s="77">
        <f>ROUNDUP(A56/Inputs!$B$14,0)</f>
        <v>13</v>
      </c>
      <c r="C56" s="160" t="str">
        <f>IF(A56=Inputs!$B$15,"Pago final","Pago normal")</f>
        <v>Pago normal</v>
      </c>
      <c r="D56" s="149">
        <f t="shared" si="7"/>
        <v>3077269.4329204857</v>
      </c>
      <c r="E56" s="150">
        <f>Inputs!$B$17</f>
        <v>1.2143295980573843E-2</v>
      </c>
      <c r="F56" s="149">
        <f t="shared" si="8"/>
        <v>37368.193535926082</v>
      </c>
      <c r="G56" s="149">
        <f>MIN(Inputs!$B$20,D56+F56)</f>
        <v>111014.82187676849</v>
      </c>
      <c r="H56" s="149">
        <f t="shared" si="9"/>
        <v>73646.628340842406</v>
      </c>
      <c r="I56" s="149">
        <f>Inputs!$B$28</f>
        <v>48643.172307692315</v>
      </c>
      <c r="J56" s="149">
        <f>Inputs!$B$29</f>
        <v>10984.615384615387</v>
      </c>
      <c r="K56" s="149">
        <f>Inputs!$B$30</f>
        <v>3406.3846153846157</v>
      </c>
      <c r="L56" s="149">
        <f t="shared" si="10"/>
        <v>63034.172307692315</v>
      </c>
      <c r="M56" s="149">
        <f t="shared" si="11"/>
        <v>174048.99418446081</v>
      </c>
      <c r="N56" s="149">
        <f t="shared" si="12"/>
        <v>3003622.8045796435</v>
      </c>
      <c r="O56" s="149">
        <f>IF(OR(A56=Inputs!$B$15,ROUNDUP((A56+1)/Inputs!$B$14,0)&gt;B56),SUMIF($B$4:B56,B56,$I$4:I56),0)</f>
        <v>0</v>
      </c>
      <c r="P56" s="149">
        <f>IF(OR(A56=Inputs!$B$15,ROUNDUP((A56+1)/Inputs!$B$14,0)&gt;B56),SUMIF($B$4:B56,B56,$J$4:J56),0)</f>
        <v>0</v>
      </c>
      <c r="Q56" s="149">
        <f>IF(OR(A56=Inputs!$B$15,ROUNDUP((A56+1)/Inputs!$B$14,0)&gt;B56),SUMIF($B$4:B56,B56,$K$4:K56),0)</f>
        <v>0</v>
      </c>
      <c r="R56" s="163" t="str">
        <f t="shared" si="13"/>
        <v>Vigente al día</v>
      </c>
      <c r="S56" s="18"/>
      <c r="T56" s="18"/>
      <c r="U56" s="18"/>
      <c r="V56" s="18"/>
      <c r="W56" s="18"/>
      <c r="X56" s="18"/>
      <c r="Y56" s="18"/>
      <c r="Z56" s="18"/>
      <c r="AA56" s="18"/>
      <c r="AB56" s="18"/>
    </row>
    <row r="57" spans="1:28" ht="18" customHeight="1">
      <c r="A57" s="157">
        <v>54</v>
      </c>
      <c r="B57" s="77">
        <f>ROUNDUP(A57/Inputs!$B$14,0)</f>
        <v>13</v>
      </c>
      <c r="C57" s="160" t="str">
        <f>IF(A57=Inputs!$B$15,"Pago final","Pago normal")</f>
        <v>Pago normal</v>
      </c>
      <c r="D57" s="149">
        <f t="shared" si="7"/>
        <v>3003622.8045796435</v>
      </c>
      <c r="E57" s="150">
        <f>Inputs!$B$17</f>
        <v>1.2143295980573843E-2</v>
      </c>
      <c r="F57" s="149">
        <f t="shared" si="8"/>
        <v>36473.880730011915</v>
      </c>
      <c r="G57" s="149">
        <f>MIN(Inputs!$B$20,D57+F57)</f>
        <v>111014.82187676849</v>
      </c>
      <c r="H57" s="149">
        <f t="shared" si="9"/>
        <v>74540.941146756581</v>
      </c>
      <c r="I57" s="149">
        <f>Inputs!$B$28</f>
        <v>48643.172307692315</v>
      </c>
      <c r="J57" s="149">
        <f>Inputs!$B$29</f>
        <v>10984.615384615387</v>
      </c>
      <c r="K57" s="149">
        <f>Inputs!$B$30</f>
        <v>3406.3846153846157</v>
      </c>
      <c r="L57" s="149">
        <f t="shared" si="10"/>
        <v>63034.172307692315</v>
      </c>
      <c r="M57" s="149">
        <f t="shared" si="11"/>
        <v>174048.99418446081</v>
      </c>
      <c r="N57" s="149">
        <f t="shared" si="12"/>
        <v>2929081.863432887</v>
      </c>
      <c r="O57" s="149">
        <f>IF(OR(A57=Inputs!$B$15,ROUNDUP((A57+1)/Inputs!$B$14,0)&gt;B57),SUMIF($B$4:B57,B57,$I$4:I57),0)</f>
        <v>0</v>
      </c>
      <c r="P57" s="149">
        <f>IF(OR(A57=Inputs!$B$15,ROUNDUP((A57+1)/Inputs!$B$14,0)&gt;B57),SUMIF($B$4:B57,B57,$J$4:J57),0)</f>
        <v>0</v>
      </c>
      <c r="Q57" s="149">
        <f>IF(OR(A57=Inputs!$B$15,ROUNDUP((A57+1)/Inputs!$B$14,0)&gt;B57),SUMIF($B$4:B57,B57,$K$4:K57),0)</f>
        <v>0</v>
      </c>
      <c r="R57" s="163" t="str">
        <f t="shared" si="13"/>
        <v>Vigente al día</v>
      </c>
      <c r="S57" s="18"/>
      <c r="T57" s="18"/>
      <c r="U57" s="18"/>
      <c r="V57" s="18"/>
      <c r="W57" s="18"/>
      <c r="X57" s="18"/>
      <c r="Y57" s="18"/>
      <c r="Z57" s="18"/>
      <c r="AA57" s="18"/>
      <c r="AB57" s="18"/>
    </row>
    <row r="58" spans="1:28" ht="18" customHeight="1">
      <c r="A58" s="157">
        <v>55</v>
      </c>
      <c r="B58" s="77">
        <f>ROUNDUP(A58/Inputs!$B$14,0)</f>
        <v>13</v>
      </c>
      <c r="C58" s="160" t="str">
        <f>IF(A58=Inputs!$B$15,"Pago final","Pago normal")</f>
        <v>Pago normal</v>
      </c>
      <c r="D58" s="149">
        <f t="shared" si="7"/>
        <v>2929081.863432887</v>
      </c>
      <c r="E58" s="150">
        <f>Inputs!$B$17</f>
        <v>1.2143295980573843E-2</v>
      </c>
      <c r="F58" s="149">
        <f t="shared" si="8"/>
        <v>35568.708018996316</v>
      </c>
      <c r="G58" s="149">
        <f>MIN(Inputs!$B$20,D58+F58)</f>
        <v>111014.82187676849</v>
      </c>
      <c r="H58" s="149">
        <f t="shared" si="9"/>
        <v>75446.113857772172</v>
      </c>
      <c r="I58" s="149">
        <f>Inputs!$B$28</f>
        <v>48643.172307692315</v>
      </c>
      <c r="J58" s="149">
        <f>Inputs!$B$29</f>
        <v>10984.615384615387</v>
      </c>
      <c r="K58" s="149">
        <f>Inputs!$B$30</f>
        <v>3406.3846153846157</v>
      </c>
      <c r="L58" s="149">
        <f t="shared" si="10"/>
        <v>63034.172307692315</v>
      </c>
      <c r="M58" s="149">
        <f t="shared" si="11"/>
        <v>174048.99418446081</v>
      </c>
      <c r="N58" s="149">
        <f t="shared" si="12"/>
        <v>2853635.7495751148</v>
      </c>
      <c r="O58" s="149">
        <f>IF(OR(A58=Inputs!$B$15,ROUNDUP((A58+1)/Inputs!$B$14,0)&gt;B58),SUMIF($B$4:B58,B58,$I$4:I58),0)</f>
        <v>0</v>
      </c>
      <c r="P58" s="149">
        <f>IF(OR(A58=Inputs!$B$15,ROUNDUP((A58+1)/Inputs!$B$14,0)&gt;B58),SUMIF($B$4:B58,B58,$J$4:J58),0)</f>
        <v>0</v>
      </c>
      <c r="Q58" s="149">
        <f>IF(OR(A58=Inputs!$B$15,ROUNDUP((A58+1)/Inputs!$B$14,0)&gt;B58),SUMIF($B$4:B58,B58,$K$4:K58),0)</f>
        <v>0</v>
      </c>
      <c r="R58" s="163" t="str">
        <f t="shared" si="13"/>
        <v>Vigente al día</v>
      </c>
      <c r="S58" s="18"/>
      <c r="T58" s="18"/>
      <c r="U58" s="18"/>
      <c r="V58" s="18"/>
      <c r="W58" s="18"/>
      <c r="X58" s="18"/>
      <c r="Y58" s="18"/>
      <c r="Z58" s="18"/>
      <c r="AA58" s="18"/>
      <c r="AB58" s="18"/>
    </row>
    <row r="59" spans="1:28" ht="18" customHeight="1">
      <c r="A59" s="157">
        <v>56</v>
      </c>
      <c r="B59" s="77">
        <f>ROUNDUP(A59/Inputs!$B$14,0)</f>
        <v>13</v>
      </c>
      <c r="C59" s="160" t="str">
        <f>IF(A59=Inputs!$B$15,"Pago final","Pago normal")</f>
        <v>Pago normal</v>
      </c>
      <c r="D59" s="149">
        <f t="shared" si="7"/>
        <v>2853635.7495751148</v>
      </c>
      <c r="E59" s="150">
        <f>Inputs!$B$17</f>
        <v>1.2143295980573843E-2</v>
      </c>
      <c r="F59" s="149">
        <f t="shared" si="8"/>
        <v>34652.543527837319</v>
      </c>
      <c r="G59" s="149">
        <f>MIN(Inputs!$B$20,D59+F59)</f>
        <v>111014.82187676849</v>
      </c>
      <c r="H59" s="149">
        <f t="shared" si="9"/>
        <v>76362.27834893117</v>
      </c>
      <c r="I59" s="149">
        <f>Inputs!$B$28</f>
        <v>48643.172307692315</v>
      </c>
      <c r="J59" s="149">
        <f>Inputs!$B$29</f>
        <v>10984.615384615387</v>
      </c>
      <c r="K59" s="149">
        <f>Inputs!$B$30</f>
        <v>3406.3846153846157</v>
      </c>
      <c r="L59" s="149">
        <f t="shared" si="10"/>
        <v>63034.172307692315</v>
      </c>
      <c r="M59" s="149">
        <f t="shared" si="11"/>
        <v>174048.99418446081</v>
      </c>
      <c r="N59" s="149">
        <f t="shared" si="12"/>
        <v>2777273.4712261837</v>
      </c>
      <c r="O59" s="149">
        <f>IF(OR(A59=Inputs!$B$15,ROUNDUP((A59+1)/Inputs!$B$14,0)&gt;B59),SUMIF($B$4:B59,B59,$I$4:I59),0)</f>
        <v>194572.68923076926</v>
      </c>
      <c r="P59" s="149">
        <f>IF(OR(A59=Inputs!$B$15,ROUNDUP((A59+1)/Inputs!$B$14,0)&gt;B59),SUMIF($B$4:B59,B59,$J$4:J59),0)</f>
        <v>43938.461538461546</v>
      </c>
      <c r="Q59" s="149">
        <f>IF(OR(A59=Inputs!$B$15,ROUNDUP((A59+1)/Inputs!$B$14,0)&gt;B59),SUMIF($B$4:B59,B59,$K$4:K59),0)</f>
        <v>13625.538461538463</v>
      </c>
      <c r="R59" s="163" t="str">
        <f t="shared" si="13"/>
        <v>Vigente al día</v>
      </c>
      <c r="S59" s="18"/>
      <c r="T59" s="18"/>
      <c r="U59" s="18"/>
      <c r="V59" s="18"/>
      <c r="W59" s="18"/>
      <c r="X59" s="18"/>
      <c r="Y59" s="18"/>
      <c r="Z59" s="18"/>
      <c r="AA59" s="18"/>
      <c r="AB59" s="18"/>
    </row>
    <row r="60" spans="1:28" ht="18" customHeight="1">
      <c r="A60" s="157">
        <v>57</v>
      </c>
      <c r="B60" s="77">
        <f>ROUNDUP(A60/Inputs!$B$14,0)</f>
        <v>14</v>
      </c>
      <c r="C60" s="160" t="str">
        <f>IF(A60=Inputs!$B$15,"Pago final","Pago normal")</f>
        <v>Pago normal</v>
      </c>
      <c r="D60" s="149">
        <f t="shared" si="7"/>
        <v>2777273.4712261837</v>
      </c>
      <c r="E60" s="150">
        <f>Inputs!$B$17</f>
        <v>1.2143295980573843E-2</v>
      </c>
      <c r="F60" s="149">
        <f t="shared" si="8"/>
        <v>33725.253780095278</v>
      </c>
      <c r="G60" s="149">
        <f>MIN(Inputs!$B$20,D60+F60)</f>
        <v>111014.82187676849</v>
      </c>
      <c r="H60" s="149">
        <f t="shared" si="9"/>
        <v>77289.568096673203</v>
      </c>
      <c r="I60" s="149">
        <f>Inputs!$B$28</f>
        <v>48643.172307692315</v>
      </c>
      <c r="J60" s="149">
        <f>Inputs!$B$29</f>
        <v>10984.615384615387</v>
      </c>
      <c r="K60" s="149">
        <f>Inputs!$B$30</f>
        <v>3406.3846153846157</v>
      </c>
      <c r="L60" s="149">
        <f t="shared" si="10"/>
        <v>63034.172307692315</v>
      </c>
      <c r="M60" s="149">
        <f t="shared" si="11"/>
        <v>174048.99418446081</v>
      </c>
      <c r="N60" s="149">
        <f t="shared" si="12"/>
        <v>2699983.9031295106</v>
      </c>
      <c r="O60" s="149">
        <f>IF(OR(A60=Inputs!$B$15,ROUNDUP((A60+1)/Inputs!$B$14,0)&gt;B60),SUMIF($B$4:B60,B60,$I$4:I60),0)</f>
        <v>0</v>
      </c>
      <c r="P60" s="149">
        <f>IF(OR(A60=Inputs!$B$15,ROUNDUP((A60+1)/Inputs!$B$14,0)&gt;B60),SUMIF($B$4:B60,B60,$J$4:J60),0)</f>
        <v>0</v>
      </c>
      <c r="Q60" s="149">
        <f>IF(OR(A60=Inputs!$B$15,ROUNDUP((A60+1)/Inputs!$B$14,0)&gt;B60),SUMIF($B$4:B60,B60,$K$4:K60),0)</f>
        <v>0</v>
      </c>
      <c r="R60" s="163" t="str">
        <f t="shared" si="13"/>
        <v>Vigente al día</v>
      </c>
      <c r="S60" s="18"/>
      <c r="T60" s="18"/>
      <c r="U60" s="18"/>
      <c r="V60" s="18"/>
      <c r="W60" s="18"/>
      <c r="X60" s="18"/>
      <c r="Y60" s="18"/>
      <c r="Z60" s="18"/>
      <c r="AA60" s="18"/>
      <c r="AB60" s="18"/>
    </row>
    <row r="61" spans="1:28" ht="18" customHeight="1">
      <c r="A61" s="157">
        <v>58</v>
      </c>
      <c r="B61" s="77">
        <f>ROUNDUP(A61/Inputs!$B$14,0)</f>
        <v>14</v>
      </c>
      <c r="C61" s="160" t="str">
        <f>IF(A61=Inputs!$B$15,"Pago final","Pago normal")</f>
        <v>Pago normal</v>
      </c>
      <c r="D61" s="149">
        <f t="shared" si="7"/>
        <v>2699983.9031295106</v>
      </c>
      <c r="E61" s="150">
        <f>Inputs!$B$17</f>
        <v>1.2143295980573843E-2</v>
      </c>
      <c r="F61" s="149">
        <f t="shared" si="8"/>
        <v>32786.703678486665</v>
      </c>
      <c r="G61" s="149">
        <f>MIN(Inputs!$B$20,D61+F61)</f>
        <v>111014.82187676849</v>
      </c>
      <c r="H61" s="149">
        <f t="shared" si="9"/>
        <v>78228.118198281823</v>
      </c>
      <c r="I61" s="149">
        <f>Inputs!$B$28</f>
        <v>48643.172307692315</v>
      </c>
      <c r="J61" s="149">
        <f>Inputs!$B$29</f>
        <v>10984.615384615387</v>
      </c>
      <c r="K61" s="149">
        <f>Inputs!$B$30</f>
        <v>3406.3846153846157</v>
      </c>
      <c r="L61" s="149">
        <f t="shared" si="10"/>
        <v>63034.172307692315</v>
      </c>
      <c r="M61" s="149">
        <f t="shared" si="11"/>
        <v>174048.99418446081</v>
      </c>
      <c r="N61" s="149">
        <f t="shared" si="12"/>
        <v>2621755.784931229</v>
      </c>
      <c r="O61" s="149">
        <f>IF(OR(A61=Inputs!$B$15,ROUNDUP((A61+1)/Inputs!$B$14,0)&gt;B61),SUMIF($B$4:B61,B61,$I$4:I61),0)</f>
        <v>0</v>
      </c>
      <c r="P61" s="149">
        <f>IF(OR(A61=Inputs!$B$15,ROUNDUP((A61+1)/Inputs!$B$14,0)&gt;B61),SUMIF($B$4:B61,B61,$J$4:J61),0)</f>
        <v>0</v>
      </c>
      <c r="Q61" s="149">
        <f>IF(OR(A61=Inputs!$B$15,ROUNDUP((A61+1)/Inputs!$B$14,0)&gt;B61),SUMIF($B$4:B61,B61,$K$4:K61),0)</f>
        <v>0</v>
      </c>
      <c r="R61" s="163" t="str">
        <f t="shared" si="13"/>
        <v>Vigente al día</v>
      </c>
      <c r="S61" s="18"/>
      <c r="T61" s="18"/>
      <c r="U61" s="18"/>
      <c r="V61" s="18"/>
      <c r="W61" s="18"/>
      <c r="X61" s="18"/>
      <c r="Y61" s="18"/>
      <c r="Z61" s="18"/>
      <c r="AA61" s="18"/>
      <c r="AB61" s="18"/>
    </row>
    <row r="62" spans="1:28" ht="18" customHeight="1">
      <c r="A62" s="157">
        <v>59</v>
      </c>
      <c r="B62" s="77">
        <f>ROUNDUP(A62/Inputs!$B$14,0)</f>
        <v>14</v>
      </c>
      <c r="C62" s="160" t="str">
        <f>IF(A62=Inputs!$B$15,"Pago final","Pago normal")</f>
        <v>Pago normal</v>
      </c>
      <c r="D62" s="149">
        <f t="shared" si="7"/>
        <v>2621755.784931229</v>
      </c>
      <c r="E62" s="150">
        <f>Inputs!$B$17</f>
        <v>1.2143295980573843E-2</v>
      </c>
      <c r="F62" s="149">
        <f t="shared" si="8"/>
        <v>31836.756485201611</v>
      </c>
      <c r="G62" s="149">
        <f>MIN(Inputs!$B$20,D62+F62)</f>
        <v>111014.82187676849</v>
      </c>
      <c r="H62" s="149">
        <f t="shared" si="9"/>
        <v>79178.065391566881</v>
      </c>
      <c r="I62" s="149">
        <f>Inputs!$B$28</f>
        <v>48643.172307692315</v>
      </c>
      <c r="J62" s="149">
        <f>Inputs!$B$29</f>
        <v>10984.615384615387</v>
      </c>
      <c r="K62" s="149">
        <f>Inputs!$B$30</f>
        <v>3406.3846153846157</v>
      </c>
      <c r="L62" s="149">
        <f t="shared" si="10"/>
        <v>63034.172307692315</v>
      </c>
      <c r="M62" s="149">
        <f t="shared" si="11"/>
        <v>174048.99418446081</v>
      </c>
      <c r="N62" s="149">
        <f t="shared" si="12"/>
        <v>2542577.7195396619</v>
      </c>
      <c r="O62" s="149">
        <f>IF(OR(A62=Inputs!$B$15,ROUNDUP((A62+1)/Inputs!$B$14,0)&gt;B62),SUMIF($B$4:B62,B62,$I$4:I62),0)</f>
        <v>0</v>
      </c>
      <c r="P62" s="149">
        <f>IF(OR(A62=Inputs!$B$15,ROUNDUP((A62+1)/Inputs!$B$14,0)&gt;B62),SUMIF($B$4:B62,B62,$J$4:J62),0)</f>
        <v>0</v>
      </c>
      <c r="Q62" s="149">
        <f>IF(OR(A62=Inputs!$B$15,ROUNDUP((A62+1)/Inputs!$B$14,0)&gt;B62),SUMIF($B$4:B62,B62,$K$4:K62),0)</f>
        <v>0</v>
      </c>
      <c r="R62" s="163" t="str">
        <f t="shared" si="13"/>
        <v>Vigente al día</v>
      </c>
      <c r="S62" s="18"/>
      <c r="T62" s="18"/>
      <c r="U62" s="18"/>
      <c r="V62" s="18"/>
      <c r="W62" s="18"/>
      <c r="X62" s="18"/>
      <c r="Y62" s="18"/>
      <c r="Z62" s="18"/>
      <c r="AA62" s="18"/>
      <c r="AB62" s="18"/>
    </row>
    <row r="63" spans="1:28" ht="18" customHeight="1">
      <c r="A63" s="157">
        <v>60</v>
      </c>
      <c r="B63" s="77">
        <f>ROUNDUP(A63/Inputs!$B$14,0)</f>
        <v>14</v>
      </c>
      <c r="C63" s="160" t="str">
        <f>IF(A63=Inputs!$B$15,"Pago final","Pago normal")</f>
        <v>Pago normal</v>
      </c>
      <c r="D63" s="149">
        <f t="shared" si="7"/>
        <v>2542577.7195396619</v>
      </c>
      <c r="E63" s="150">
        <f>Inputs!$B$17</f>
        <v>1.2143295980573843E-2</v>
      </c>
      <c r="F63" s="149">
        <f t="shared" si="8"/>
        <v>30875.273801982585</v>
      </c>
      <c r="G63" s="149">
        <f>MIN(Inputs!$B$20,D63+F63)</f>
        <v>111014.82187676849</v>
      </c>
      <c r="H63" s="149">
        <f t="shared" si="9"/>
        <v>80139.548074785911</v>
      </c>
      <c r="I63" s="149">
        <f>Inputs!$B$28</f>
        <v>48643.172307692315</v>
      </c>
      <c r="J63" s="149">
        <f>Inputs!$B$29</f>
        <v>10984.615384615387</v>
      </c>
      <c r="K63" s="149">
        <f>Inputs!$B$30</f>
        <v>3406.3846153846157</v>
      </c>
      <c r="L63" s="149">
        <f t="shared" si="10"/>
        <v>63034.172307692315</v>
      </c>
      <c r="M63" s="149">
        <f t="shared" si="11"/>
        <v>174048.99418446081</v>
      </c>
      <c r="N63" s="149">
        <f t="shared" si="12"/>
        <v>2462438.1714648758</v>
      </c>
      <c r="O63" s="149">
        <f>IF(OR(A63=Inputs!$B$15,ROUNDUP((A63+1)/Inputs!$B$14,0)&gt;B63),SUMIF($B$4:B63,B63,$I$4:I63),0)</f>
        <v>194572.68923076926</v>
      </c>
      <c r="P63" s="149">
        <f>IF(OR(A63=Inputs!$B$15,ROUNDUP((A63+1)/Inputs!$B$14,0)&gt;B63),SUMIF($B$4:B63,B63,$J$4:J63),0)</f>
        <v>43938.461538461546</v>
      </c>
      <c r="Q63" s="149">
        <f>IF(OR(A63=Inputs!$B$15,ROUNDUP((A63+1)/Inputs!$B$14,0)&gt;B63),SUMIF($B$4:B63,B63,$K$4:K63),0)</f>
        <v>13625.538461538463</v>
      </c>
      <c r="R63" s="163" t="str">
        <f t="shared" si="13"/>
        <v>Vigente al día</v>
      </c>
      <c r="S63" s="18"/>
      <c r="T63" s="18"/>
      <c r="U63" s="18"/>
      <c r="V63" s="18"/>
      <c r="W63" s="18"/>
      <c r="X63" s="18"/>
      <c r="Y63" s="18"/>
      <c r="Z63" s="18"/>
      <c r="AA63" s="18"/>
      <c r="AB63" s="18"/>
    </row>
    <row r="64" spans="1:28" ht="18" customHeight="1">
      <c r="A64" s="157">
        <v>61</v>
      </c>
      <c r="B64" s="77">
        <f>ROUNDUP(A64/Inputs!$B$14,0)</f>
        <v>15</v>
      </c>
      <c r="C64" s="160" t="str">
        <f>IF(A64=Inputs!$B$15,"Pago final","Pago normal")</f>
        <v>Pago normal</v>
      </c>
      <c r="D64" s="149">
        <f t="shared" si="7"/>
        <v>2462438.1714648758</v>
      </c>
      <c r="E64" s="150">
        <f>Inputs!$B$17</f>
        <v>1.2143295980573843E-2</v>
      </c>
      <c r="F64" s="149">
        <f t="shared" si="8"/>
        <v>29902.115549961029</v>
      </c>
      <c r="G64" s="149">
        <f>MIN(Inputs!$B$20,D64+F64)</f>
        <v>111014.82187676849</v>
      </c>
      <c r="H64" s="149">
        <f t="shared" si="9"/>
        <v>81112.706326807456</v>
      </c>
      <c r="I64" s="149">
        <f>Inputs!$B$28</f>
        <v>48643.172307692315</v>
      </c>
      <c r="J64" s="149">
        <f>Inputs!$B$29</f>
        <v>10984.615384615387</v>
      </c>
      <c r="K64" s="149">
        <f>Inputs!$B$30</f>
        <v>3406.3846153846157</v>
      </c>
      <c r="L64" s="149">
        <f t="shared" si="10"/>
        <v>63034.172307692315</v>
      </c>
      <c r="M64" s="149">
        <f t="shared" si="11"/>
        <v>174048.99418446081</v>
      </c>
      <c r="N64" s="149">
        <f t="shared" si="12"/>
        <v>2381325.4651380684</v>
      </c>
      <c r="O64" s="149">
        <f>IF(OR(A64=Inputs!$B$15,ROUNDUP((A64+1)/Inputs!$B$14,0)&gt;B64),SUMIF($B$4:B64,B64,$I$4:I64),0)</f>
        <v>0</v>
      </c>
      <c r="P64" s="149">
        <f>IF(OR(A64=Inputs!$B$15,ROUNDUP((A64+1)/Inputs!$B$14,0)&gt;B64),SUMIF($B$4:B64,B64,$J$4:J64),0)</f>
        <v>0</v>
      </c>
      <c r="Q64" s="149">
        <f>IF(OR(A64=Inputs!$B$15,ROUNDUP((A64+1)/Inputs!$B$14,0)&gt;B64),SUMIF($B$4:B64,B64,$K$4:K64),0)</f>
        <v>0</v>
      </c>
      <c r="R64" s="163" t="str">
        <f t="shared" si="13"/>
        <v>Vigente al día</v>
      </c>
      <c r="S64" s="18"/>
      <c r="T64" s="18"/>
      <c r="U64" s="18"/>
      <c r="V64" s="18"/>
      <c r="W64" s="18"/>
      <c r="X64" s="18"/>
      <c r="Y64" s="18"/>
      <c r="Z64" s="18"/>
      <c r="AA64" s="18"/>
      <c r="AB64" s="18"/>
    </row>
    <row r="65" spans="1:28" ht="18" customHeight="1">
      <c r="A65" s="157">
        <v>62</v>
      </c>
      <c r="B65" s="77">
        <f>ROUNDUP(A65/Inputs!$B$14,0)</f>
        <v>15</v>
      </c>
      <c r="C65" s="160" t="str">
        <f>IF(A65=Inputs!$B$15,"Pago final","Pago normal")</f>
        <v>Pago normal</v>
      </c>
      <c r="D65" s="149">
        <f t="shared" si="7"/>
        <v>2381325.4651380684</v>
      </c>
      <c r="E65" s="150">
        <f>Inputs!$B$17</f>
        <v>1.2143295980573843E-2</v>
      </c>
      <c r="F65" s="149">
        <f t="shared" si="8"/>
        <v>28917.139949249242</v>
      </c>
      <c r="G65" s="149">
        <f>MIN(Inputs!$B$20,D65+F65)</f>
        <v>111014.82187676849</v>
      </c>
      <c r="H65" s="149">
        <f t="shared" si="9"/>
        <v>82097.681927519239</v>
      </c>
      <c r="I65" s="149">
        <f>Inputs!$B$28</f>
        <v>48643.172307692315</v>
      </c>
      <c r="J65" s="149">
        <f>Inputs!$B$29</f>
        <v>10984.615384615387</v>
      </c>
      <c r="K65" s="149">
        <f>Inputs!$B$30</f>
        <v>3406.3846153846157</v>
      </c>
      <c r="L65" s="149">
        <f t="shared" si="10"/>
        <v>63034.172307692315</v>
      </c>
      <c r="M65" s="149">
        <f t="shared" si="11"/>
        <v>174048.99418446081</v>
      </c>
      <c r="N65" s="149">
        <f t="shared" si="12"/>
        <v>2299227.783210549</v>
      </c>
      <c r="O65" s="149">
        <f>IF(OR(A65=Inputs!$B$15,ROUNDUP((A65+1)/Inputs!$B$14,0)&gt;B65),SUMIF($B$4:B65,B65,$I$4:I65),0)</f>
        <v>0</v>
      </c>
      <c r="P65" s="149">
        <f>IF(OR(A65=Inputs!$B$15,ROUNDUP((A65+1)/Inputs!$B$14,0)&gt;B65),SUMIF($B$4:B65,B65,$J$4:J65),0)</f>
        <v>0</v>
      </c>
      <c r="Q65" s="149">
        <f>IF(OR(A65=Inputs!$B$15,ROUNDUP((A65+1)/Inputs!$B$14,0)&gt;B65),SUMIF($B$4:B65,B65,$K$4:K65),0)</f>
        <v>0</v>
      </c>
      <c r="R65" s="163" t="str">
        <f t="shared" si="13"/>
        <v>Vigente al día</v>
      </c>
      <c r="S65" s="18"/>
      <c r="T65" s="18"/>
      <c r="U65" s="18"/>
      <c r="V65" s="18"/>
      <c r="W65" s="18"/>
      <c r="X65" s="18"/>
      <c r="Y65" s="18"/>
      <c r="Z65" s="18"/>
      <c r="AA65" s="18"/>
      <c r="AB65" s="18"/>
    </row>
    <row r="66" spans="1:28" ht="18" customHeight="1">
      <c r="A66" s="157">
        <v>63</v>
      </c>
      <c r="B66" s="77">
        <f>ROUNDUP(A66/Inputs!$B$14,0)</f>
        <v>15</v>
      </c>
      <c r="C66" s="160" t="str">
        <f>IF(A66=Inputs!$B$15,"Pago final","Pago normal")</f>
        <v>Pago normal</v>
      </c>
      <c r="D66" s="149">
        <f t="shared" si="7"/>
        <v>2299227.783210549</v>
      </c>
      <c r="E66" s="150">
        <f>Inputs!$B$17</f>
        <v>1.2143295980573843E-2</v>
      </c>
      <c r="F66" s="149">
        <f t="shared" si="8"/>
        <v>27920.203498284365</v>
      </c>
      <c r="G66" s="149">
        <f>MIN(Inputs!$B$20,D66+F66)</f>
        <v>111014.82187676849</v>
      </c>
      <c r="H66" s="149">
        <f t="shared" si="9"/>
        <v>83094.618378484127</v>
      </c>
      <c r="I66" s="149">
        <f>Inputs!$B$28</f>
        <v>48643.172307692315</v>
      </c>
      <c r="J66" s="149">
        <f>Inputs!$B$29</f>
        <v>10984.615384615387</v>
      </c>
      <c r="K66" s="149">
        <f>Inputs!$B$30</f>
        <v>3406.3846153846157</v>
      </c>
      <c r="L66" s="149">
        <f t="shared" si="10"/>
        <v>63034.172307692315</v>
      </c>
      <c r="M66" s="149">
        <f t="shared" si="11"/>
        <v>174048.99418446081</v>
      </c>
      <c r="N66" s="149">
        <f t="shared" si="12"/>
        <v>2216133.1648320649</v>
      </c>
      <c r="O66" s="149">
        <f>IF(OR(A66=Inputs!$B$15,ROUNDUP((A66+1)/Inputs!$B$14,0)&gt;B66),SUMIF($B$4:B66,B66,$I$4:I66),0)</f>
        <v>0</v>
      </c>
      <c r="P66" s="149">
        <f>IF(OR(A66=Inputs!$B$15,ROUNDUP((A66+1)/Inputs!$B$14,0)&gt;B66),SUMIF($B$4:B66,B66,$J$4:J66),0)</f>
        <v>0</v>
      </c>
      <c r="Q66" s="149">
        <f>IF(OR(A66=Inputs!$B$15,ROUNDUP((A66+1)/Inputs!$B$14,0)&gt;B66),SUMIF($B$4:B66,B66,$K$4:K66),0)</f>
        <v>0</v>
      </c>
      <c r="R66" s="163" t="str">
        <f t="shared" si="13"/>
        <v>Vigente al día</v>
      </c>
      <c r="S66" s="18"/>
      <c r="T66" s="18"/>
      <c r="U66" s="18"/>
      <c r="V66" s="18"/>
      <c r="W66" s="18"/>
      <c r="X66" s="18"/>
      <c r="Y66" s="18"/>
      <c r="Z66" s="18"/>
      <c r="AA66" s="18"/>
      <c r="AB66" s="18"/>
    </row>
    <row r="67" spans="1:28" ht="18" customHeight="1">
      <c r="A67" s="157">
        <v>64</v>
      </c>
      <c r="B67" s="77">
        <f>ROUNDUP(A67/Inputs!$B$14,0)</f>
        <v>15</v>
      </c>
      <c r="C67" s="160" t="str">
        <f>IF(A67=Inputs!$B$15,"Pago final","Pago normal")</f>
        <v>Pago normal</v>
      </c>
      <c r="D67" s="149">
        <f t="shared" si="7"/>
        <v>2216133.1648320649</v>
      </c>
      <c r="E67" s="150">
        <f>Inputs!$B$17</f>
        <v>1.2143295980573843E-2</v>
      </c>
      <c r="F67" s="149">
        <f t="shared" si="8"/>
        <v>26911.160952921604</v>
      </c>
      <c r="G67" s="149">
        <f>MIN(Inputs!$B$20,D67+F67)</f>
        <v>111014.82187676849</v>
      </c>
      <c r="H67" s="149">
        <f t="shared" si="9"/>
        <v>84103.660923846881</v>
      </c>
      <c r="I67" s="149">
        <f>Inputs!$B$28</f>
        <v>48643.172307692315</v>
      </c>
      <c r="J67" s="149">
        <f>Inputs!$B$29</f>
        <v>10984.615384615387</v>
      </c>
      <c r="K67" s="149">
        <f>Inputs!$B$30</f>
        <v>3406.3846153846157</v>
      </c>
      <c r="L67" s="149">
        <f t="shared" si="10"/>
        <v>63034.172307692315</v>
      </c>
      <c r="M67" s="149">
        <f t="shared" si="11"/>
        <v>174048.99418446081</v>
      </c>
      <c r="N67" s="149">
        <f t="shared" si="12"/>
        <v>2132029.5039082179</v>
      </c>
      <c r="O67" s="149">
        <f>IF(OR(A67=Inputs!$B$15,ROUNDUP((A67+1)/Inputs!$B$14,0)&gt;B67),SUMIF($B$4:B67,B67,$I$4:I67),0)</f>
        <v>0</v>
      </c>
      <c r="P67" s="149">
        <f>IF(OR(A67=Inputs!$B$15,ROUNDUP((A67+1)/Inputs!$B$14,0)&gt;B67),SUMIF($B$4:B67,B67,$J$4:J67),0)</f>
        <v>0</v>
      </c>
      <c r="Q67" s="149">
        <f>IF(OR(A67=Inputs!$B$15,ROUNDUP((A67+1)/Inputs!$B$14,0)&gt;B67),SUMIF($B$4:B67,B67,$K$4:K67),0)</f>
        <v>0</v>
      </c>
      <c r="R67" s="163" t="str">
        <f t="shared" si="13"/>
        <v>Vigente al día</v>
      </c>
      <c r="S67" s="18"/>
      <c r="T67" s="18"/>
      <c r="U67" s="18"/>
      <c r="V67" s="18"/>
      <c r="W67" s="18"/>
      <c r="X67" s="18"/>
      <c r="Y67" s="18"/>
      <c r="Z67" s="18"/>
      <c r="AA67" s="18"/>
      <c r="AB67" s="18"/>
    </row>
    <row r="68" spans="1:28" ht="18" customHeight="1">
      <c r="A68" s="157">
        <v>65</v>
      </c>
      <c r="B68" s="77">
        <f>ROUNDUP(A68/Inputs!$B$14,0)</f>
        <v>15</v>
      </c>
      <c r="C68" s="160" t="str">
        <f>IF(A68=Inputs!$B$15,"Pago final","Pago normal")</f>
        <v>Pago normal</v>
      </c>
      <c r="D68" s="149">
        <f t="shared" ref="D68:D89" si="14">N67</f>
        <v>2132029.5039082179</v>
      </c>
      <c r="E68" s="150">
        <f>Inputs!$B$17</f>
        <v>1.2143295980573843E-2</v>
      </c>
      <c r="F68" s="149">
        <f t="shared" ref="F68:F89" si="15">D68*E68</f>
        <v>25889.865305273506</v>
      </c>
      <c r="G68" s="149">
        <f>MIN(Inputs!$B$20,D68+F68)</f>
        <v>111014.82187676849</v>
      </c>
      <c r="H68" s="149">
        <f t="shared" ref="H68:H89" si="16">MIN(D68,G68-F68)</f>
        <v>85124.956571494986</v>
      </c>
      <c r="I68" s="149">
        <f>Inputs!$B$28</f>
        <v>48643.172307692315</v>
      </c>
      <c r="J68" s="149">
        <f>Inputs!$B$29</f>
        <v>10984.615384615387</v>
      </c>
      <c r="K68" s="149">
        <f>Inputs!$B$30</f>
        <v>3406.3846153846157</v>
      </c>
      <c r="L68" s="149">
        <f t="shared" ref="L68:L89" si="17">SUM(I68:K68)</f>
        <v>63034.172307692315</v>
      </c>
      <c r="M68" s="149">
        <f t="shared" ref="M68:M89" si="18">G68+L68</f>
        <v>174048.99418446081</v>
      </c>
      <c r="N68" s="149">
        <f t="shared" ref="N68:N89" si="19">MAX(0,D68-H68)</f>
        <v>2046904.547336723</v>
      </c>
      <c r="O68" s="149">
        <f>IF(OR(A68=Inputs!$B$15,ROUNDUP((A68+1)/Inputs!$B$14,0)&gt;B68),SUMIF($B$4:B68,B68,$I$4:I68),0)</f>
        <v>243215.86153846158</v>
      </c>
      <c r="P68" s="149">
        <f>IF(OR(A68=Inputs!$B$15,ROUNDUP((A68+1)/Inputs!$B$14,0)&gt;B68),SUMIF($B$4:B68,B68,$J$4:J68),0)</f>
        <v>54923.076923076937</v>
      </c>
      <c r="Q68" s="149">
        <f>IF(OR(A68=Inputs!$B$15,ROUNDUP((A68+1)/Inputs!$B$14,0)&gt;B68),SUMIF($B$4:B68,B68,$K$4:K68),0)</f>
        <v>17031.923076923078</v>
      </c>
      <c r="R68" s="163" t="str">
        <f t="shared" ref="R68:R89" si="20">IF(N68&lt;=0.005,"Amortizado","Vigente al día")</f>
        <v>Vigente al día</v>
      </c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spans="1:28" ht="18" customHeight="1">
      <c r="A69" s="157">
        <v>66</v>
      </c>
      <c r="B69" s="77">
        <f>ROUNDUP(A69/Inputs!$B$14,0)</f>
        <v>16</v>
      </c>
      <c r="C69" s="160" t="str">
        <f>IF(A69=Inputs!$B$15,"Pago final","Pago normal")</f>
        <v>Pago normal</v>
      </c>
      <c r="D69" s="149">
        <f t="shared" si="14"/>
        <v>2046904.547336723</v>
      </c>
      <c r="E69" s="150">
        <f>Inputs!$B$17</f>
        <v>1.2143295980573843E-2</v>
      </c>
      <c r="F69" s="149">
        <f t="shared" si="15"/>
        <v>24856.167762292349</v>
      </c>
      <c r="G69" s="149">
        <f>MIN(Inputs!$B$20,D69+F69)</f>
        <v>111014.82187676849</v>
      </c>
      <c r="H69" s="149">
        <f t="shared" si="16"/>
        <v>86158.654114476143</v>
      </c>
      <c r="I69" s="149">
        <f>Inputs!$B$28</f>
        <v>48643.172307692315</v>
      </c>
      <c r="J69" s="149">
        <f>Inputs!$B$29</f>
        <v>10984.615384615387</v>
      </c>
      <c r="K69" s="149">
        <f>Inputs!$B$30</f>
        <v>3406.3846153846157</v>
      </c>
      <c r="L69" s="149">
        <f t="shared" si="17"/>
        <v>63034.172307692315</v>
      </c>
      <c r="M69" s="149">
        <f t="shared" si="18"/>
        <v>174048.99418446081</v>
      </c>
      <c r="N69" s="149">
        <f t="shared" si="19"/>
        <v>1960745.8932222468</v>
      </c>
      <c r="O69" s="149">
        <f>IF(OR(A69=Inputs!$B$15,ROUNDUP((A69+1)/Inputs!$B$14,0)&gt;B69),SUMIF($B$4:B69,B69,$I$4:I69),0)</f>
        <v>0</v>
      </c>
      <c r="P69" s="149">
        <f>IF(OR(A69=Inputs!$B$15,ROUNDUP((A69+1)/Inputs!$B$14,0)&gt;B69),SUMIF($B$4:B69,B69,$J$4:J69),0)</f>
        <v>0</v>
      </c>
      <c r="Q69" s="149">
        <f>IF(OR(A69=Inputs!$B$15,ROUNDUP((A69+1)/Inputs!$B$14,0)&gt;B69),SUMIF($B$4:B69,B69,$K$4:K69),0)</f>
        <v>0</v>
      </c>
      <c r="R69" s="163" t="str">
        <f t="shared" si="20"/>
        <v>Vigente al día</v>
      </c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spans="1:28" ht="18" customHeight="1">
      <c r="A70" s="157">
        <v>67</v>
      </c>
      <c r="B70" s="77">
        <f>ROUNDUP(A70/Inputs!$B$14,0)</f>
        <v>16</v>
      </c>
      <c r="C70" s="160" t="str">
        <f>IF(A70=Inputs!$B$15,"Pago final","Pago normal")</f>
        <v>Pago normal</v>
      </c>
      <c r="D70" s="149">
        <f t="shared" si="14"/>
        <v>1960745.8932222468</v>
      </c>
      <c r="E70" s="150">
        <f>Inputs!$B$17</f>
        <v>1.2143295980573843E-2</v>
      </c>
      <c r="F70" s="149">
        <f t="shared" si="15"/>
        <v>23809.917724092378</v>
      </c>
      <c r="G70" s="149">
        <f>MIN(Inputs!$B$20,D70+F70)</f>
        <v>111014.82187676849</v>
      </c>
      <c r="H70" s="149">
        <f t="shared" si="16"/>
        <v>87204.904152676114</v>
      </c>
      <c r="I70" s="149">
        <f>Inputs!$B$28</f>
        <v>48643.172307692315</v>
      </c>
      <c r="J70" s="149">
        <f>Inputs!$B$29</f>
        <v>10984.615384615387</v>
      </c>
      <c r="K70" s="149">
        <f>Inputs!$B$30</f>
        <v>3406.3846153846157</v>
      </c>
      <c r="L70" s="149">
        <f t="shared" si="17"/>
        <v>63034.172307692315</v>
      </c>
      <c r="M70" s="149">
        <f t="shared" si="18"/>
        <v>174048.99418446081</v>
      </c>
      <c r="N70" s="149">
        <f t="shared" si="19"/>
        <v>1873540.9890695708</v>
      </c>
      <c r="O70" s="149">
        <f>IF(OR(A70=Inputs!$B$15,ROUNDUP((A70+1)/Inputs!$B$14,0)&gt;B70),SUMIF($B$4:B70,B70,$I$4:I70),0)</f>
        <v>0</v>
      </c>
      <c r="P70" s="149">
        <f>IF(OR(A70=Inputs!$B$15,ROUNDUP((A70+1)/Inputs!$B$14,0)&gt;B70),SUMIF($B$4:B70,B70,$J$4:J70),0)</f>
        <v>0</v>
      </c>
      <c r="Q70" s="149">
        <f>IF(OR(A70=Inputs!$B$15,ROUNDUP((A70+1)/Inputs!$B$14,0)&gt;B70),SUMIF($B$4:B70,B70,$K$4:K70),0)</f>
        <v>0</v>
      </c>
      <c r="R70" s="163" t="str">
        <f t="shared" si="20"/>
        <v>Vigente al día</v>
      </c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spans="1:28" ht="18" customHeight="1">
      <c r="A71" s="157">
        <v>68</v>
      </c>
      <c r="B71" s="77">
        <f>ROUNDUP(A71/Inputs!$B$14,0)</f>
        <v>16</v>
      </c>
      <c r="C71" s="160" t="str">
        <f>IF(A71=Inputs!$B$15,"Pago final","Pago normal")</f>
        <v>Pago normal</v>
      </c>
      <c r="D71" s="149">
        <f t="shared" si="14"/>
        <v>1873540.9890695708</v>
      </c>
      <c r="E71" s="150">
        <f>Inputs!$B$17</f>
        <v>1.2143295980573843E-2</v>
      </c>
      <c r="F71" s="149">
        <f t="shared" si="15"/>
        <v>22750.962762008861</v>
      </c>
      <c r="G71" s="149">
        <f>MIN(Inputs!$B$20,D71+F71)</f>
        <v>111014.82187676849</v>
      </c>
      <c r="H71" s="149">
        <f t="shared" si="16"/>
        <v>88263.859114759631</v>
      </c>
      <c r="I71" s="149">
        <f>Inputs!$B$28</f>
        <v>48643.172307692315</v>
      </c>
      <c r="J71" s="149">
        <f>Inputs!$B$29</f>
        <v>10984.615384615387</v>
      </c>
      <c r="K71" s="149">
        <f>Inputs!$B$30</f>
        <v>3406.3846153846157</v>
      </c>
      <c r="L71" s="149">
        <f t="shared" si="17"/>
        <v>63034.172307692315</v>
      </c>
      <c r="M71" s="149">
        <f t="shared" si="18"/>
        <v>174048.99418446081</v>
      </c>
      <c r="N71" s="149">
        <f t="shared" si="19"/>
        <v>1785277.1299548112</v>
      </c>
      <c r="O71" s="149">
        <f>IF(OR(A71=Inputs!$B$15,ROUNDUP((A71+1)/Inputs!$B$14,0)&gt;B71),SUMIF($B$4:B71,B71,$I$4:I71),0)</f>
        <v>0</v>
      </c>
      <c r="P71" s="149">
        <f>IF(OR(A71=Inputs!$B$15,ROUNDUP((A71+1)/Inputs!$B$14,0)&gt;B71),SUMIF($B$4:B71,B71,$J$4:J71),0)</f>
        <v>0</v>
      </c>
      <c r="Q71" s="149">
        <f>IF(OR(A71=Inputs!$B$15,ROUNDUP((A71+1)/Inputs!$B$14,0)&gt;B71),SUMIF($B$4:B71,B71,$K$4:K71),0)</f>
        <v>0</v>
      </c>
      <c r="R71" s="163" t="str">
        <f t="shared" si="20"/>
        <v>Vigente al día</v>
      </c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spans="1:28" ht="18" customHeight="1">
      <c r="A72" s="157">
        <v>69</v>
      </c>
      <c r="B72" s="77">
        <f>ROUNDUP(A72/Inputs!$B$14,0)</f>
        <v>16</v>
      </c>
      <c r="C72" s="160" t="str">
        <f>IF(A72=Inputs!$B$15,"Pago final","Pago normal")</f>
        <v>Pago normal</v>
      </c>
      <c r="D72" s="149">
        <f t="shared" si="14"/>
        <v>1785277.1299548112</v>
      </c>
      <c r="E72" s="150">
        <f>Inputs!$B$17</f>
        <v>1.2143295980573843E-2</v>
      </c>
      <c r="F72" s="149">
        <f t="shared" si="15"/>
        <v>21679.148596390663</v>
      </c>
      <c r="G72" s="149">
        <f>MIN(Inputs!$B$20,D72+F72)</f>
        <v>111014.82187676849</v>
      </c>
      <c r="H72" s="149">
        <f t="shared" si="16"/>
        <v>89335.673280377829</v>
      </c>
      <c r="I72" s="149">
        <f>Inputs!$B$28</f>
        <v>48643.172307692315</v>
      </c>
      <c r="J72" s="149">
        <f>Inputs!$B$29</f>
        <v>10984.615384615387</v>
      </c>
      <c r="K72" s="149">
        <f>Inputs!$B$30</f>
        <v>3406.3846153846157</v>
      </c>
      <c r="L72" s="149">
        <f t="shared" si="17"/>
        <v>63034.172307692315</v>
      </c>
      <c r="M72" s="149">
        <f t="shared" si="18"/>
        <v>174048.99418446081</v>
      </c>
      <c r="N72" s="149">
        <f t="shared" si="19"/>
        <v>1695941.4566744333</v>
      </c>
      <c r="O72" s="149">
        <f>IF(OR(A72=Inputs!$B$15,ROUNDUP((A72+1)/Inputs!$B$14,0)&gt;B72),SUMIF($B$4:B72,B72,$I$4:I72),0)</f>
        <v>194572.68923076926</v>
      </c>
      <c r="P72" s="149">
        <f>IF(OR(A72=Inputs!$B$15,ROUNDUP((A72+1)/Inputs!$B$14,0)&gt;B72),SUMIF($B$4:B72,B72,$J$4:J72),0)</f>
        <v>43938.461538461546</v>
      </c>
      <c r="Q72" s="149">
        <f>IF(OR(A72=Inputs!$B$15,ROUNDUP((A72+1)/Inputs!$B$14,0)&gt;B72),SUMIF($B$4:B72,B72,$K$4:K72),0)</f>
        <v>13625.538461538463</v>
      </c>
      <c r="R72" s="163" t="str">
        <f t="shared" si="20"/>
        <v>Vigente al día</v>
      </c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spans="1:28" ht="18" customHeight="1">
      <c r="A73" s="157">
        <v>70</v>
      </c>
      <c r="B73" s="77">
        <f>ROUNDUP(A73/Inputs!$B$14,0)</f>
        <v>17</v>
      </c>
      <c r="C73" s="160" t="str">
        <f>IF(A73=Inputs!$B$15,"Pago final","Pago normal")</f>
        <v>Pago normal</v>
      </c>
      <c r="D73" s="149">
        <f t="shared" si="14"/>
        <v>1695941.4566744333</v>
      </c>
      <c r="E73" s="150">
        <f>Inputs!$B$17</f>
        <v>1.2143295980573843E-2</v>
      </c>
      <c r="F73" s="149">
        <f t="shared" si="15"/>
        <v>20594.319074123196</v>
      </c>
      <c r="G73" s="149">
        <f>MIN(Inputs!$B$20,D73+F73)</f>
        <v>111014.82187676849</v>
      </c>
      <c r="H73" s="149">
        <f t="shared" si="16"/>
        <v>90420.502802645293</v>
      </c>
      <c r="I73" s="149">
        <f>Inputs!$B$28</f>
        <v>48643.172307692315</v>
      </c>
      <c r="J73" s="149">
        <f>Inputs!$B$29</f>
        <v>10984.615384615387</v>
      </c>
      <c r="K73" s="149">
        <f>Inputs!$B$30</f>
        <v>3406.3846153846157</v>
      </c>
      <c r="L73" s="149">
        <f t="shared" si="17"/>
        <v>63034.172307692315</v>
      </c>
      <c r="M73" s="149">
        <f t="shared" si="18"/>
        <v>174048.99418446081</v>
      </c>
      <c r="N73" s="149">
        <f t="shared" si="19"/>
        <v>1605520.953871788</v>
      </c>
      <c r="O73" s="149">
        <f>IF(OR(A73=Inputs!$B$15,ROUNDUP((A73+1)/Inputs!$B$14,0)&gt;B73),SUMIF($B$4:B73,B73,$I$4:I73),0)</f>
        <v>0</v>
      </c>
      <c r="P73" s="149">
        <f>IF(OR(A73=Inputs!$B$15,ROUNDUP((A73+1)/Inputs!$B$14,0)&gt;B73),SUMIF($B$4:B73,B73,$J$4:J73),0)</f>
        <v>0</v>
      </c>
      <c r="Q73" s="149">
        <f>IF(OR(A73=Inputs!$B$15,ROUNDUP((A73+1)/Inputs!$B$14,0)&gt;B73),SUMIF($B$4:B73,B73,$K$4:K73),0)</f>
        <v>0</v>
      </c>
      <c r="R73" s="163" t="str">
        <f t="shared" si="20"/>
        <v>Vigente al día</v>
      </c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spans="1:28" ht="18" customHeight="1">
      <c r="A74" s="157">
        <v>71</v>
      </c>
      <c r="B74" s="77">
        <f>ROUNDUP(A74/Inputs!$B$14,0)</f>
        <v>17</v>
      </c>
      <c r="C74" s="160" t="str">
        <f>IF(A74=Inputs!$B$15,"Pago final","Pago normal")</f>
        <v>Pago normal</v>
      </c>
      <c r="D74" s="149">
        <f t="shared" si="14"/>
        <v>1605520.953871788</v>
      </c>
      <c r="E74" s="150">
        <f>Inputs!$B$17</f>
        <v>1.2143295980573843E-2</v>
      </c>
      <c r="F74" s="149">
        <f t="shared" si="15"/>
        <v>19496.316145878365</v>
      </c>
      <c r="G74" s="149">
        <f>MIN(Inputs!$B$20,D74+F74)</f>
        <v>111014.82187676849</v>
      </c>
      <c r="H74" s="149">
        <f t="shared" si="16"/>
        <v>91518.505730890116</v>
      </c>
      <c r="I74" s="149">
        <f>Inputs!$B$28</f>
        <v>48643.172307692315</v>
      </c>
      <c r="J74" s="149">
        <f>Inputs!$B$29</f>
        <v>10984.615384615387</v>
      </c>
      <c r="K74" s="149">
        <f>Inputs!$B$30</f>
        <v>3406.3846153846157</v>
      </c>
      <c r="L74" s="149">
        <f t="shared" si="17"/>
        <v>63034.172307692315</v>
      </c>
      <c r="M74" s="149">
        <f t="shared" si="18"/>
        <v>174048.99418446081</v>
      </c>
      <c r="N74" s="149">
        <f t="shared" si="19"/>
        <v>1514002.4481408978</v>
      </c>
      <c r="O74" s="149">
        <f>IF(OR(A74=Inputs!$B$15,ROUNDUP((A74+1)/Inputs!$B$14,0)&gt;B74),SUMIF($B$4:B74,B74,$I$4:I74),0)</f>
        <v>0</v>
      </c>
      <c r="P74" s="149">
        <f>IF(OR(A74=Inputs!$B$15,ROUNDUP((A74+1)/Inputs!$B$14,0)&gt;B74),SUMIF($B$4:B74,B74,$J$4:J74),0)</f>
        <v>0</v>
      </c>
      <c r="Q74" s="149">
        <f>IF(OR(A74=Inputs!$B$15,ROUNDUP((A74+1)/Inputs!$B$14,0)&gt;B74),SUMIF($B$4:B74,B74,$K$4:K74),0)</f>
        <v>0</v>
      </c>
      <c r="R74" s="163" t="str">
        <f t="shared" si="20"/>
        <v>Vigente al día</v>
      </c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spans="1:28" ht="18" customHeight="1">
      <c r="A75" s="157">
        <v>72</v>
      </c>
      <c r="B75" s="77">
        <f>ROUNDUP(A75/Inputs!$B$14,0)</f>
        <v>17</v>
      </c>
      <c r="C75" s="160" t="str">
        <f>IF(A75=Inputs!$B$15,"Pago final","Pago normal")</f>
        <v>Pago normal</v>
      </c>
      <c r="D75" s="149">
        <f t="shared" si="14"/>
        <v>1514002.4481408978</v>
      </c>
      <c r="E75" s="150">
        <f>Inputs!$B$17</f>
        <v>1.2143295980573843E-2</v>
      </c>
      <c r="F75" s="149">
        <f t="shared" si="15"/>
        <v>18384.97984308832</v>
      </c>
      <c r="G75" s="149">
        <f>MIN(Inputs!$B$20,D75+F75)</f>
        <v>111014.82187676849</v>
      </c>
      <c r="H75" s="149">
        <f t="shared" si="16"/>
        <v>92629.842033680165</v>
      </c>
      <c r="I75" s="149">
        <f>Inputs!$B$28</f>
        <v>48643.172307692315</v>
      </c>
      <c r="J75" s="149">
        <f>Inputs!$B$29</f>
        <v>10984.615384615387</v>
      </c>
      <c r="K75" s="149">
        <f>Inputs!$B$30</f>
        <v>3406.3846153846157</v>
      </c>
      <c r="L75" s="149">
        <f t="shared" si="17"/>
        <v>63034.172307692315</v>
      </c>
      <c r="M75" s="149">
        <f t="shared" si="18"/>
        <v>174048.99418446081</v>
      </c>
      <c r="N75" s="149">
        <f t="shared" si="19"/>
        <v>1421372.6061072177</v>
      </c>
      <c r="O75" s="149">
        <f>IF(OR(A75=Inputs!$B$15,ROUNDUP((A75+1)/Inputs!$B$14,0)&gt;B75),SUMIF($B$4:B75,B75,$I$4:I75),0)</f>
        <v>0</v>
      </c>
      <c r="P75" s="149">
        <f>IF(OR(A75=Inputs!$B$15,ROUNDUP((A75+1)/Inputs!$B$14,0)&gt;B75),SUMIF($B$4:B75,B75,$J$4:J75),0)</f>
        <v>0</v>
      </c>
      <c r="Q75" s="149">
        <f>IF(OR(A75=Inputs!$B$15,ROUNDUP((A75+1)/Inputs!$B$14,0)&gt;B75),SUMIF($B$4:B75,B75,$K$4:K75),0)</f>
        <v>0</v>
      </c>
      <c r="R75" s="163" t="str">
        <f t="shared" si="20"/>
        <v>Vigente al día</v>
      </c>
      <c r="S75" s="18"/>
      <c r="T75" s="18"/>
      <c r="U75" s="18"/>
      <c r="V75" s="18"/>
      <c r="W75" s="18"/>
      <c r="X75" s="18"/>
      <c r="Y75" s="18"/>
      <c r="Z75" s="18"/>
      <c r="AA75" s="18"/>
      <c r="AB75" s="18"/>
    </row>
    <row r="76" spans="1:28" ht="18" customHeight="1">
      <c r="A76" s="157">
        <v>73</v>
      </c>
      <c r="B76" s="77">
        <f>ROUNDUP(A76/Inputs!$B$14,0)</f>
        <v>17</v>
      </c>
      <c r="C76" s="160" t="str">
        <f>IF(A76=Inputs!$B$15,"Pago final","Pago normal")</f>
        <v>Pago normal</v>
      </c>
      <c r="D76" s="149">
        <f t="shared" si="14"/>
        <v>1421372.6061072177</v>
      </c>
      <c r="E76" s="150">
        <f>Inputs!$B$17</f>
        <v>1.2143295980573843E-2</v>
      </c>
      <c r="F76" s="149">
        <f t="shared" si="15"/>
        <v>17260.148254639545</v>
      </c>
      <c r="G76" s="149">
        <f>MIN(Inputs!$B$20,D76+F76)</f>
        <v>111014.82187676849</v>
      </c>
      <c r="H76" s="149">
        <f t="shared" si="16"/>
        <v>93754.673622128947</v>
      </c>
      <c r="I76" s="149">
        <f>Inputs!$B$28</f>
        <v>48643.172307692315</v>
      </c>
      <c r="J76" s="149">
        <f>Inputs!$B$29</f>
        <v>10984.615384615387</v>
      </c>
      <c r="K76" s="149">
        <f>Inputs!$B$30</f>
        <v>3406.3846153846157</v>
      </c>
      <c r="L76" s="149">
        <f t="shared" si="17"/>
        <v>63034.172307692315</v>
      </c>
      <c r="M76" s="149">
        <f t="shared" si="18"/>
        <v>174048.99418446081</v>
      </c>
      <c r="N76" s="149">
        <f t="shared" si="19"/>
        <v>1327617.9324850887</v>
      </c>
      <c r="O76" s="149">
        <f>IF(OR(A76=Inputs!$B$15,ROUNDUP((A76+1)/Inputs!$B$14,0)&gt;B76),SUMIF($B$4:B76,B76,$I$4:I76),0)</f>
        <v>194572.68923076926</v>
      </c>
      <c r="P76" s="149">
        <f>IF(OR(A76=Inputs!$B$15,ROUNDUP((A76+1)/Inputs!$B$14,0)&gt;B76),SUMIF($B$4:B76,B76,$J$4:J76),0)</f>
        <v>43938.461538461546</v>
      </c>
      <c r="Q76" s="149">
        <f>IF(OR(A76=Inputs!$B$15,ROUNDUP((A76+1)/Inputs!$B$14,0)&gt;B76),SUMIF($B$4:B76,B76,$K$4:K76),0)</f>
        <v>13625.538461538463</v>
      </c>
      <c r="R76" s="163" t="str">
        <f t="shared" si="20"/>
        <v>Vigente al día</v>
      </c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spans="1:28" ht="18" customHeight="1">
      <c r="A77" s="157">
        <v>74</v>
      </c>
      <c r="B77" s="77">
        <f>ROUNDUP(A77/Inputs!$B$14,0)</f>
        <v>18</v>
      </c>
      <c r="C77" s="160" t="str">
        <f>IF(A77=Inputs!$B$15,"Pago final","Pago normal")</f>
        <v>Pago normal</v>
      </c>
      <c r="D77" s="149">
        <f t="shared" si="14"/>
        <v>1327617.9324850887</v>
      </c>
      <c r="E77" s="150">
        <f>Inputs!$B$17</f>
        <v>1.2143295980573843E-2</v>
      </c>
      <c r="F77" s="149">
        <f t="shared" si="15"/>
        <v>16121.657503283934</v>
      </c>
      <c r="G77" s="149">
        <f>MIN(Inputs!$B$20,D77+F77)</f>
        <v>111014.82187676849</v>
      </c>
      <c r="H77" s="149">
        <f t="shared" si="16"/>
        <v>94893.164373484557</v>
      </c>
      <c r="I77" s="149">
        <f>Inputs!$B$28</f>
        <v>48643.172307692315</v>
      </c>
      <c r="J77" s="149">
        <f>Inputs!$B$29</f>
        <v>10984.615384615387</v>
      </c>
      <c r="K77" s="149">
        <f>Inputs!$B$30</f>
        <v>3406.3846153846157</v>
      </c>
      <c r="L77" s="149">
        <f t="shared" si="17"/>
        <v>63034.172307692315</v>
      </c>
      <c r="M77" s="149">
        <f t="shared" si="18"/>
        <v>174048.99418446081</v>
      </c>
      <c r="N77" s="149">
        <f t="shared" si="19"/>
        <v>1232724.7681116043</v>
      </c>
      <c r="O77" s="149">
        <f>IF(OR(A77=Inputs!$B$15,ROUNDUP((A77+1)/Inputs!$B$14,0)&gt;B77),SUMIF($B$4:B77,B77,$I$4:I77),0)</f>
        <v>0</v>
      </c>
      <c r="P77" s="149">
        <f>IF(OR(A77=Inputs!$B$15,ROUNDUP((A77+1)/Inputs!$B$14,0)&gt;B77),SUMIF($B$4:B77,B77,$J$4:J77),0)</f>
        <v>0</v>
      </c>
      <c r="Q77" s="149">
        <f>IF(OR(A77=Inputs!$B$15,ROUNDUP((A77+1)/Inputs!$B$14,0)&gt;B77),SUMIF($B$4:B77,B77,$K$4:K77),0)</f>
        <v>0</v>
      </c>
      <c r="R77" s="163" t="str">
        <f t="shared" si="20"/>
        <v>Vigente al día</v>
      </c>
      <c r="S77" s="18"/>
      <c r="T77" s="18"/>
      <c r="U77" s="18"/>
      <c r="V77" s="18"/>
      <c r="W77" s="18"/>
      <c r="X77" s="18"/>
      <c r="Y77" s="18"/>
      <c r="Z77" s="18"/>
      <c r="AA77" s="18"/>
      <c r="AB77" s="18"/>
    </row>
    <row r="78" spans="1:28" ht="18" customHeight="1">
      <c r="A78" s="157">
        <v>75</v>
      </c>
      <c r="B78" s="77">
        <f>ROUNDUP(A78/Inputs!$B$14,0)</f>
        <v>18</v>
      </c>
      <c r="C78" s="160" t="str">
        <f>IF(A78=Inputs!$B$15,"Pago final","Pago normal")</f>
        <v>Pago normal</v>
      </c>
      <c r="D78" s="149">
        <f t="shared" si="14"/>
        <v>1232724.7681116043</v>
      </c>
      <c r="E78" s="150">
        <f>Inputs!$B$17</f>
        <v>1.2143295980573843E-2</v>
      </c>
      <c r="F78" s="149">
        <f t="shared" si="15"/>
        <v>14969.341721763467</v>
      </c>
      <c r="G78" s="149">
        <f>MIN(Inputs!$B$20,D78+F78)</f>
        <v>111014.82187676849</v>
      </c>
      <c r="H78" s="149">
        <f t="shared" si="16"/>
        <v>96045.480155005018</v>
      </c>
      <c r="I78" s="149">
        <f>Inputs!$B$28</f>
        <v>48643.172307692315</v>
      </c>
      <c r="J78" s="149">
        <f>Inputs!$B$29</f>
        <v>10984.615384615387</v>
      </c>
      <c r="K78" s="149">
        <f>Inputs!$B$30</f>
        <v>3406.3846153846157</v>
      </c>
      <c r="L78" s="149">
        <f t="shared" si="17"/>
        <v>63034.172307692315</v>
      </c>
      <c r="M78" s="149">
        <f t="shared" si="18"/>
        <v>174048.99418446081</v>
      </c>
      <c r="N78" s="149">
        <f t="shared" si="19"/>
        <v>1136679.2879565991</v>
      </c>
      <c r="O78" s="149">
        <f>IF(OR(A78=Inputs!$B$15,ROUNDUP((A78+1)/Inputs!$B$14,0)&gt;B78),SUMIF($B$4:B78,B78,$I$4:I78),0)</f>
        <v>0</v>
      </c>
      <c r="P78" s="149">
        <f>IF(OR(A78=Inputs!$B$15,ROUNDUP((A78+1)/Inputs!$B$14,0)&gt;B78),SUMIF($B$4:B78,B78,$J$4:J78),0)</f>
        <v>0</v>
      </c>
      <c r="Q78" s="149">
        <f>IF(OR(A78=Inputs!$B$15,ROUNDUP((A78+1)/Inputs!$B$14,0)&gt;B78),SUMIF($B$4:B78,B78,$K$4:K78),0)</f>
        <v>0</v>
      </c>
      <c r="R78" s="163" t="str">
        <f t="shared" si="20"/>
        <v>Vigente al día</v>
      </c>
      <c r="S78" s="18"/>
      <c r="T78" s="18"/>
      <c r="U78" s="18"/>
      <c r="V78" s="18"/>
      <c r="W78" s="18"/>
      <c r="X78" s="18"/>
      <c r="Y78" s="18"/>
      <c r="Z78" s="18"/>
      <c r="AA78" s="18"/>
      <c r="AB78" s="18"/>
    </row>
    <row r="79" spans="1:28" ht="18" customHeight="1">
      <c r="A79" s="157">
        <v>76</v>
      </c>
      <c r="B79" s="77">
        <f>ROUNDUP(A79/Inputs!$B$14,0)</f>
        <v>18</v>
      </c>
      <c r="C79" s="160" t="str">
        <f>IF(A79=Inputs!$B$15,"Pago final","Pago normal")</f>
        <v>Pago normal</v>
      </c>
      <c r="D79" s="149">
        <f t="shared" si="14"/>
        <v>1136679.2879565991</v>
      </c>
      <c r="E79" s="150">
        <f>Inputs!$B$17</f>
        <v>1.2143295980573843E-2</v>
      </c>
      <c r="F79" s="149">
        <f t="shared" si="15"/>
        <v>13803.033028644908</v>
      </c>
      <c r="G79" s="149">
        <f>MIN(Inputs!$B$20,D79+F79)</f>
        <v>111014.82187676849</v>
      </c>
      <c r="H79" s="149">
        <f t="shared" si="16"/>
        <v>97211.788848123586</v>
      </c>
      <c r="I79" s="149">
        <f>Inputs!$B$28</f>
        <v>48643.172307692315</v>
      </c>
      <c r="J79" s="149">
        <f>Inputs!$B$29</f>
        <v>10984.615384615387</v>
      </c>
      <c r="K79" s="149">
        <f>Inputs!$B$30</f>
        <v>3406.3846153846157</v>
      </c>
      <c r="L79" s="149">
        <f t="shared" si="17"/>
        <v>63034.172307692315</v>
      </c>
      <c r="M79" s="149">
        <f t="shared" si="18"/>
        <v>174048.99418446081</v>
      </c>
      <c r="N79" s="149">
        <f t="shared" si="19"/>
        <v>1039467.4991084755</v>
      </c>
      <c r="O79" s="149">
        <f>IF(OR(A79=Inputs!$B$15,ROUNDUP((A79+1)/Inputs!$B$14,0)&gt;B79),SUMIF($B$4:B79,B79,$I$4:I79),0)</f>
        <v>0</v>
      </c>
      <c r="P79" s="149">
        <f>IF(OR(A79=Inputs!$B$15,ROUNDUP((A79+1)/Inputs!$B$14,0)&gt;B79),SUMIF($B$4:B79,B79,$J$4:J79),0)</f>
        <v>0</v>
      </c>
      <c r="Q79" s="149">
        <f>IF(OR(A79=Inputs!$B$15,ROUNDUP((A79+1)/Inputs!$B$14,0)&gt;B79),SUMIF($B$4:B79,B79,$K$4:K79),0)</f>
        <v>0</v>
      </c>
      <c r="R79" s="163" t="str">
        <f t="shared" si="20"/>
        <v>Vigente al día</v>
      </c>
      <c r="S79" s="18"/>
      <c r="T79" s="18"/>
      <c r="U79" s="18"/>
      <c r="V79" s="18"/>
      <c r="W79" s="18"/>
      <c r="X79" s="18"/>
      <c r="Y79" s="18"/>
      <c r="Z79" s="18"/>
      <c r="AA79" s="18"/>
      <c r="AB79" s="18"/>
    </row>
    <row r="80" spans="1:28" ht="18" customHeight="1">
      <c r="A80" s="157">
        <v>77</v>
      </c>
      <c r="B80" s="77">
        <f>ROUNDUP(A80/Inputs!$B$14,0)</f>
        <v>18</v>
      </c>
      <c r="C80" s="160" t="str">
        <f>IF(A80=Inputs!$B$15,"Pago final","Pago normal")</f>
        <v>Pago normal</v>
      </c>
      <c r="D80" s="149">
        <f t="shared" si="14"/>
        <v>1039467.4991084755</v>
      </c>
      <c r="E80" s="150">
        <f>Inputs!$B$17</f>
        <v>1.2143295980573843E-2</v>
      </c>
      <c r="F80" s="149">
        <f t="shared" si="15"/>
        <v>12622.561503861096</v>
      </c>
      <c r="G80" s="149">
        <f>MIN(Inputs!$B$20,D80+F80)</f>
        <v>111014.82187676849</v>
      </c>
      <c r="H80" s="149">
        <f t="shared" si="16"/>
        <v>98392.260372907389</v>
      </c>
      <c r="I80" s="149">
        <f>Inputs!$B$28</f>
        <v>48643.172307692315</v>
      </c>
      <c r="J80" s="149">
        <f>Inputs!$B$29</f>
        <v>10984.615384615387</v>
      </c>
      <c r="K80" s="149">
        <f>Inputs!$B$30</f>
        <v>3406.3846153846157</v>
      </c>
      <c r="L80" s="149">
        <f t="shared" si="17"/>
        <v>63034.172307692315</v>
      </c>
      <c r="M80" s="149">
        <f t="shared" si="18"/>
        <v>174048.99418446081</v>
      </c>
      <c r="N80" s="149">
        <f t="shared" si="19"/>
        <v>941075.23873556813</v>
      </c>
      <c r="O80" s="149">
        <f>IF(OR(A80=Inputs!$B$15,ROUNDUP((A80+1)/Inputs!$B$14,0)&gt;B80),SUMIF($B$4:B80,B80,$I$4:I80),0)</f>
        <v>0</v>
      </c>
      <c r="P80" s="149">
        <f>IF(OR(A80=Inputs!$B$15,ROUNDUP((A80+1)/Inputs!$B$14,0)&gt;B80),SUMIF($B$4:B80,B80,$J$4:J80),0)</f>
        <v>0</v>
      </c>
      <c r="Q80" s="149">
        <f>IF(OR(A80=Inputs!$B$15,ROUNDUP((A80+1)/Inputs!$B$14,0)&gt;B80),SUMIF($B$4:B80,B80,$K$4:K80),0)</f>
        <v>0</v>
      </c>
      <c r="R80" s="163" t="str">
        <f t="shared" si="20"/>
        <v>Vigente al día</v>
      </c>
      <c r="S80" s="18"/>
      <c r="T80" s="18"/>
      <c r="U80" s="18"/>
      <c r="V80" s="18"/>
      <c r="W80" s="18"/>
      <c r="X80" s="18"/>
      <c r="Y80" s="18"/>
      <c r="Z80" s="18"/>
      <c r="AA80" s="18"/>
      <c r="AB80" s="18"/>
    </row>
    <row r="81" spans="1:28" ht="18" customHeight="1">
      <c r="A81" s="157">
        <v>78</v>
      </c>
      <c r="B81" s="77">
        <f>ROUNDUP(A81/Inputs!$B$14,0)</f>
        <v>18</v>
      </c>
      <c r="C81" s="160" t="str">
        <f>IF(A81=Inputs!$B$15,"Pago final","Pago normal")</f>
        <v>Pago normal</v>
      </c>
      <c r="D81" s="149">
        <f t="shared" si="14"/>
        <v>941075.23873556813</v>
      </c>
      <c r="E81" s="150">
        <f>Inputs!$B$17</f>
        <v>1.2143295980573843E-2</v>
      </c>
      <c r="F81" s="149">
        <f t="shared" si="15"/>
        <v>11427.755163955195</v>
      </c>
      <c r="G81" s="149">
        <f>MIN(Inputs!$B$20,D81+F81)</f>
        <v>111014.82187676849</v>
      </c>
      <c r="H81" s="149">
        <f t="shared" si="16"/>
        <v>99587.066712813292</v>
      </c>
      <c r="I81" s="149">
        <f>Inputs!$B$28</f>
        <v>48643.172307692315</v>
      </c>
      <c r="J81" s="149">
        <f>Inputs!$B$29</f>
        <v>10984.615384615387</v>
      </c>
      <c r="K81" s="149">
        <f>Inputs!$B$30</f>
        <v>3406.3846153846157</v>
      </c>
      <c r="L81" s="149">
        <f t="shared" si="17"/>
        <v>63034.172307692315</v>
      </c>
      <c r="M81" s="149">
        <f t="shared" si="18"/>
        <v>174048.99418446081</v>
      </c>
      <c r="N81" s="149">
        <f t="shared" si="19"/>
        <v>841488.17202275479</v>
      </c>
      <c r="O81" s="149">
        <f>IF(OR(A81=Inputs!$B$15,ROUNDUP((A81+1)/Inputs!$B$14,0)&gt;B81),SUMIF($B$4:B81,B81,$I$4:I81),0)</f>
        <v>243215.86153846158</v>
      </c>
      <c r="P81" s="149">
        <f>IF(OR(A81=Inputs!$B$15,ROUNDUP((A81+1)/Inputs!$B$14,0)&gt;B81),SUMIF($B$4:B81,B81,$J$4:J81),0)</f>
        <v>54923.076923076937</v>
      </c>
      <c r="Q81" s="149">
        <f>IF(OR(A81=Inputs!$B$15,ROUNDUP((A81+1)/Inputs!$B$14,0)&gt;B81),SUMIF($B$4:B81,B81,$K$4:K81),0)</f>
        <v>17031.923076923078</v>
      </c>
      <c r="R81" s="163" t="str">
        <f t="shared" si="20"/>
        <v>Vigente al día</v>
      </c>
      <c r="S81" s="18"/>
      <c r="T81" s="18"/>
      <c r="U81" s="18"/>
      <c r="V81" s="18"/>
      <c r="W81" s="18"/>
      <c r="X81" s="18"/>
      <c r="Y81" s="18"/>
      <c r="Z81" s="18"/>
      <c r="AA81" s="18"/>
      <c r="AB81" s="18"/>
    </row>
    <row r="82" spans="1:28" ht="18" customHeight="1">
      <c r="A82" s="157">
        <v>79</v>
      </c>
      <c r="B82" s="77">
        <f>ROUNDUP(A82/Inputs!$B$14,0)</f>
        <v>19</v>
      </c>
      <c r="C82" s="160" t="str">
        <f>IF(A82=Inputs!$B$15,"Pago final","Pago normal")</f>
        <v>Pago normal</v>
      </c>
      <c r="D82" s="149">
        <f t="shared" si="14"/>
        <v>841488.17202275479</v>
      </c>
      <c r="E82" s="150">
        <f>Inputs!$B$17</f>
        <v>1.2143295980573843E-2</v>
      </c>
      <c r="F82" s="149">
        <f t="shared" si="15"/>
        <v>10218.439937024348</v>
      </c>
      <c r="G82" s="149">
        <f>MIN(Inputs!$B$20,D82+F82)</f>
        <v>111014.82187676849</v>
      </c>
      <c r="H82" s="149">
        <f t="shared" si="16"/>
        <v>100796.38193974414</v>
      </c>
      <c r="I82" s="149">
        <f>Inputs!$B$28</f>
        <v>48643.172307692315</v>
      </c>
      <c r="J82" s="149">
        <f>Inputs!$B$29</f>
        <v>10984.615384615387</v>
      </c>
      <c r="K82" s="149">
        <f>Inputs!$B$30</f>
        <v>3406.3846153846157</v>
      </c>
      <c r="L82" s="149">
        <f t="shared" si="17"/>
        <v>63034.172307692315</v>
      </c>
      <c r="M82" s="149">
        <f t="shared" si="18"/>
        <v>174048.99418446081</v>
      </c>
      <c r="N82" s="149">
        <f t="shared" si="19"/>
        <v>740691.79008301068</v>
      </c>
      <c r="O82" s="149">
        <f>IF(OR(A82=Inputs!$B$15,ROUNDUP((A82+1)/Inputs!$B$14,0)&gt;B82),SUMIF($B$4:B82,B82,$I$4:I82),0)</f>
        <v>0</v>
      </c>
      <c r="P82" s="149">
        <f>IF(OR(A82=Inputs!$B$15,ROUNDUP((A82+1)/Inputs!$B$14,0)&gt;B82),SUMIF($B$4:B82,B82,$J$4:J82),0)</f>
        <v>0</v>
      </c>
      <c r="Q82" s="149">
        <f>IF(OR(A82=Inputs!$B$15,ROUNDUP((A82+1)/Inputs!$B$14,0)&gt;B82),SUMIF($B$4:B82,B82,$K$4:K82),0)</f>
        <v>0</v>
      </c>
      <c r="R82" s="163" t="str">
        <f t="shared" si="20"/>
        <v>Vigente al día</v>
      </c>
      <c r="S82" s="18"/>
      <c r="T82" s="18"/>
      <c r="U82" s="18"/>
      <c r="V82" s="18"/>
      <c r="W82" s="18"/>
      <c r="X82" s="18"/>
      <c r="Y82" s="18"/>
      <c r="Z82" s="18"/>
      <c r="AA82" s="18"/>
      <c r="AB82" s="18"/>
    </row>
    <row r="83" spans="1:28" ht="18" customHeight="1">
      <c r="A83" s="157">
        <v>80</v>
      </c>
      <c r="B83" s="77">
        <f>ROUNDUP(A83/Inputs!$B$14,0)</f>
        <v>19</v>
      </c>
      <c r="C83" s="160" t="str">
        <f>IF(A83=Inputs!$B$15,"Pago final","Pago normal")</f>
        <v>Pago normal</v>
      </c>
      <c r="D83" s="149">
        <f t="shared" si="14"/>
        <v>740691.79008301068</v>
      </c>
      <c r="E83" s="150">
        <f>Inputs!$B$17</f>
        <v>1.2143295980573843E-2</v>
      </c>
      <c r="F83" s="149">
        <f t="shared" si="15"/>
        <v>8994.439637359068</v>
      </c>
      <c r="G83" s="149">
        <f>MIN(Inputs!$B$20,D83+F83)</f>
        <v>111014.82187676849</v>
      </c>
      <c r="H83" s="149">
        <f t="shared" si="16"/>
        <v>102020.38223940942</v>
      </c>
      <c r="I83" s="149">
        <f>Inputs!$B$28</f>
        <v>48643.172307692315</v>
      </c>
      <c r="J83" s="149">
        <f>Inputs!$B$29</f>
        <v>10984.615384615387</v>
      </c>
      <c r="K83" s="149">
        <f>Inputs!$B$30</f>
        <v>3406.3846153846157</v>
      </c>
      <c r="L83" s="149">
        <f t="shared" si="17"/>
        <v>63034.172307692315</v>
      </c>
      <c r="M83" s="149">
        <f t="shared" si="18"/>
        <v>174048.99418446081</v>
      </c>
      <c r="N83" s="149">
        <f t="shared" si="19"/>
        <v>638671.40784360131</v>
      </c>
      <c r="O83" s="149">
        <f>IF(OR(A83=Inputs!$B$15,ROUNDUP((A83+1)/Inputs!$B$14,0)&gt;B83),SUMIF($B$4:B83,B83,$I$4:I83),0)</f>
        <v>0</v>
      </c>
      <c r="P83" s="149">
        <f>IF(OR(A83=Inputs!$B$15,ROUNDUP((A83+1)/Inputs!$B$14,0)&gt;B83),SUMIF($B$4:B83,B83,$J$4:J83),0)</f>
        <v>0</v>
      </c>
      <c r="Q83" s="149">
        <f>IF(OR(A83=Inputs!$B$15,ROUNDUP((A83+1)/Inputs!$B$14,0)&gt;B83),SUMIF($B$4:B83,B83,$K$4:K83),0)</f>
        <v>0</v>
      </c>
      <c r="R83" s="163" t="str">
        <f t="shared" si="20"/>
        <v>Vigente al día</v>
      </c>
      <c r="S83" s="18"/>
      <c r="T83" s="18"/>
      <c r="U83" s="18"/>
      <c r="V83" s="18"/>
      <c r="W83" s="18"/>
      <c r="X83" s="18"/>
      <c r="Y83" s="18"/>
      <c r="Z83" s="18"/>
      <c r="AA83" s="18"/>
      <c r="AB83" s="18"/>
    </row>
    <row r="84" spans="1:28" ht="18" customHeight="1">
      <c r="A84" s="157">
        <v>81</v>
      </c>
      <c r="B84" s="77">
        <f>ROUNDUP(A84/Inputs!$B$14,0)</f>
        <v>19</v>
      </c>
      <c r="C84" s="160" t="str">
        <f>IF(A84=Inputs!$B$15,"Pago final","Pago normal")</f>
        <v>Pago normal</v>
      </c>
      <c r="D84" s="149">
        <f t="shared" si="14"/>
        <v>638671.40784360131</v>
      </c>
      <c r="E84" s="150">
        <f>Inputs!$B$17</f>
        <v>1.2143295980573843E-2</v>
      </c>
      <c r="F84" s="149">
        <f t="shared" si="15"/>
        <v>7755.5759397746415</v>
      </c>
      <c r="G84" s="149">
        <f>MIN(Inputs!$B$20,D84+F84)</f>
        <v>111014.82187676849</v>
      </c>
      <c r="H84" s="149">
        <f t="shared" si="16"/>
        <v>103259.24593699384</v>
      </c>
      <c r="I84" s="149">
        <f>Inputs!$B$28</f>
        <v>48643.172307692315</v>
      </c>
      <c r="J84" s="149">
        <f>Inputs!$B$29</f>
        <v>10984.615384615387</v>
      </c>
      <c r="K84" s="149">
        <f>Inputs!$B$30</f>
        <v>3406.3846153846157</v>
      </c>
      <c r="L84" s="149">
        <f t="shared" si="17"/>
        <v>63034.172307692315</v>
      </c>
      <c r="M84" s="149">
        <f t="shared" si="18"/>
        <v>174048.99418446081</v>
      </c>
      <c r="N84" s="149">
        <f t="shared" si="19"/>
        <v>535412.16190660745</v>
      </c>
      <c r="O84" s="149">
        <f>IF(OR(A84=Inputs!$B$15,ROUNDUP((A84+1)/Inputs!$B$14,0)&gt;B84),SUMIF($B$4:B84,B84,$I$4:I84),0)</f>
        <v>0</v>
      </c>
      <c r="P84" s="149">
        <f>IF(OR(A84=Inputs!$B$15,ROUNDUP((A84+1)/Inputs!$B$14,0)&gt;B84),SUMIF($B$4:B84,B84,$J$4:J84),0)</f>
        <v>0</v>
      </c>
      <c r="Q84" s="149">
        <f>IF(OR(A84=Inputs!$B$15,ROUNDUP((A84+1)/Inputs!$B$14,0)&gt;B84),SUMIF($B$4:B84,B84,$K$4:K84),0)</f>
        <v>0</v>
      </c>
      <c r="R84" s="163" t="str">
        <f t="shared" si="20"/>
        <v>Vigente al día</v>
      </c>
      <c r="S84" s="18"/>
      <c r="T84" s="18"/>
      <c r="U84" s="18"/>
      <c r="V84" s="18"/>
      <c r="W84" s="18"/>
      <c r="X84" s="18"/>
      <c r="Y84" s="18"/>
      <c r="Z84" s="18"/>
      <c r="AA84" s="18"/>
      <c r="AB84" s="18"/>
    </row>
    <row r="85" spans="1:28" ht="18" customHeight="1">
      <c r="A85" s="157">
        <v>82</v>
      </c>
      <c r="B85" s="77">
        <f>ROUNDUP(A85/Inputs!$B$14,0)</f>
        <v>19</v>
      </c>
      <c r="C85" s="160" t="str">
        <f>IF(A85=Inputs!$B$15,"Pago final","Pago normal")</f>
        <v>Pago normal</v>
      </c>
      <c r="D85" s="149">
        <f t="shared" si="14"/>
        <v>535412.16190660745</v>
      </c>
      <c r="E85" s="150">
        <f>Inputs!$B$17</f>
        <v>1.2143295980573843E-2</v>
      </c>
      <c r="F85" s="149">
        <f t="shared" si="15"/>
        <v>6501.6683536308574</v>
      </c>
      <c r="G85" s="149">
        <f>MIN(Inputs!$B$20,D85+F85)</f>
        <v>111014.82187676849</v>
      </c>
      <c r="H85" s="149">
        <f t="shared" si="16"/>
        <v>104513.15352313763</v>
      </c>
      <c r="I85" s="149">
        <f>Inputs!$B$28</f>
        <v>48643.172307692315</v>
      </c>
      <c r="J85" s="149">
        <f>Inputs!$B$29</f>
        <v>10984.615384615387</v>
      </c>
      <c r="K85" s="149">
        <f>Inputs!$B$30</f>
        <v>3406.3846153846157</v>
      </c>
      <c r="L85" s="149">
        <f t="shared" si="17"/>
        <v>63034.172307692315</v>
      </c>
      <c r="M85" s="149">
        <f t="shared" si="18"/>
        <v>174048.99418446081</v>
      </c>
      <c r="N85" s="149">
        <f t="shared" si="19"/>
        <v>430899.00838346983</v>
      </c>
      <c r="O85" s="149">
        <f>IF(OR(A85=Inputs!$B$15,ROUNDUP((A85+1)/Inputs!$B$14,0)&gt;B85),SUMIF($B$4:B85,B85,$I$4:I85),0)</f>
        <v>194572.68923076926</v>
      </c>
      <c r="P85" s="149">
        <f>IF(OR(A85=Inputs!$B$15,ROUNDUP((A85+1)/Inputs!$B$14,0)&gt;B85),SUMIF($B$4:B85,B85,$J$4:J85),0)</f>
        <v>43938.461538461546</v>
      </c>
      <c r="Q85" s="149">
        <f>IF(OR(A85=Inputs!$B$15,ROUNDUP((A85+1)/Inputs!$B$14,0)&gt;B85),SUMIF($B$4:B85,B85,$K$4:K85),0)</f>
        <v>13625.538461538463</v>
      </c>
      <c r="R85" s="163" t="str">
        <f t="shared" si="20"/>
        <v>Vigente al día</v>
      </c>
      <c r="S85" s="18"/>
      <c r="T85" s="18"/>
      <c r="U85" s="18"/>
      <c r="V85" s="18"/>
      <c r="W85" s="18"/>
      <c r="X85" s="18"/>
      <c r="Y85" s="18"/>
      <c r="Z85" s="18"/>
      <c r="AA85" s="18"/>
      <c r="AB85" s="18"/>
    </row>
    <row r="86" spans="1:28" ht="18" customHeight="1">
      <c r="A86" s="157">
        <v>83</v>
      </c>
      <c r="B86" s="77">
        <f>ROUNDUP(A86/Inputs!$B$14,0)</f>
        <v>20</v>
      </c>
      <c r="C86" s="160" t="str">
        <f>IF(A86=Inputs!$B$15,"Pago final","Pago normal")</f>
        <v>Pago normal</v>
      </c>
      <c r="D86" s="149">
        <f t="shared" si="14"/>
        <v>430899.00838346983</v>
      </c>
      <c r="E86" s="150">
        <f>Inputs!$B$17</f>
        <v>1.2143295980573843E-2</v>
      </c>
      <c r="F86" s="149">
        <f t="shared" si="15"/>
        <v>5232.5341965362441</v>
      </c>
      <c r="G86" s="149">
        <f>MIN(Inputs!$B$20,D86+F86)</f>
        <v>111014.82187676849</v>
      </c>
      <c r="H86" s="149">
        <f t="shared" si="16"/>
        <v>105782.28768023224</v>
      </c>
      <c r="I86" s="149">
        <f>Inputs!$B$28</f>
        <v>48643.172307692315</v>
      </c>
      <c r="J86" s="149">
        <f>Inputs!$B$29</f>
        <v>10984.615384615387</v>
      </c>
      <c r="K86" s="149">
        <f>Inputs!$B$30</f>
        <v>3406.3846153846157</v>
      </c>
      <c r="L86" s="149">
        <f t="shared" si="17"/>
        <v>63034.172307692315</v>
      </c>
      <c r="M86" s="149">
        <f t="shared" si="18"/>
        <v>174048.99418446081</v>
      </c>
      <c r="N86" s="149">
        <f t="shared" si="19"/>
        <v>325116.72070323757</v>
      </c>
      <c r="O86" s="149">
        <f>IF(OR(A86=Inputs!$B$15,ROUNDUP((A86+1)/Inputs!$B$14,0)&gt;B86),SUMIF($B$4:B86,B86,$I$4:I86),0)</f>
        <v>0</v>
      </c>
      <c r="P86" s="149">
        <f>IF(OR(A86=Inputs!$B$15,ROUNDUP((A86+1)/Inputs!$B$14,0)&gt;B86),SUMIF($B$4:B86,B86,$J$4:J86),0)</f>
        <v>0</v>
      </c>
      <c r="Q86" s="149">
        <f>IF(OR(A86=Inputs!$B$15,ROUNDUP((A86+1)/Inputs!$B$14,0)&gt;B86),SUMIF($B$4:B86,B86,$K$4:K86),0)</f>
        <v>0</v>
      </c>
      <c r="R86" s="163" t="str">
        <f t="shared" si="20"/>
        <v>Vigente al día</v>
      </c>
      <c r="S86" s="18"/>
      <c r="T86" s="18"/>
      <c r="U86" s="18"/>
      <c r="V86" s="18"/>
      <c r="W86" s="18"/>
      <c r="X86" s="18"/>
      <c r="Y86" s="18"/>
      <c r="Z86" s="18"/>
      <c r="AA86" s="18"/>
      <c r="AB86" s="18"/>
    </row>
    <row r="87" spans="1:28" ht="18" customHeight="1">
      <c r="A87" s="157">
        <v>84</v>
      </c>
      <c r="B87" s="77">
        <f>ROUNDUP(A87/Inputs!$B$14,0)</f>
        <v>20</v>
      </c>
      <c r="C87" s="160" t="str">
        <f>IF(A87=Inputs!$B$15,"Pago final","Pago normal")</f>
        <v>Pago normal</v>
      </c>
      <c r="D87" s="149">
        <f t="shared" si="14"/>
        <v>325116.72070323757</v>
      </c>
      <c r="E87" s="150">
        <f>Inputs!$B$17</f>
        <v>1.2143295980573843E-2</v>
      </c>
      <c r="F87" s="149">
        <f t="shared" si="15"/>
        <v>3947.9885677329735</v>
      </c>
      <c r="G87" s="149">
        <f>MIN(Inputs!$B$20,D87+F87)</f>
        <v>111014.82187676849</v>
      </c>
      <c r="H87" s="149">
        <f t="shared" si="16"/>
        <v>107066.83330903552</v>
      </c>
      <c r="I87" s="149">
        <f>Inputs!$B$28</f>
        <v>48643.172307692315</v>
      </c>
      <c r="J87" s="149">
        <f>Inputs!$B$29</f>
        <v>10984.615384615387</v>
      </c>
      <c r="K87" s="149">
        <f>Inputs!$B$30</f>
        <v>3406.3846153846157</v>
      </c>
      <c r="L87" s="149">
        <f t="shared" si="17"/>
        <v>63034.172307692315</v>
      </c>
      <c r="M87" s="149">
        <f t="shared" si="18"/>
        <v>174048.99418446081</v>
      </c>
      <c r="N87" s="149">
        <f t="shared" si="19"/>
        <v>218049.88739420206</v>
      </c>
      <c r="O87" s="149">
        <f>IF(OR(A87=Inputs!$B$15,ROUNDUP((A87+1)/Inputs!$B$14,0)&gt;B87),SUMIF($B$4:B87,B87,$I$4:I87),0)</f>
        <v>0</v>
      </c>
      <c r="P87" s="149">
        <f>IF(OR(A87=Inputs!$B$15,ROUNDUP((A87+1)/Inputs!$B$14,0)&gt;B87),SUMIF($B$4:B87,B87,$J$4:J87),0)</f>
        <v>0</v>
      </c>
      <c r="Q87" s="149">
        <f>IF(OR(A87=Inputs!$B$15,ROUNDUP((A87+1)/Inputs!$B$14,0)&gt;B87),SUMIF($B$4:B87,B87,$K$4:K87),0)</f>
        <v>0</v>
      </c>
      <c r="R87" s="163" t="str">
        <f t="shared" si="20"/>
        <v>Vigente al día</v>
      </c>
      <c r="S87" s="18"/>
      <c r="T87" s="18"/>
      <c r="U87" s="18"/>
      <c r="V87" s="18"/>
      <c r="W87" s="18"/>
      <c r="X87" s="18"/>
      <c r="Y87" s="18"/>
      <c r="Z87" s="18"/>
      <c r="AA87" s="18"/>
      <c r="AB87" s="18"/>
    </row>
    <row r="88" spans="1:28" ht="18" customHeight="1">
      <c r="A88" s="157">
        <v>85</v>
      </c>
      <c r="B88" s="77">
        <f>ROUNDUP(A88/Inputs!$B$14,0)</f>
        <v>20</v>
      </c>
      <c r="C88" s="160" t="str">
        <f>IF(A88=Inputs!$B$15,"Pago final","Pago normal")</f>
        <v>Pago normal</v>
      </c>
      <c r="D88" s="149">
        <f t="shared" si="14"/>
        <v>218049.88739420206</v>
      </c>
      <c r="E88" s="150">
        <f>Inputs!$B$17</f>
        <v>1.2143295980573843E-2</v>
      </c>
      <c r="F88" s="149">
        <f t="shared" si="15"/>
        <v>2647.8443211585927</v>
      </c>
      <c r="G88" s="149">
        <f>MIN(Inputs!$B$20,D88+F88)</f>
        <v>111014.82187676849</v>
      </c>
      <c r="H88" s="149">
        <f t="shared" si="16"/>
        <v>108366.97755560989</v>
      </c>
      <c r="I88" s="149">
        <f>Inputs!$B$28</f>
        <v>48643.172307692315</v>
      </c>
      <c r="J88" s="149">
        <f>Inputs!$B$29</f>
        <v>10984.615384615387</v>
      </c>
      <c r="K88" s="149">
        <f>Inputs!$B$30</f>
        <v>3406.3846153846157</v>
      </c>
      <c r="L88" s="149">
        <f t="shared" si="17"/>
        <v>63034.172307692315</v>
      </c>
      <c r="M88" s="149">
        <f t="shared" si="18"/>
        <v>174048.99418446081</v>
      </c>
      <c r="N88" s="149">
        <f t="shared" si="19"/>
        <v>109682.90983859217</v>
      </c>
      <c r="O88" s="149">
        <f>IF(OR(A88=Inputs!$B$15,ROUNDUP((A88+1)/Inputs!$B$14,0)&gt;B88),SUMIF($B$4:B88,B88,$I$4:I88),0)</f>
        <v>0</v>
      </c>
      <c r="P88" s="149">
        <f>IF(OR(A88=Inputs!$B$15,ROUNDUP((A88+1)/Inputs!$B$14,0)&gt;B88),SUMIF($B$4:B88,B88,$J$4:J88),0)</f>
        <v>0</v>
      </c>
      <c r="Q88" s="149">
        <f>IF(OR(A88=Inputs!$B$15,ROUNDUP((A88+1)/Inputs!$B$14,0)&gt;B88),SUMIF($B$4:B88,B88,$K$4:K88),0)</f>
        <v>0</v>
      </c>
      <c r="R88" s="163" t="str">
        <f t="shared" si="20"/>
        <v>Vigente al día</v>
      </c>
      <c r="S88" s="18"/>
      <c r="T88" s="18"/>
      <c r="U88" s="18"/>
      <c r="V88" s="18"/>
      <c r="W88" s="18"/>
      <c r="X88" s="18"/>
      <c r="Y88" s="18"/>
      <c r="Z88" s="18"/>
      <c r="AA88" s="18"/>
      <c r="AB88" s="18"/>
    </row>
    <row r="89" spans="1:28" ht="18" customHeight="1">
      <c r="A89" s="158">
        <v>86</v>
      </c>
      <c r="B89" s="78">
        <f>ROUNDUP(A89/Inputs!$B$14,0)</f>
        <v>20</v>
      </c>
      <c r="C89" s="161" t="str">
        <f>IF(A89=Inputs!$B$15,"Pago final","Pago normal")</f>
        <v>Pago final</v>
      </c>
      <c r="D89" s="151">
        <f t="shared" si="14"/>
        <v>109682.90983859217</v>
      </c>
      <c r="E89" s="152">
        <f>Inputs!$B$17</f>
        <v>1.2143295980573843E-2</v>
      </c>
      <c r="F89" s="151">
        <f t="shared" si="15"/>
        <v>1331.9120381806194</v>
      </c>
      <c r="G89" s="151">
        <f>MIN(Inputs!$B$20,D89+F89)</f>
        <v>111014.82187676849</v>
      </c>
      <c r="H89" s="151">
        <f t="shared" si="16"/>
        <v>109682.90983858788</v>
      </c>
      <c r="I89" s="151">
        <f>Inputs!$B$28</f>
        <v>48643.172307692315</v>
      </c>
      <c r="J89" s="151">
        <f>Inputs!$B$29</f>
        <v>10984.615384615387</v>
      </c>
      <c r="K89" s="151">
        <f>Inputs!$B$30</f>
        <v>3406.3846153846157</v>
      </c>
      <c r="L89" s="151">
        <f t="shared" si="17"/>
        <v>63034.172307692315</v>
      </c>
      <c r="M89" s="151">
        <f t="shared" si="18"/>
        <v>174048.99418446081</v>
      </c>
      <c r="N89" s="151">
        <f t="shared" si="19"/>
        <v>4.2928149923682213E-9</v>
      </c>
      <c r="O89" s="151">
        <f>IF(OR(A89=Inputs!$B$15,ROUNDUP((A89+1)/Inputs!$B$14,0)&gt;B89),SUMIF($B$4:B89,B89,$I$4:I89),0)</f>
        <v>194572.68923076926</v>
      </c>
      <c r="P89" s="151">
        <f>IF(OR(A89=Inputs!$B$15,ROUNDUP((A89+1)/Inputs!$B$14,0)&gt;B89),SUMIF($B$4:B89,B89,$J$4:J89),0)</f>
        <v>43938.461538461546</v>
      </c>
      <c r="Q89" s="151">
        <f>IF(OR(A89=Inputs!$B$15,ROUNDUP((A89+1)/Inputs!$B$14,0)&gt;B89),SUMIF($B$4:B89,B89,$K$4:K89),0)</f>
        <v>13625.538461538463</v>
      </c>
      <c r="R89" s="164" t="str">
        <f t="shared" si="20"/>
        <v>Amortizado</v>
      </c>
      <c r="S89" s="18"/>
      <c r="T89" s="18"/>
      <c r="U89" s="18"/>
      <c r="V89" s="18"/>
      <c r="W89" s="18"/>
      <c r="X89" s="18"/>
      <c r="Y89" s="18"/>
      <c r="Z89" s="18"/>
      <c r="AA89" s="18"/>
      <c r="AB89" s="18"/>
    </row>
    <row r="90" spans="1:28" ht="18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</row>
    <row r="91" spans="1:28" ht="18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</row>
    <row r="92" spans="1:28" ht="18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</row>
    <row r="93" spans="1:28" ht="18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</row>
    <row r="94" spans="1:28" ht="18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</row>
  </sheetData>
  <conditionalFormatting sqref="A4:R89">
    <cfRule type="expression" dxfId="80" priority="1">
      <formula>AND($C4&lt;&gt;"",$C4&lt;&gt;"Pago normal")</formula>
    </cfRule>
    <cfRule type="expression" dxfId="79" priority="2">
      <formula>AND(ISNUMBER($A4),MOD($A4,2)=0)</formula>
    </cfRule>
  </conditionalFormatting>
  <conditionalFormatting sqref="R4:R89">
    <cfRule type="containsText" dxfId="78" priority="3" operator="containsText" text="mora">
      <formula>NOT(ISERROR(SEARCH("mora",R4)))</formula>
    </cfRule>
    <cfRule type="containsText" dxfId="77" priority="4" operator="containsText" text="Vigente">
      <formula>NOT(ISERROR(SEARCH("Vigente",R4)))</formula>
    </cfRule>
    <cfRule type="containsText" dxfId="76" priority="5" operator="containsText" text="Amortiz">
      <formula>NOT(ISERROR(SEARCH("Amortiz",R4)))</formula>
    </cfRule>
    <cfRule type="containsText" dxfId="75" priority="6" operator="containsText" text="Cerrado">
      <formula>NOT(ISERROR(SEARCH("Cerrado",R4)))</formula>
    </cfRule>
    <cfRule type="containsText" dxfId="74" priority="7" operator="containsText" text="Cancel">
      <formula>NOT(ISERROR(SEARCH("Cancel",R4)))</formula>
    </cfRule>
  </conditionalFormatting>
  <conditionalFormatting sqref="Y17">
    <cfRule type="expression" dxfId="73" priority="8">
      <formula>ABS(Y17)&lt;0.5</formula>
    </cfRule>
    <cfRule type="expression" dxfId="72" priority="9">
      <formula>ABS(Y17)&gt;=0.5</formula>
    </cfRule>
  </conditionalFormatting>
  <hyperlinks>
    <hyperlink ref="V20" location="'Casos'!A1" tooltip="Abrir Casos" display="←  Volver a Casos" xr:uid="{B82377FA-D7F8-44EF-9869-B846B1E2A646}"/>
    <hyperlink ref="V21" location="'Inputs'!A1" tooltip="Abrir Inputs" display="←  Ir a Inputs (parámetros)" xr:uid="{553A7253-BB5C-40B7-BA8E-AA0407E9AFE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4"/>
  <sheetViews>
    <sheetView showGridLines="0" workbookViewId="0">
      <pane ySplit="2" topLeftCell="A3" activePane="bottomLeft" state="frozen"/>
      <selection pane="bottomLeft" activeCell="E14" sqref="E14"/>
    </sheetView>
  </sheetViews>
  <sheetFormatPr baseColWidth="10" defaultColWidth="8.796875" defaultRowHeight="15" customHeight="1"/>
  <cols>
    <col min="1" max="2" width="9.69921875" style="6" customWidth="1"/>
    <col min="3" max="3" width="25" style="6" customWidth="1"/>
    <col min="4" max="17" width="16.69921875" style="6" customWidth="1"/>
    <col min="18" max="18" width="20" style="6" customWidth="1"/>
    <col min="19" max="19" width="3" style="6" customWidth="1"/>
    <col min="20" max="20" width="38.296875" style="6" customWidth="1"/>
    <col min="21" max="22" width="20" style="6" customWidth="1"/>
    <col min="23" max="23" width="55" style="6" customWidth="1"/>
    <col min="24" max="26" width="10.69921875" style="6" customWidth="1"/>
    <col min="27" max="16384" width="8.796875" style="6"/>
  </cols>
  <sheetData>
    <row r="1" spans="1:26" ht="34.049999999999997" customHeight="1">
      <c r="A1" s="148" t="s">
        <v>340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8"/>
      <c r="T1" s="115" t="s">
        <v>336</v>
      </c>
      <c r="U1" s="23"/>
      <c r="V1" s="23"/>
      <c r="W1" s="23"/>
      <c r="X1" s="18"/>
      <c r="Y1" s="18"/>
      <c r="Z1" s="18"/>
    </row>
    <row r="2" spans="1:26" ht="34.049999999999997" customHeight="1">
      <c r="A2" s="140" t="s">
        <v>76</v>
      </c>
      <c r="B2" s="141" t="s">
        <v>77</v>
      </c>
      <c r="C2" s="141" t="s">
        <v>78</v>
      </c>
      <c r="D2" s="141" t="s">
        <v>79</v>
      </c>
      <c r="E2" s="141" t="s">
        <v>29</v>
      </c>
      <c r="F2" s="141" t="s">
        <v>111</v>
      </c>
      <c r="G2" s="141" t="s">
        <v>73</v>
      </c>
      <c r="H2" s="141" t="s">
        <v>112</v>
      </c>
      <c r="I2" s="141" t="s">
        <v>82</v>
      </c>
      <c r="J2" s="141" t="s">
        <v>83</v>
      </c>
      <c r="K2" s="141" t="s">
        <v>84</v>
      </c>
      <c r="L2" s="141" t="s">
        <v>9</v>
      </c>
      <c r="M2" s="141" t="s">
        <v>113</v>
      </c>
      <c r="N2" s="141" t="s">
        <v>86</v>
      </c>
      <c r="O2" s="141" t="s">
        <v>87</v>
      </c>
      <c r="P2" s="141" t="s">
        <v>88</v>
      </c>
      <c r="Q2" s="141" t="s">
        <v>89</v>
      </c>
      <c r="R2" s="142" t="s">
        <v>90</v>
      </c>
      <c r="S2" s="18"/>
      <c r="T2" s="110" t="s">
        <v>110</v>
      </c>
      <c r="U2" s="180">
        <f>INDEX(G4:G89,Inputs!$C$39)</f>
        <v>109308.38403873703</v>
      </c>
      <c r="V2" s="146"/>
      <c r="W2" s="146"/>
      <c r="X2" s="18"/>
      <c r="Y2" s="18"/>
      <c r="Z2" s="18"/>
    </row>
    <row r="3" spans="1:26" ht="18" customHeight="1">
      <c r="A3" s="155">
        <v>0</v>
      </c>
      <c r="B3" s="156">
        <v>0</v>
      </c>
      <c r="C3" s="159" t="s">
        <v>92</v>
      </c>
      <c r="D3" s="153">
        <f>Inputs!$B$3</f>
        <v>5904400</v>
      </c>
      <c r="E3" s="154">
        <v>0</v>
      </c>
      <c r="F3" s="153">
        <v>0</v>
      </c>
      <c r="G3" s="153">
        <v>0</v>
      </c>
      <c r="H3" s="153">
        <v>0</v>
      </c>
      <c r="I3" s="153">
        <v>0</v>
      </c>
      <c r="J3" s="153">
        <v>0</v>
      </c>
      <c r="K3" s="153">
        <v>0</v>
      </c>
      <c r="L3" s="153">
        <v>0</v>
      </c>
      <c r="M3" s="153">
        <v>0</v>
      </c>
      <c r="N3" s="153">
        <f>D3</f>
        <v>5904400</v>
      </c>
      <c r="O3" s="153">
        <v>0</v>
      </c>
      <c r="P3" s="153">
        <v>0</v>
      </c>
      <c r="Q3" s="153">
        <v>0</v>
      </c>
      <c r="R3" s="162" t="s">
        <v>93</v>
      </c>
      <c r="S3" s="18"/>
      <c r="T3" s="111" t="s">
        <v>91</v>
      </c>
      <c r="U3" s="167">
        <f>SUM(F4:F89)</f>
        <v>3569497.8543667374</v>
      </c>
      <c r="V3" s="146"/>
      <c r="W3" s="146"/>
      <c r="X3" s="18"/>
      <c r="Y3" s="18"/>
      <c r="Z3" s="18"/>
    </row>
    <row r="4" spans="1:26" ht="18" customHeight="1">
      <c r="A4" s="157">
        <v>1</v>
      </c>
      <c r="B4" s="77">
        <f>ROUNDUP(A4/Inputs!$B$14,0)</f>
        <v>1</v>
      </c>
      <c r="C4" s="160" t="str">
        <f>IF(A4=Inputs!$C$39,"Cambio de tasa",IF(A4=Inputs!$B$15,"Pago final","Pago normal"))</f>
        <v>Pago normal</v>
      </c>
      <c r="D4" s="149">
        <f t="shared" ref="D4:D35" si="0">N3</f>
        <v>5904400</v>
      </c>
      <c r="E4" s="150">
        <f>IF(A4&lt;Inputs!$C$39,Inputs!$B$17,Inputs!$C$38)</f>
        <v>1.2143295980573843E-2</v>
      </c>
      <c r="F4" s="149">
        <f t="shared" ref="F4:F35" si="1">D4*E4</f>
        <v>71698.876787700196</v>
      </c>
      <c r="G4" s="149">
        <f>IF(A4&lt;Inputs!$C$39,Inputs!$B$20,IF(A4=Inputs!$C$39,PMT(E4,Inputs!$B$15-A4+1,-D4),G3))</f>
        <v>111014.82187676849</v>
      </c>
      <c r="H4" s="149">
        <f t="shared" ref="H4:H35" si="2">MIN(D4,G4-F4)</f>
        <v>39315.945089068293</v>
      </c>
      <c r="I4" s="149">
        <f>Inputs!$B$28</f>
        <v>48643.172307692315</v>
      </c>
      <c r="J4" s="149">
        <f>Inputs!$B$29</f>
        <v>10984.615384615387</v>
      </c>
      <c r="K4" s="149">
        <f>Inputs!$B$30</f>
        <v>3406.3846153846157</v>
      </c>
      <c r="L4" s="149">
        <f>SUM(I4:K4)</f>
        <v>63034.172307692315</v>
      </c>
      <c r="M4" s="149">
        <f t="shared" ref="M4:M35" si="3">G4+L4</f>
        <v>174048.99418446081</v>
      </c>
      <c r="N4" s="149">
        <f t="shared" ref="N4:N35" si="4">MAX(0,D4-H4)</f>
        <v>5865084.0549109317</v>
      </c>
      <c r="O4" s="149">
        <f>IF(OR($B5="",ROUNDUP(($A4+1)/Inputs!$B$14,0)&gt;$B4),SUMIF($B$4:$B4,$B4,I$4:I4),0)</f>
        <v>0</v>
      </c>
      <c r="P4" s="149">
        <f>IF(OR($B5="",ROUNDUP(($A4+1)/Inputs!$B$14,0)&gt;$B4),SUMIF($B$4:$B4,$B4,J$4:J4),0)</f>
        <v>0</v>
      </c>
      <c r="Q4" s="149">
        <f>IF(OR($B5="",ROUNDUP(($A4+1)/Inputs!$B$14,0)&gt;$B4),SUMIF($B$4:$B4,$B4,K$4:K4),0)</f>
        <v>0</v>
      </c>
      <c r="R4" s="163" t="str">
        <f t="shared" ref="R4:R35" si="5">IF(N4&lt;=0.005,"Amortizado","Vigente al día")</f>
        <v>Vigente al día</v>
      </c>
      <c r="S4" s="18"/>
      <c r="T4" s="111" t="s">
        <v>114</v>
      </c>
      <c r="U4" s="167">
        <f>SUM(Caso1_Normal!F4:F89)-SUM(F4:F89)</f>
        <v>73376.827035355382</v>
      </c>
      <c r="V4" s="146"/>
      <c r="W4" s="146"/>
      <c r="X4" s="18"/>
      <c r="Y4" s="18"/>
      <c r="Z4" s="18"/>
    </row>
    <row r="5" spans="1:26" ht="18" customHeight="1">
      <c r="A5" s="157">
        <v>2</v>
      </c>
      <c r="B5" s="77">
        <f>ROUNDUP(A5/Inputs!$B$14,0)</f>
        <v>1</v>
      </c>
      <c r="C5" s="160" t="str">
        <f>IF(A5=Inputs!$C$39,"Cambio de tasa",IF(A5=Inputs!$B$15,"Pago final","Pago normal"))</f>
        <v>Pago normal</v>
      </c>
      <c r="D5" s="149">
        <f t="shared" si="0"/>
        <v>5865084.0549109317</v>
      </c>
      <c r="E5" s="150">
        <f>IF(A5&lt;Inputs!$C$39,Inputs!$B$17,Inputs!$C$38)</f>
        <v>1.2143295980573843E-2</v>
      </c>
      <c r="F5" s="149">
        <f t="shared" si="1"/>
        <v>71221.451629727657</v>
      </c>
      <c r="G5" s="149">
        <f>IF(A5&lt;Inputs!$C$39,Inputs!$B$20,IF(A5=Inputs!$C$39,PMT(E5,Inputs!$B$15-A5+1,-D5),G4))</f>
        <v>111014.82187676849</v>
      </c>
      <c r="H5" s="149">
        <f t="shared" si="2"/>
        <v>39793.370247040832</v>
      </c>
      <c r="I5" s="149">
        <f>Inputs!$B$28</f>
        <v>48643.172307692315</v>
      </c>
      <c r="J5" s="149">
        <f>Inputs!$B$29</f>
        <v>10984.615384615387</v>
      </c>
      <c r="K5" s="149">
        <f>Inputs!$B$30</f>
        <v>3406.3846153846157</v>
      </c>
      <c r="L5" s="149">
        <f t="shared" ref="L5:L68" si="6">SUM(I5:K5)</f>
        <v>63034.172307692315</v>
      </c>
      <c r="M5" s="149">
        <f t="shared" si="3"/>
        <v>174048.99418446081</v>
      </c>
      <c r="N5" s="149">
        <f t="shared" si="4"/>
        <v>5825290.6846638909</v>
      </c>
      <c r="O5" s="149">
        <f>IF(OR($B6="",ROUNDUP(($A5+1)/Inputs!$B$14,0)&gt;$B5),SUMIF($B$4:$B5,$B5,I$4:I5),0)</f>
        <v>0</v>
      </c>
      <c r="P5" s="149">
        <f>IF(OR($B6="",ROUNDUP(($A5+1)/Inputs!$B$14,0)&gt;$B5),SUMIF($B$4:$B5,$B5,J$4:J5),0)</f>
        <v>0</v>
      </c>
      <c r="Q5" s="149">
        <f>IF(OR($B6="",ROUNDUP(($A5+1)/Inputs!$B$14,0)&gt;$B5),SUMIF($B$4:$B5,$B5,K$4:K5),0)</f>
        <v>0</v>
      </c>
      <c r="R5" s="163" t="str">
        <f t="shared" si="5"/>
        <v>Vigente al día</v>
      </c>
      <c r="S5" s="18"/>
      <c r="T5" s="113" t="s">
        <v>86</v>
      </c>
      <c r="U5" s="168">
        <f>N89</f>
        <v>1.1496013030409813E-9</v>
      </c>
      <c r="V5" s="146"/>
      <c r="W5" s="146"/>
      <c r="X5" s="18"/>
      <c r="Y5" s="18"/>
      <c r="Z5" s="18"/>
    </row>
    <row r="6" spans="1:26" ht="18" customHeight="1">
      <c r="A6" s="157">
        <v>3</v>
      </c>
      <c r="B6" s="77">
        <f>ROUNDUP(A6/Inputs!$B$14,0)</f>
        <v>1</v>
      </c>
      <c r="C6" s="160" t="str">
        <f>IF(A6=Inputs!$C$39,"Cambio de tasa",IF(A6=Inputs!$B$15,"Pago final","Pago normal"))</f>
        <v>Pago normal</v>
      </c>
      <c r="D6" s="149">
        <f t="shared" si="0"/>
        <v>5825290.6846638909</v>
      </c>
      <c r="E6" s="150">
        <f>IF(A6&lt;Inputs!$C$39,Inputs!$B$17,Inputs!$C$38)</f>
        <v>1.2143295980573843E-2</v>
      </c>
      <c r="F6" s="149">
        <f t="shared" si="1"/>
        <v>70738.228956753272</v>
      </c>
      <c r="G6" s="149">
        <f>IF(A6&lt;Inputs!$C$39,Inputs!$B$20,IF(A6=Inputs!$C$39,PMT(E6,Inputs!$B$15-A6+1,-D6),G5))</f>
        <v>111014.82187676849</v>
      </c>
      <c r="H6" s="149">
        <f t="shared" si="2"/>
        <v>40276.592920015217</v>
      </c>
      <c r="I6" s="149">
        <f>Inputs!$B$28</f>
        <v>48643.172307692315</v>
      </c>
      <c r="J6" s="149">
        <f>Inputs!$B$29</f>
        <v>10984.615384615387</v>
      </c>
      <c r="K6" s="149">
        <f>Inputs!$B$30</f>
        <v>3406.3846153846157</v>
      </c>
      <c r="L6" s="149">
        <f t="shared" si="6"/>
        <v>63034.172307692315</v>
      </c>
      <c r="M6" s="149">
        <f t="shared" si="3"/>
        <v>174048.99418446081</v>
      </c>
      <c r="N6" s="149">
        <f t="shared" si="4"/>
        <v>5785014.0917438753</v>
      </c>
      <c r="O6" s="149">
        <f>IF(OR($B7="",ROUNDUP(($A6+1)/Inputs!$B$14,0)&gt;$B6),SUMIF($B$4:$B6,$B6,I$4:I6),0)</f>
        <v>0</v>
      </c>
      <c r="P6" s="149">
        <f>IF(OR($B7="",ROUNDUP(($A6+1)/Inputs!$B$14,0)&gt;$B6),SUMIF($B$4:$B6,$B6,J$4:J6),0)</f>
        <v>0</v>
      </c>
      <c r="Q6" s="149">
        <f>IF(OR($B7="",ROUNDUP(($A6+1)/Inputs!$B$14,0)&gt;$B6),SUMIF($B$4:$B6,$B6,K$4:K6),0)</f>
        <v>0</v>
      </c>
      <c r="R6" s="163" t="str">
        <f t="shared" si="5"/>
        <v>Vigente al día</v>
      </c>
      <c r="S6" s="18"/>
      <c r="T6" s="18"/>
      <c r="U6" s="18"/>
      <c r="V6" s="18"/>
      <c r="W6" s="18"/>
      <c r="X6" s="18"/>
      <c r="Y6" s="18"/>
      <c r="Z6" s="18"/>
    </row>
    <row r="7" spans="1:26" ht="25.95" customHeight="1">
      <c r="A7" s="157">
        <v>4</v>
      </c>
      <c r="B7" s="77">
        <f>ROUNDUP(A7/Inputs!$B$14,0)</f>
        <v>1</v>
      </c>
      <c r="C7" s="160" t="str">
        <f>IF(A7=Inputs!$C$39,"Cambio de tasa",IF(A7=Inputs!$B$15,"Pago final","Pago normal"))</f>
        <v>Pago normal</v>
      </c>
      <c r="D7" s="149">
        <f t="shared" si="0"/>
        <v>5785014.0917438753</v>
      </c>
      <c r="E7" s="150">
        <f>IF(A7&lt;Inputs!$C$39,Inputs!$B$17,Inputs!$C$38)</f>
        <v>1.2143295980573843E-2</v>
      </c>
      <c r="F7" s="149">
        <f t="shared" si="1"/>
        <v>70249.138367836436</v>
      </c>
      <c r="G7" s="149">
        <f>IF(A7&lt;Inputs!$C$39,Inputs!$B$20,IF(A7=Inputs!$C$39,PMT(E7,Inputs!$B$15-A7+1,-D7),G6))</f>
        <v>111014.82187676849</v>
      </c>
      <c r="H7" s="149">
        <f t="shared" si="2"/>
        <v>40765.683508932052</v>
      </c>
      <c r="I7" s="149">
        <f>Inputs!$B$28</f>
        <v>48643.172307692315</v>
      </c>
      <c r="J7" s="149">
        <f>Inputs!$B$29</f>
        <v>10984.615384615387</v>
      </c>
      <c r="K7" s="149">
        <f>Inputs!$B$30</f>
        <v>3406.3846153846157</v>
      </c>
      <c r="L7" s="149">
        <f t="shared" si="6"/>
        <v>63034.172307692315</v>
      </c>
      <c r="M7" s="149">
        <f t="shared" si="3"/>
        <v>174048.99418446081</v>
      </c>
      <c r="N7" s="149">
        <f t="shared" si="4"/>
        <v>5744248.4082349436</v>
      </c>
      <c r="O7" s="149">
        <f>IF(OR($B8="",ROUNDUP(($A7+1)/Inputs!$B$14,0)&gt;$B7),SUMIF($B$4:$B7,$B7,I$4:I7),0)</f>
        <v>194572.68923076926</v>
      </c>
      <c r="P7" s="149">
        <f>IF(OR($B8="",ROUNDUP(($A7+1)/Inputs!$B$14,0)&gt;$B7),SUMIF($B$4:$B7,$B7,J$4:J7),0)</f>
        <v>43938.461538461546</v>
      </c>
      <c r="Q7" s="149">
        <f>IF(OR($B8="",ROUNDUP(($A7+1)/Inputs!$B$14,0)&gt;$B7),SUMIF($B$4:$B7,$B7,K$4:K7),0)</f>
        <v>13625.538461538463</v>
      </c>
      <c r="R7" s="163" t="str">
        <f t="shared" si="5"/>
        <v>Vigente al día</v>
      </c>
      <c r="S7" s="18"/>
      <c r="T7" s="115" t="s">
        <v>95</v>
      </c>
      <c r="U7" s="23"/>
      <c r="V7" s="23"/>
      <c r="W7" s="23"/>
      <c r="X7" s="18"/>
      <c r="Y7" s="18"/>
      <c r="Z7" s="18"/>
    </row>
    <row r="8" spans="1:26" ht="18" customHeight="1">
      <c r="A8" s="157">
        <v>5</v>
      </c>
      <c r="B8" s="77">
        <f>ROUNDUP(A8/Inputs!$B$14,0)</f>
        <v>2</v>
      </c>
      <c r="C8" s="160" t="str">
        <f>IF(A8=Inputs!$C$39,"Cambio de tasa",IF(A8=Inputs!$B$15,"Pago final","Pago normal"))</f>
        <v>Pago normal</v>
      </c>
      <c r="D8" s="149">
        <f t="shared" si="0"/>
        <v>5744248.4082349436</v>
      </c>
      <c r="E8" s="150">
        <f>IF(A8&lt;Inputs!$C$39,Inputs!$B$17,Inputs!$C$38)</f>
        <v>1.2143295980573843E-2</v>
      </c>
      <c r="F8" s="149">
        <f t="shared" si="1"/>
        <v>69754.108607137081</v>
      </c>
      <c r="G8" s="149">
        <f>IF(A8&lt;Inputs!$C$39,Inputs!$B$20,IF(A8=Inputs!$C$39,PMT(E8,Inputs!$B$15-A8+1,-D8),G7))</f>
        <v>111014.82187676849</v>
      </c>
      <c r="H8" s="149">
        <f t="shared" si="2"/>
        <v>41260.713269631407</v>
      </c>
      <c r="I8" s="149">
        <f>Inputs!$B$28</f>
        <v>48643.172307692315</v>
      </c>
      <c r="J8" s="149">
        <f>Inputs!$B$29</f>
        <v>10984.615384615387</v>
      </c>
      <c r="K8" s="149">
        <f>Inputs!$B$30</f>
        <v>3406.3846153846157</v>
      </c>
      <c r="L8" s="149">
        <f t="shared" si="6"/>
        <v>63034.172307692315</v>
      </c>
      <c r="M8" s="149">
        <f t="shared" si="3"/>
        <v>174048.99418446081</v>
      </c>
      <c r="N8" s="149">
        <f t="shared" si="4"/>
        <v>5702987.6949653123</v>
      </c>
      <c r="O8" s="149">
        <f>IF(OR($B9="",ROUNDUP(($A8+1)/Inputs!$B$14,0)&gt;$B8),SUMIF($B$4:$B8,$B8,I$4:I8),0)</f>
        <v>0</v>
      </c>
      <c r="P8" s="149">
        <f>IF(OR($B9="",ROUNDUP(($A8+1)/Inputs!$B$14,0)&gt;$B8),SUMIF($B$4:$B8,$B8,J$4:J8),0)</f>
        <v>0</v>
      </c>
      <c r="Q8" s="149">
        <f>IF(OR($B9="",ROUNDUP(($A8+1)/Inputs!$B$14,0)&gt;$B8),SUMIF($B$4:$B8,$B8,K$4:K8),0)</f>
        <v>0</v>
      </c>
      <c r="R8" s="163" t="str">
        <f t="shared" si="5"/>
        <v>Vigente al día</v>
      </c>
      <c r="S8" s="18"/>
      <c r="T8" s="122" t="s">
        <v>96</v>
      </c>
      <c r="U8" s="122" t="s">
        <v>97</v>
      </c>
      <c r="V8" s="122" t="s">
        <v>98</v>
      </c>
      <c r="W8" s="122" t="s">
        <v>99</v>
      </c>
      <c r="X8" s="18"/>
      <c r="Y8" s="18"/>
      <c r="Z8" s="18"/>
    </row>
    <row r="9" spans="1:26" ht="18" customHeight="1">
      <c r="A9" s="157">
        <v>6</v>
      </c>
      <c r="B9" s="77">
        <f>ROUNDUP(A9/Inputs!$B$14,0)</f>
        <v>2</v>
      </c>
      <c r="C9" s="160" t="str">
        <f>IF(A9=Inputs!$C$39,"Cambio de tasa",IF(A9=Inputs!$B$15,"Pago final","Pago normal"))</f>
        <v>Pago normal</v>
      </c>
      <c r="D9" s="149">
        <f t="shared" si="0"/>
        <v>5702987.6949653123</v>
      </c>
      <c r="E9" s="150">
        <f>IF(A9&lt;Inputs!$C$39,Inputs!$B$17,Inputs!$C$38)</f>
        <v>1.2143295980573843E-2</v>
      </c>
      <c r="F9" s="149">
        <f t="shared" si="1"/>
        <v>69253.067553534362</v>
      </c>
      <c r="G9" s="149">
        <f>IF(A9&lt;Inputs!$C$39,Inputs!$B$20,IF(A9=Inputs!$C$39,PMT(E9,Inputs!$B$15-A9+1,-D9),G8))</f>
        <v>111014.82187676849</v>
      </c>
      <c r="H9" s="149">
        <f t="shared" si="2"/>
        <v>41761.754323234127</v>
      </c>
      <c r="I9" s="149">
        <f>Inputs!$B$28</f>
        <v>48643.172307692315</v>
      </c>
      <c r="J9" s="149">
        <f>Inputs!$B$29</f>
        <v>10984.615384615387</v>
      </c>
      <c r="K9" s="149">
        <f>Inputs!$B$30</f>
        <v>3406.3846153846157</v>
      </c>
      <c r="L9" s="149">
        <f t="shared" si="6"/>
        <v>63034.172307692315</v>
      </c>
      <c r="M9" s="149">
        <f t="shared" si="3"/>
        <v>174048.99418446081</v>
      </c>
      <c r="N9" s="149">
        <f t="shared" si="4"/>
        <v>5661225.9406420784</v>
      </c>
      <c r="O9" s="149">
        <f>IF(OR($B10="",ROUNDUP(($A9+1)/Inputs!$B$14,0)&gt;$B9),SUMIF($B$4:$B9,$B9,I$4:I9),0)</f>
        <v>0</v>
      </c>
      <c r="P9" s="149">
        <f>IF(OR($B10="",ROUNDUP(($A9+1)/Inputs!$B$14,0)&gt;$B9),SUMIF($B$4:$B9,$B9,J$4:J9),0)</f>
        <v>0</v>
      </c>
      <c r="Q9" s="149">
        <f>IF(OR($B10="",ROUNDUP(($A9+1)/Inputs!$B$14,0)&gt;$B9),SUMIF($B$4:$B9,$B9,K$4:K9),0)</f>
        <v>0</v>
      </c>
      <c r="R9" s="163" t="str">
        <f t="shared" si="5"/>
        <v>Vigente al día</v>
      </c>
      <c r="S9" s="18"/>
      <c r="T9" s="181" t="s">
        <v>115</v>
      </c>
      <c r="U9" s="182"/>
      <c r="V9" s="182"/>
      <c r="W9" s="183" t="s">
        <v>116</v>
      </c>
      <c r="X9" s="18"/>
      <c r="Y9" s="18"/>
      <c r="Z9" s="18"/>
    </row>
    <row r="10" spans="1:26" ht="18" customHeight="1">
      <c r="A10" s="157">
        <v>7</v>
      </c>
      <c r="B10" s="77">
        <f>ROUNDUP(A10/Inputs!$B$14,0)</f>
        <v>2</v>
      </c>
      <c r="C10" s="160" t="str">
        <f>IF(A10=Inputs!$C$39,"Cambio de tasa",IF(A10=Inputs!$B$15,"Pago final","Pago normal"))</f>
        <v>Pago normal</v>
      </c>
      <c r="D10" s="149">
        <f t="shared" si="0"/>
        <v>5661225.9406420784</v>
      </c>
      <c r="E10" s="150">
        <f>IF(A10&lt;Inputs!$C$39,Inputs!$B$17,Inputs!$C$38)</f>
        <v>1.2143295980573843E-2</v>
      </c>
      <c r="F10" s="149">
        <f t="shared" si="1"/>
        <v>68745.942210119319</v>
      </c>
      <c r="G10" s="149">
        <f>IF(A10&lt;Inputs!$C$39,Inputs!$B$20,IF(A10=Inputs!$C$39,PMT(E10,Inputs!$B$15-A10+1,-D10),G9))</f>
        <v>111014.82187676849</v>
      </c>
      <c r="H10" s="149">
        <f t="shared" si="2"/>
        <v>42268.879666649169</v>
      </c>
      <c r="I10" s="149">
        <f>Inputs!$B$28</f>
        <v>48643.172307692315</v>
      </c>
      <c r="J10" s="149">
        <f>Inputs!$B$29</f>
        <v>10984.615384615387</v>
      </c>
      <c r="K10" s="149">
        <f>Inputs!$B$30</f>
        <v>3406.3846153846157</v>
      </c>
      <c r="L10" s="149">
        <f t="shared" si="6"/>
        <v>63034.172307692315</v>
      </c>
      <c r="M10" s="149">
        <f t="shared" si="3"/>
        <v>174048.99418446081</v>
      </c>
      <c r="N10" s="149">
        <f t="shared" si="4"/>
        <v>5618957.0609754296</v>
      </c>
      <c r="O10" s="149">
        <f>IF(OR($B11="",ROUNDUP(($A10+1)/Inputs!$B$14,0)&gt;$B10),SUMIF($B$4:$B10,$B10,I$4:I10),0)</f>
        <v>0</v>
      </c>
      <c r="P10" s="149">
        <f>IF(OR($B11="",ROUNDUP(($A10+1)/Inputs!$B$14,0)&gt;$B10),SUMIF($B$4:$B10,$B10,J$4:J10),0)</f>
        <v>0</v>
      </c>
      <c r="Q10" s="149">
        <f>IF(OR($B11="",ROUNDUP(($A10+1)/Inputs!$B$14,0)&gt;$B10),SUMIF($B$4:$B10,$B10,K$4:K10),0)</f>
        <v>0</v>
      </c>
      <c r="R10" s="163" t="str">
        <f t="shared" si="5"/>
        <v>Vigente al día</v>
      </c>
      <c r="S10" s="18"/>
      <c r="T10" s="176" t="s">
        <v>108</v>
      </c>
      <c r="U10" s="184">
        <f>SUM(U9:U9)</f>
        <v>0</v>
      </c>
      <c r="V10" s="184">
        <f>SUM(V9:V9)</f>
        <v>0</v>
      </c>
      <c r="W10" s="178">
        <f>U10-V10</f>
        <v>0</v>
      </c>
      <c r="X10" s="18"/>
      <c r="Y10" s="18"/>
      <c r="Z10" s="18"/>
    </row>
    <row r="11" spans="1:26" ht="18" customHeight="1">
      <c r="A11" s="157">
        <v>8</v>
      </c>
      <c r="B11" s="77">
        <f>ROUNDUP(A11/Inputs!$B$14,0)</f>
        <v>2</v>
      </c>
      <c r="C11" s="160" t="str">
        <f>IF(A11=Inputs!$C$39,"Cambio de tasa",IF(A11=Inputs!$B$15,"Pago final","Pago normal"))</f>
        <v>Pago normal</v>
      </c>
      <c r="D11" s="149">
        <f t="shared" si="0"/>
        <v>5618957.0609754296</v>
      </c>
      <c r="E11" s="150">
        <f>IF(A11&lt;Inputs!$C$39,Inputs!$B$17,Inputs!$C$38)</f>
        <v>1.2143295980573843E-2</v>
      </c>
      <c r="F11" s="149">
        <f t="shared" si="1"/>
        <v>68232.658693559948</v>
      </c>
      <c r="G11" s="149">
        <f>IF(A11&lt;Inputs!$C$39,Inputs!$B$20,IF(A11=Inputs!$C$39,PMT(E11,Inputs!$B$15-A11+1,-D11),G10))</f>
        <v>111014.82187676849</v>
      </c>
      <c r="H11" s="149">
        <f t="shared" si="2"/>
        <v>42782.16318320854</v>
      </c>
      <c r="I11" s="149">
        <f>Inputs!$B$28</f>
        <v>48643.172307692315</v>
      </c>
      <c r="J11" s="149">
        <f>Inputs!$B$29</f>
        <v>10984.615384615387</v>
      </c>
      <c r="K11" s="149">
        <f>Inputs!$B$30</f>
        <v>3406.3846153846157</v>
      </c>
      <c r="L11" s="149">
        <f t="shared" si="6"/>
        <v>63034.172307692315</v>
      </c>
      <c r="M11" s="149">
        <f t="shared" si="3"/>
        <v>174048.99418446081</v>
      </c>
      <c r="N11" s="149">
        <f t="shared" si="4"/>
        <v>5576174.897792221</v>
      </c>
      <c r="O11" s="149">
        <f>IF(OR($B12="",ROUNDUP(($A11+1)/Inputs!$B$14,0)&gt;$B11),SUMIF($B$4:$B11,$B11,I$4:I11),0)</f>
        <v>194572.68923076926</v>
      </c>
      <c r="P11" s="149">
        <f>IF(OR($B12="",ROUNDUP(($A11+1)/Inputs!$B$14,0)&gt;$B11),SUMIF($B$4:$B11,$B11,J$4:J11),0)</f>
        <v>43938.461538461546</v>
      </c>
      <c r="Q11" s="149">
        <f>IF(OR($B12="",ROUNDUP(($A11+1)/Inputs!$B$14,0)&gt;$B11),SUMIF($B$4:$B11,$B11,K$4:K11),0)</f>
        <v>13625.538461538463</v>
      </c>
      <c r="R11" s="163" t="str">
        <f t="shared" si="5"/>
        <v>Vigente al día</v>
      </c>
      <c r="S11" s="18"/>
      <c r="T11" s="18"/>
      <c r="U11" s="18"/>
      <c r="V11" s="18"/>
      <c r="W11" s="18"/>
      <c r="X11" s="18"/>
      <c r="Y11" s="18"/>
      <c r="Z11" s="18"/>
    </row>
    <row r="12" spans="1:26" ht="18" customHeight="1">
      <c r="A12" s="157">
        <v>9</v>
      </c>
      <c r="B12" s="77">
        <f>ROUNDUP(A12/Inputs!$B$14,0)</f>
        <v>3</v>
      </c>
      <c r="C12" s="160" t="str">
        <f>IF(A12=Inputs!$C$39,"Cambio de tasa",IF(A12=Inputs!$B$15,"Pago final","Pago normal"))</f>
        <v>Pago normal</v>
      </c>
      <c r="D12" s="149">
        <f t="shared" si="0"/>
        <v>5576174.897792221</v>
      </c>
      <c r="E12" s="150">
        <f>IF(A12&lt;Inputs!$C$39,Inputs!$B$17,Inputs!$C$38)</f>
        <v>1.2143295980573843E-2</v>
      </c>
      <c r="F12" s="149">
        <f t="shared" si="1"/>
        <v>67713.142223337039</v>
      </c>
      <c r="G12" s="149">
        <f>IF(A12&lt;Inputs!$C$39,Inputs!$B$20,IF(A12=Inputs!$C$39,PMT(E12,Inputs!$B$15-A12+1,-D12),G11))</f>
        <v>111014.82187676849</v>
      </c>
      <c r="H12" s="149">
        <f t="shared" si="2"/>
        <v>43301.679653431449</v>
      </c>
      <c r="I12" s="149">
        <f>Inputs!$B$28</f>
        <v>48643.172307692315</v>
      </c>
      <c r="J12" s="149">
        <f>Inputs!$B$29</f>
        <v>10984.615384615387</v>
      </c>
      <c r="K12" s="149">
        <f>Inputs!$B$30</f>
        <v>3406.3846153846157</v>
      </c>
      <c r="L12" s="149">
        <f t="shared" si="6"/>
        <v>63034.172307692315</v>
      </c>
      <c r="M12" s="149">
        <f t="shared" si="3"/>
        <v>174048.99418446081</v>
      </c>
      <c r="N12" s="149">
        <f t="shared" si="4"/>
        <v>5532873.2181387898</v>
      </c>
      <c r="O12" s="149">
        <f>IF(OR($B13="",ROUNDUP(($A12+1)/Inputs!$B$14,0)&gt;$B12),SUMIF($B$4:$B12,$B12,I$4:I12),0)</f>
        <v>0</v>
      </c>
      <c r="P12" s="149">
        <f>IF(OR($B13="",ROUNDUP(($A12+1)/Inputs!$B$14,0)&gt;$B12),SUMIF($B$4:$B12,$B12,J$4:J12),0)</f>
        <v>0</v>
      </c>
      <c r="Q12" s="149">
        <f>IF(OR($B13="",ROUNDUP(($A12+1)/Inputs!$B$14,0)&gt;$B12),SUMIF($B$4:$B12,$B12,K$4:K12),0)</f>
        <v>0</v>
      </c>
      <c r="R12" s="163" t="str">
        <f t="shared" si="5"/>
        <v>Vigente al día</v>
      </c>
      <c r="S12" s="18"/>
      <c r="T12" s="18"/>
      <c r="U12" s="18"/>
      <c r="V12" s="18"/>
      <c r="W12" s="18"/>
      <c r="X12" s="18"/>
      <c r="Y12" s="18"/>
      <c r="Z12" s="18"/>
    </row>
    <row r="13" spans="1:26" ht="18" customHeight="1">
      <c r="A13" s="157">
        <v>10</v>
      </c>
      <c r="B13" s="77">
        <f>ROUNDUP(A13/Inputs!$B$14,0)</f>
        <v>3</v>
      </c>
      <c r="C13" s="160" t="str">
        <f>IF(A13=Inputs!$C$39,"Cambio de tasa",IF(A13=Inputs!$B$15,"Pago final","Pago normal"))</f>
        <v>Pago normal</v>
      </c>
      <c r="D13" s="149">
        <f t="shared" si="0"/>
        <v>5532873.2181387898</v>
      </c>
      <c r="E13" s="150">
        <f>IF(A13&lt;Inputs!$C$39,Inputs!$B$17,Inputs!$C$38)</f>
        <v>1.2143295980573843E-2</v>
      </c>
      <c r="F13" s="149">
        <f t="shared" si="1"/>
        <v>67187.317110849428</v>
      </c>
      <c r="G13" s="149">
        <f>IF(A13&lt;Inputs!$C$39,Inputs!$B$20,IF(A13=Inputs!$C$39,PMT(E13,Inputs!$B$15-A13+1,-D13),G12))</f>
        <v>111014.82187676849</v>
      </c>
      <c r="H13" s="149">
        <f t="shared" si="2"/>
        <v>43827.50476591906</v>
      </c>
      <c r="I13" s="149">
        <f>Inputs!$B$28</f>
        <v>48643.172307692315</v>
      </c>
      <c r="J13" s="149">
        <f>Inputs!$B$29</f>
        <v>10984.615384615387</v>
      </c>
      <c r="K13" s="149">
        <f>Inputs!$B$30</f>
        <v>3406.3846153846157</v>
      </c>
      <c r="L13" s="149">
        <f t="shared" si="6"/>
        <v>63034.172307692315</v>
      </c>
      <c r="M13" s="149">
        <f t="shared" si="3"/>
        <v>174048.99418446081</v>
      </c>
      <c r="N13" s="149">
        <f t="shared" si="4"/>
        <v>5489045.7133728703</v>
      </c>
      <c r="O13" s="149">
        <f>IF(OR($B14="",ROUNDUP(($A13+1)/Inputs!$B$14,0)&gt;$B13),SUMIF($B$4:$B13,$B13,I$4:I13),0)</f>
        <v>0</v>
      </c>
      <c r="P13" s="149">
        <f>IF(OR($B14="",ROUNDUP(($A13+1)/Inputs!$B$14,0)&gt;$B13),SUMIF($B$4:$B13,$B13,J$4:J13),0)</f>
        <v>0</v>
      </c>
      <c r="Q13" s="149">
        <f>IF(OR($B14="",ROUNDUP(($A13+1)/Inputs!$B$14,0)&gt;$B13),SUMIF($B$4:$B13,$B13,K$4:K13),0)</f>
        <v>0</v>
      </c>
      <c r="R13" s="163" t="str">
        <f t="shared" si="5"/>
        <v>Vigente al día</v>
      </c>
      <c r="S13" s="18"/>
      <c r="T13" s="179" t="s">
        <v>337</v>
      </c>
      <c r="U13" s="18"/>
      <c r="V13" s="18"/>
      <c r="W13" s="18"/>
      <c r="X13" s="18"/>
      <c r="Y13" s="18"/>
      <c r="Z13" s="18"/>
    </row>
    <row r="14" spans="1:26" ht="18" customHeight="1">
      <c r="A14" s="157">
        <v>11</v>
      </c>
      <c r="B14" s="77">
        <f>ROUNDUP(A14/Inputs!$B$14,0)</f>
        <v>3</v>
      </c>
      <c r="C14" s="160" t="str">
        <f>IF(A14=Inputs!$C$39,"Cambio de tasa",IF(A14=Inputs!$B$15,"Pago final","Pago normal"))</f>
        <v>Pago normal</v>
      </c>
      <c r="D14" s="149">
        <f t="shared" si="0"/>
        <v>5489045.7133728703</v>
      </c>
      <c r="E14" s="150">
        <f>IF(A14&lt;Inputs!$C$39,Inputs!$B$17,Inputs!$C$38)</f>
        <v>1.2143295980573843E-2</v>
      </c>
      <c r="F14" s="149">
        <f t="shared" si="1"/>
        <v>66655.106748386854</v>
      </c>
      <c r="G14" s="149">
        <f>IF(A14&lt;Inputs!$C$39,Inputs!$B$20,IF(A14=Inputs!$C$39,PMT(E14,Inputs!$B$15-A14+1,-D14),G13))</f>
        <v>111014.82187676849</v>
      </c>
      <c r="H14" s="149">
        <f t="shared" si="2"/>
        <v>44359.715128381635</v>
      </c>
      <c r="I14" s="149">
        <f>Inputs!$B$28</f>
        <v>48643.172307692315</v>
      </c>
      <c r="J14" s="149">
        <f>Inputs!$B$29</f>
        <v>10984.615384615387</v>
      </c>
      <c r="K14" s="149">
        <f>Inputs!$B$30</f>
        <v>3406.3846153846157</v>
      </c>
      <c r="L14" s="149">
        <f t="shared" si="6"/>
        <v>63034.172307692315</v>
      </c>
      <c r="M14" s="149">
        <f t="shared" si="3"/>
        <v>174048.99418446081</v>
      </c>
      <c r="N14" s="149">
        <f t="shared" si="4"/>
        <v>5444685.9982444886</v>
      </c>
      <c r="O14" s="149">
        <f>IF(OR($B15="",ROUNDUP(($A14+1)/Inputs!$B$14,0)&gt;$B14),SUMIF($B$4:$B14,$B14,I$4:I14),0)</f>
        <v>0</v>
      </c>
      <c r="P14" s="149">
        <f>IF(OR($B15="",ROUNDUP(($A14+1)/Inputs!$B$14,0)&gt;$B14),SUMIF($B$4:$B14,$B14,J$4:J14),0)</f>
        <v>0</v>
      </c>
      <c r="Q14" s="149">
        <f>IF(OR($B15="",ROUNDUP(($A14+1)/Inputs!$B$14,0)&gt;$B14),SUMIF($B$4:$B14,$B14,K$4:K14),0)</f>
        <v>0</v>
      </c>
      <c r="R14" s="163" t="str">
        <f t="shared" si="5"/>
        <v>Vigente al día</v>
      </c>
      <c r="S14" s="18"/>
      <c r="T14" s="179" t="s">
        <v>338</v>
      </c>
      <c r="U14" s="18"/>
      <c r="V14" s="18"/>
      <c r="W14" s="18"/>
      <c r="X14" s="18"/>
      <c r="Y14" s="18"/>
      <c r="Z14" s="18"/>
    </row>
    <row r="15" spans="1:26" ht="18" customHeight="1">
      <c r="A15" s="157">
        <v>12</v>
      </c>
      <c r="B15" s="77">
        <f>ROUNDUP(A15/Inputs!$B$14,0)</f>
        <v>3</v>
      </c>
      <c r="C15" s="160" t="str">
        <f>IF(A15=Inputs!$C$39,"Cambio de tasa",IF(A15=Inputs!$B$15,"Pago final","Pago normal"))</f>
        <v>Pago normal</v>
      </c>
      <c r="D15" s="149">
        <f t="shared" si="0"/>
        <v>5444685.9982444886</v>
      </c>
      <c r="E15" s="150">
        <f>IF(A15&lt;Inputs!$C$39,Inputs!$B$17,Inputs!$C$38)</f>
        <v>1.2143295980573843E-2</v>
      </c>
      <c r="F15" s="149">
        <f t="shared" si="1"/>
        <v>66116.433597968979</v>
      </c>
      <c r="G15" s="149">
        <f>IF(A15&lt;Inputs!$C$39,Inputs!$B$20,IF(A15=Inputs!$C$39,PMT(E15,Inputs!$B$15-A15+1,-D15),G14))</f>
        <v>111014.82187676849</v>
      </c>
      <c r="H15" s="149">
        <f t="shared" si="2"/>
        <v>44898.38827879951</v>
      </c>
      <c r="I15" s="149">
        <f>Inputs!$B$28</f>
        <v>48643.172307692315</v>
      </c>
      <c r="J15" s="149">
        <f>Inputs!$B$29</f>
        <v>10984.615384615387</v>
      </c>
      <c r="K15" s="149">
        <f>Inputs!$B$30</f>
        <v>3406.3846153846157</v>
      </c>
      <c r="L15" s="149">
        <f t="shared" si="6"/>
        <v>63034.172307692315</v>
      </c>
      <c r="M15" s="149">
        <f t="shared" si="3"/>
        <v>174048.99418446081</v>
      </c>
      <c r="N15" s="149">
        <f t="shared" si="4"/>
        <v>5399787.6099656895</v>
      </c>
      <c r="O15" s="149">
        <f>IF(OR($B16="",ROUNDUP(($A15+1)/Inputs!$B$14,0)&gt;$B15),SUMIF($B$4:$B15,$B15,I$4:I15),0)</f>
        <v>0</v>
      </c>
      <c r="P15" s="149">
        <f>IF(OR($B16="",ROUNDUP(($A15+1)/Inputs!$B$14,0)&gt;$B15),SUMIF($B$4:$B15,$B15,J$4:J15),0)</f>
        <v>0</v>
      </c>
      <c r="Q15" s="149">
        <f>IF(OR($B16="",ROUNDUP(($A15+1)/Inputs!$B$14,0)&gt;$B15),SUMIF($B$4:$B15,$B15,K$4:K15),0)</f>
        <v>0</v>
      </c>
      <c r="R15" s="163" t="str">
        <f t="shared" si="5"/>
        <v>Vigente al día</v>
      </c>
      <c r="S15" s="18"/>
      <c r="T15" s="18"/>
      <c r="U15" s="18"/>
      <c r="V15" s="18"/>
      <c r="W15" s="18"/>
      <c r="X15" s="18"/>
      <c r="Y15" s="18"/>
      <c r="Z15" s="18"/>
    </row>
    <row r="16" spans="1:26" ht="18" customHeight="1">
      <c r="A16" s="157">
        <v>13</v>
      </c>
      <c r="B16" s="77">
        <f>ROUNDUP(A16/Inputs!$B$14,0)</f>
        <v>3</v>
      </c>
      <c r="C16" s="160" t="str">
        <f>IF(A16=Inputs!$C$39,"Cambio de tasa",IF(A16=Inputs!$B$15,"Pago final","Pago normal"))</f>
        <v>Pago normal</v>
      </c>
      <c r="D16" s="149">
        <f t="shared" si="0"/>
        <v>5399787.6099656895</v>
      </c>
      <c r="E16" s="150">
        <f>IF(A16&lt;Inputs!$C$39,Inputs!$B$17,Inputs!$C$38)</f>
        <v>1.2143295980573843E-2</v>
      </c>
      <c r="F16" s="149">
        <f t="shared" si="1"/>
        <v>65571.219180048793</v>
      </c>
      <c r="G16" s="149">
        <f>IF(A16&lt;Inputs!$C$39,Inputs!$B$20,IF(A16=Inputs!$C$39,PMT(E16,Inputs!$B$15-A16+1,-D16),G15))</f>
        <v>111014.82187676849</v>
      </c>
      <c r="H16" s="149">
        <f t="shared" si="2"/>
        <v>45443.602696719696</v>
      </c>
      <c r="I16" s="149">
        <f>Inputs!$B$28</f>
        <v>48643.172307692315</v>
      </c>
      <c r="J16" s="149">
        <f>Inputs!$B$29</f>
        <v>10984.615384615387</v>
      </c>
      <c r="K16" s="149">
        <f>Inputs!$B$30</f>
        <v>3406.3846153846157</v>
      </c>
      <c r="L16" s="149">
        <f t="shared" si="6"/>
        <v>63034.172307692315</v>
      </c>
      <c r="M16" s="149">
        <f t="shared" si="3"/>
        <v>174048.99418446081</v>
      </c>
      <c r="N16" s="149">
        <f t="shared" si="4"/>
        <v>5354344.0072689699</v>
      </c>
      <c r="O16" s="149">
        <f>IF(OR($B17="",ROUNDUP(($A16+1)/Inputs!$B$14,0)&gt;$B16),SUMIF($B$4:$B16,$B16,I$4:I16),0)</f>
        <v>243215.86153846158</v>
      </c>
      <c r="P16" s="149">
        <f>IF(OR($B17="",ROUNDUP(($A16+1)/Inputs!$B$14,0)&gt;$B16),SUMIF($B$4:$B16,$B16,J$4:J16),0)</f>
        <v>54923.076923076937</v>
      </c>
      <c r="Q16" s="149">
        <f>IF(OR($B17="",ROUNDUP(($A16+1)/Inputs!$B$14,0)&gt;$B16),SUMIF($B$4:$B16,$B16,K$4:K16),0)</f>
        <v>17031.923076923078</v>
      </c>
      <c r="R16" s="163" t="str">
        <f t="shared" si="5"/>
        <v>Vigente al día</v>
      </c>
      <c r="S16" s="18"/>
      <c r="T16" s="18"/>
      <c r="U16" s="18"/>
      <c r="V16" s="18"/>
      <c r="W16" s="18"/>
      <c r="X16" s="18"/>
      <c r="Y16" s="18"/>
      <c r="Z16" s="18"/>
    </row>
    <row r="17" spans="1:26" ht="18" customHeight="1">
      <c r="A17" s="157">
        <v>14</v>
      </c>
      <c r="B17" s="77">
        <f>ROUNDUP(A17/Inputs!$B$14,0)</f>
        <v>4</v>
      </c>
      <c r="C17" s="160" t="str">
        <f>IF(A17=Inputs!$C$39,"Cambio de tasa",IF(A17=Inputs!$B$15,"Pago final","Pago normal"))</f>
        <v>Pago normal</v>
      </c>
      <c r="D17" s="149">
        <f t="shared" si="0"/>
        <v>5354344.0072689699</v>
      </c>
      <c r="E17" s="150">
        <f>IF(A17&lt;Inputs!$C$39,Inputs!$B$17,Inputs!$C$38)</f>
        <v>1.2143295980573843E-2</v>
      </c>
      <c r="F17" s="149">
        <f t="shared" si="1"/>
        <v>65019.384062078927</v>
      </c>
      <c r="G17" s="149">
        <f>IF(A17&lt;Inputs!$C$39,Inputs!$B$20,IF(A17=Inputs!$C$39,PMT(E17,Inputs!$B$15-A17+1,-D17),G16))</f>
        <v>111014.82187676849</v>
      </c>
      <c r="H17" s="149">
        <f t="shared" si="2"/>
        <v>45995.437814689561</v>
      </c>
      <c r="I17" s="149">
        <f>Inputs!$B$28</f>
        <v>48643.172307692315</v>
      </c>
      <c r="J17" s="149">
        <f>Inputs!$B$29</f>
        <v>10984.615384615387</v>
      </c>
      <c r="K17" s="149">
        <f>Inputs!$B$30</f>
        <v>3406.3846153846157</v>
      </c>
      <c r="L17" s="149">
        <f t="shared" si="6"/>
        <v>63034.172307692315</v>
      </c>
      <c r="M17" s="149">
        <f t="shared" si="3"/>
        <v>174048.99418446081</v>
      </c>
      <c r="N17" s="149">
        <f t="shared" si="4"/>
        <v>5308348.5694542807</v>
      </c>
      <c r="O17" s="149">
        <f>IF(OR($B18="",ROUNDUP(($A17+1)/Inputs!$B$14,0)&gt;$B17),SUMIF($B$4:$B17,$B17,I$4:I17),0)</f>
        <v>0</v>
      </c>
      <c r="P17" s="149">
        <f>IF(OR($B18="",ROUNDUP(($A17+1)/Inputs!$B$14,0)&gt;$B17),SUMIF($B$4:$B17,$B17,J$4:J17),0)</f>
        <v>0</v>
      </c>
      <c r="Q17" s="149">
        <f>IF(OR($B18="",ROUNDUP(($A17+1)/Inputs!$B$14,0)&gt;$B17),SUMIF($B$4:$B17,$B17,K$4:K17),0)</f>
        <v>0</v>
      </c>
      <c r="R17" s="163" t="str">
        <f t="shared" si="5"/>
        <v>Vigente al día</v>
      </c>
      <c r="S17" s="18"/>
      <c r="T17" s="18"/>
      <c r="U17" s="18"/>
      <c r="V17" s="18"/>
      <c r="W17" s="18"/>
      <c r="X17" s="18"/>
      <c r="Y17" s="18"/>
      <c r="Z17" s="18"/>
    </row>
    <row r="18" spans="1:26" ht="18" customHeight="1">
      <c r="A18" s="157">
        <v>15</v>
      </c>
      <c r="B18" s="77">
        <f>ROUNDUP(A18/Inputs!$B$14,0)</f>
        <v>4</v>
      </c>
      <c r="C18" s="160" t="str">
        <f>IF(A18=Inputs!$C$39,"Cambio de tasa",IF(A18=Inputs!$B$15,"Pago final","Pago normal"))</f>
        <v>Pago normal</v>
      </c>
      <c r="D18" s="149">
        <f t="shared" si="0"/>
        <v>5308348.5694542807</v>
      </c>
      <c r="E18" s="150">
        <f>IF(A18&lt;Inputs!$C$39,Inputs!$B$17,Inputs!$C$38)</f>
        <v>1.2143295980573843E-2</v>
      </c>
      <c r="F18" s="149">
        <f t="shared" si="1"/>
        <v>64460.847846939076</v>
      </c>
      <c r="G18" s="149">
        <f>IF(A18&lt;Inputs!$C$39,Inputs!$B$20,IF(A18=Inputs!$C$39,PMT(E18,Inputs!$B$15-A18+1,-D18),G17))</f>
        <v>111014.82187676849</v>
      </c>
      <c r="H18" s="149">
        <f t="shared" si="2"/>
        <v>46553.974029829413</v>
      </c>
      <c r="I18" s="149">
        <f>Inputs!$B$28</f>
        <v>48643.172307692315</v>
      </c>
      <c r="J18" s="149">
        <f>Inputs!$B$29</f>
        <v>10984.615384615387</v>
      </c>
      <c r="K18" s="149">
        <f>Inputs!$B$30</f>
        <v>3406.3846153846157</v>
      </c>
      <c r="L18" s="149">
        <f t="shared" si="6"/>
        <v>63034.172307692315</v>
      </c>
      <c r="M18" s="149">
        <f t="shared" si="3"/>
        <v>174048.99418446081</v>
      </c>
      <c r="N18" s="149">
        <f t="shared" si="4"/>
        <v>5261794.5954244509</v>
      </c>
      <c r="O18" s="149">
        <f>IF(OR($B19="",ROUNDUP(($A18+1)/Inputs!$B$14,0)&gt;$B18),SUMIF($B$4:$B18,$B18,I$4:I18),0)</f>
        <v>0</v>
      </c>
      <c r="P18" s="149">
        <f>IF(OR($B19="",ROUNDUP(($A18+1)/Inputs!$B$14,0)&gt;$B18),SUMIF($B$4:$B18,$B18,J$4:J18),0)</f>
        <v>0</v>
      </c>
      <c r="Q18" s="149">
        <f>IF(OR($B19="",ROUNDUP(($A18+1)/Inputs!$B$14,0)&gt;$B18),SUMIF($B$4:$B18,$B18,K$4:K18),0)</f>
        <v>0</v>
      </c>
      <c r="R18" s="163" t="str">
        <f t="shared" si="5"/>
        <v>Vigente al día</v>
      </c>
      <c r="S18" s="18"/>
      <c r="T18" s="18"/>
      <c r="U18" s="18"/>
      <c r="V18" s="18"/>
      <c r="W18" s="18"/>
      <c r="X18" s="18"/>
      <c r="Y18" s="18"/>
      <c r="Z18" s="18"/>
    </row>
    <row r="19" spans="1:26" ht="18" customHeight="1">
      <c r="A19" s="157">
        <v>16</v>
      </c>
      <c r="B19" s="77">
        <f>ROUNDUP(A19/Inputs!$B$14,0)</f>
        <v>4</v>
      </c>
      <c r="C19" s="160" t="str">
        <f>IF(A19=Inputs!$C$39,"Cambio de tasa",IF(A19=Inputs!$B$15,"Pago final","Pago normal"))</f>
        <v>Pago normal</v>
      </c>
      <c r="D19" s="149">
        <f t="shared" si="0"/>
        <v>5261794.5954244509</v>
      </c>
      <c r="E19" s="150">
        <f>IF(A19&lt;Inputs!$C$39,Inputs!$B$17,Inputs!$C$38)</f>
        <v>1.2143295980573843E-2</v>
      </c>
      <c r="F19" s="149">
        <f t="shared" si="1"/>
        <v>63895.529161222905</v>
      </c>
      <c r="G19" s="149">
        <f>IF(A19&lt;Inputs!$C$39,Inputs!$B$20,IF(A19=Inputs!$C$39,PMT(E19,Inputs!$B$15-A19+1,-D19),G18))</f>
        <v>111014.82187676849</v>
      </c>
      <c r="H19" s="149">
        <f t="shared" si="2"/>
        <v>47119.292715545584</v>
      </c>
      <c r="I19" s="149">
        <f>Inputs!$B$28</f>
        <v>48643.172307692315</v>
      </c>
      <c r="J19" s="149">
        <f>Inputs!$B$29</f>
        <v>10984.615384615387</v>
      </c>
      <c r="K19" s="149">
        <f>Inputs!$B$30</f>
        <v>3406.3846153846157</v>
      </c>
      <c r="L19" s="149">
        <f t="shared" si="6"/>
        <v>63034.172307692315</v>
      </c>
      <c r="M19" s="149">
        <f t="shared" si="3"/>
        <v>174048.99418446081</v>
      </c>
      <c r="N19" s="149">
        <f t="shared" si="4"/>
        <v>5214675.3027089052</v>
      </c>
      <c r="O19" s="149">
        <f>IF(OR($B20="",ROUNDUP(($A19+1)/Inputs!$B$14,0)&gt;$B19),SUMIF($B$4:$B19,$B19,I$4:I19),0)</f>
        <v>0</v>
      </c>
      <c r="P19" s="149">
        <f>IF(OR($B20="",ROUNDUP(($A19+1)/Inputs!$B$14,0)&gt;$B19),SUMIF($B$4:$B19,$B19,J$4:J19),0)</f>
        <v>0</v>
      </c>
      <c r="Q19" s="149">
        <f>IF(OR($B20="",ROUNDUP(($A19+1)/Inputs!$B$14,0)&gt;$B19),SUMIF($B$4:$B19,$B19,K$4:K19),0)</f>
        <v>0</v>
      </c>
      <c r="R19" s="163" t="str">
        <f t="shared" si="5"/>
        <v>Vigente al día</v>
      </c>
      <c r="S19" s="18"/>
      <c r="T19" s="18"/>
      <c r="U19" s="18"/>
      <c r="V19" s="18"/>
      <c r="W19" s="18"/>
      <c r="X19" s="18"/>
      <c r="Y19" s="18"/>
      <c r="Z19" s="18"/>
    </row>
    <row r="20" spans="1:26" ht="18" customHeight="1">
      <c r="A20" s="157">
        <v>17</v>
      </c>
      <c r="B20" s="77">
        <f>ROUNDUP(A20/Inputs!$B$14,0)</f>
        <v>4</v>
      </c>
      <c r="C20" s="160" t="str">
        <f>IF(A20=Inputs!$C$39,"Cambio de tasa",IF(A20=Inputs!$B$15,"Pago final","Pago normal"))</f>
        <v>Pago normal</v>
      </c>
      <c r="D20" s="149">
        <f t="shared" si="0"/>
        <v>5214675.3027089052</v>
      </c>
      <c r="E20" s="150">
        <f>IF(A20&lt;Inputs!$C$39,Inputs!$B$17,Inputs!$C$38)</f>
        <v>1.2143295980573843E-2</v>
      </c>
      <c r="F20" s="149">
        <f t="shared" si="1"/>
        <v>63323.345643382738</v>
      </c>
      <c r="G20" s="149">
        <f>IF(A20&lt;Inputs!$C$39,Inputs!$B$20,IF(A20=Inputs!$C$39,PMT(E20,Inputs!$B$15-A20+1,-D20),G19))</f>
        <v>111014.82187676849</v>
      </c>
      <c r="H20" s="149">
        <f t="shared" si="2"/>
        <v>47691.476233385751</v>
      </c>
      <c r="I20" s="149">
        <f>Inputs!$B$28</f>
        <v>48643.172307692315</v>
      </c>
      <c r="J20" s="149">
        <f>Inputs!$B$29</f>
        <v>10984.615384615387</v>
      </c>
      <c r="K20" s="149">
        <f>Inputs!$B$30</f>
        <v>3406.3846153846157</v>
      </c>
      <c r="L20" s="149">
        <f t="shared" si="6"/>
        <v>63034.172307692315</v>
      </c>
      <c r="M20" s="149">
        <f t="shared" si="3"/>
        <v>174048.99418446081</v>
      </c>
      <c r="N20" s="149">
        <f t="shared" si="4"/>
        <v>5166983.8264755197</v>
      </c>
      <c r="O20" s="149">
        <f>IF(OR($B21="",ROUNDUP(($A20+1)/Inputs!$B$14,0)&gt;$B20),SUMIF($B$4:$B20,$B20,I$4:I20),0)</f>
        <v>194572.68923076926</v>
      </c>
      <c r="P20" s="149">
        <f>IF(OR($B21="",ROUNDUP(($A20+1)/Inputs!$B$14,0)&gt;$B20),SUMIF($B$4:$B20,$B20,J$4:J20),0)</f>
        <v>43938.461538461546</v>
      </c>
      <c r="Q20" s="149">
        <f>IF(OR($B21="",ROUNDUP(($A20+1)/Inputs!$B$14,0)&gt;$B20),SUMIF($B$4:$B20,$B20,K$4:K20),0)</f>
        <v>13625.538461538463</v>
      </c>
      <c r="R20" s="163" t="str">
        <f t="shared" si="5"/>
        <v>Vigente al día</v>
      </c>
      <c r="S20" s="18"/>
      <c r="T20" s="18"/>
      <c r="U20" s="18"/>
      <c r="V20" s="18"/>
      <c r="W20" s="18"/>
      <c r="X20" s="18"/>
      <c r="Y20" s="18"/>
      <c r="Z20" s="18"/>
    </row>
    <row r="21" spans="1:26" ht="18" customHeight="1">
      <c r="A21" s="157">
        <v>18</v>
      </c>
      <c r="B21" s="77">
        <f>ROUNDUP(A21/Inputs!$B$14,0)</f>
        <v>5</v>
      </c>
      <c r="C21" s="160" t="str">
        <f>IF(A21=Inputs!$C$39,"Cambio de tasa",IF(A21=Inputs!$B$15,"Pago final","Pago normal"))</f>
        <v>Pago normal</v>
      </c>
      <c r="D21" s="149">
        <f t="shared" si="0"/>
        <v>5166983.8264755197</v>
      </c>
      <c r="E21" s="150">
        <f>IF(A21&lt;Inputs!$C$39,Inputs!$B$17,Inputs!$C$38)</f>
        <v>1.2143295980573843E-2</v>
      </c>
      <c r="F21" s="149">
        <f t="shared" si="1"/>
        <v>62744.213931730235</v>
      </c>
      <c r="G21" s="149">
        <f>IF(A21&lt;Inputs!$C$39,Inputs!$B$20,IF(A21=Inputs!$C$39,PMT(E21,Inputs!$B$15-A21+1,-D21),G20))</f>
        <v>111014.82187676849</v>
      </c>
      <c r="H21" s="149">
        <f t="shared" si="2"/>
        <v>48270.607945038253</v>
      </c>
      <c r="I21" s="149">
        <f>Inputs!$B$28</f>
        <v>48643.172307692315</v>
      </c>
      <c r="J21" s="149">
        <f>Inputs!$B$29</f>
        <v>10984.615384615387</v>
      </c>
      <c r="K21" s="149">
        <f>Inputs!$B$30</f>
        <v>3406.3846153846157</v>
      </c>
      <c r="L21" s="149">
        <f t="shared" si="6"/>
        <v>63034.172307692315</v>
      </c>
      <c r="M21" s="149">
        <f t="shared" si="3"/>
        <v>174048.99418446081</v>
      </c>
      <c r="N21" s="149">
        <f t="shared" si="4"/>
        <v>5118713.2185304817</v>
      </c>
      <c r="O21" s="149">
        <f>IF(OR($B22="",ROUNDUP(($A21+1)/Inputs!$B$14,0)&gt;$B21),SUMIF($B$4:$B21,$B21,I$4:I21),0)</f>
        <v>0</v>
      </c>
      <c r="P21" s="149">
        <f>IF(OR($B22="",ROUNDUP(($A21+1)/Inputs!$B$14,0)&gt;$B21),SUMIF($B$4:$B21,$B21,J$4:J21),0)</f>
        <v>0</v>
      </c>
      <c r="Q21" s="149">
        <f>IF(OR($B22="",ROUNDUP(($A21+1)/Inputs!$B$14,0)&gt;$B21),SUMIF($B$4:$B21,$B21,K$4:K21),0)</f>
        <v>0</v>
      </c>
      <c r="R21" s="163" t="str">
        <f t="shared" si="5"/>
        <v>Vigente al día</v>
      </c>
      <c r="S21" s="18"/>
      <c r="T21" s="18"/>
      <c r="U21" s="18"/>
      <c r="V21" s="18"/>
      <c r="W21" s="18"/>
      <c r="X21" s="18"/>
      <c r="Y21" s="18"/>
      <c r="Z21" s="18"/>
    </row>
    <row r="22" spans="1:26" ht="18" customHeight="1">
      <c r="A22" s="157">
        <v>19</v>
      </c>
      <c r="B22" s="77">
        <f>ROUNDUP(A22/Inputs!$B$14,0)</f>
        <v>5</v>
      </c>
      <c r="C22" s="160" t="str">
        <f>IF(A22=Inputs!$C$39,"Cambio de tasa",IF(A22=Inputs!$B$15,"Pago final","Pago normal"))</f>
        <v>Pago normal</v>
      </c>
      <c r="D22" s="149">
        <f t="shared" si="0"/>
        <v>5118713.2185304817</v>
      </c>
      <c r="E22" s="150">
        <f>IF(A22&lt;Inputs!$C$39,Inputs!$B$17,Inputs!$C$38)</f>
        <v>1.2143295980573843E-2</v>
      </c>
      <c r="F22" s="149">
        <f t="shared" si="1"/>
        <v>62158.049652291396</v>
      </c>
      <c r="G22" s="149">
        <f>IF(A22&lt;Inputs!$C$39,Inputs!$B$20,IF(A22=Inputs!$C$39,PMT(E22,Inputs!$B$15-A22+1,-D22),G21))</f>
        <v>111014.82187676849</v>
      </c>
      <c r="H22" s="149">
        <f t="shared" si="2"/>
        <v>48856.772224477092</v>
      </c>
      <c r="I22" s="149">
        <f>Inputs!$B$28</f>
        <v>48643.172307692315</v>
      </c>
      <c r="J22" s="149">
        <f>Inputs!$B$29</f>
        <v>10984.615384615387</v>
      </c>
      <c r="K22" s="149">
        <f>Inputs!$B$30</f>
        <v>3406.3846153846157</v>
      </c>
      <c r="L22" s="149">
        <f t="shared" si="6"/>
        <v>63034.172307692315</v>
      </c>
      <c r="M22" s="149">
        <f t="shared" si="3"/>
        <v>174048.99418446081</v>
      </c>
      <c r="N22" s="149">
        <f t="shared" si="4"/>
        <v>5069856.4463060042</v>
      </c>
      <c r="O22" s="149">
        <f>IF(OR($B23="",ROUNDUP(($A22+1)/Inputs!$B$14,0)&gt;$B22),SUMIF($B$4:$B22,$B22,I$4:I22),0)</f>
        <v>0</v>
      </c>
      <c r="P22" s="149">
        <f>IF(OR($B23="",ROUNDUP(($A22+1)/Inputs!$B$14,0)&gt;$B22),SUMIF($B$4:$B22,$B22,J$4:J22),0)</f>
        <v>0</v>
      </c>
      <c r="Q22" s="149">
        <f>IF(OR($B23="",ROUNDUP(($A22+1)/Inputs!$B$14,0)&gt;$B22),SUMIF($B$4:$B22,$B22,K$4:K22),0)</f>
        <v>0</v>
      </c>
      <c r="R22" s="163" t="str">
        <f t="shared" si="5"/>
        <v>Vigente al día</v>
      </c>
      <c r="S22" s="18"/>
      <c r="T22" s="18"/>
      <c r="U22" s="18"/>
      <c r="V22" s="18"/>
      <c r="W22" s="18"/>
      <c r="X22" s="18"/>
      <c r="Y22" s="18"/>
      <c r="Z22" s="18"/>
    </row>
    <row r="23" spans="1:26" ht="18" customHeight="1">
      <c r="A23" s="157">
        <v>20</v>
      </c>
      <c r="B23" s="77">
        <f>ROUNDUP(A23/Inputs!$B$14,0)</f>
        <v>5</v>
      </c>
      <c r="C23" s="160" t="str">
        <f>IF(A23=Inputs!$C$39,"Cambio de tasa",IF(A23=Inputs!$B$15,"Pago final","Pago normal"))</f>
        <v>Pago normal</v>
      </c>
      <c r="D23" s="149">
        <f t="shared" si="0"/>
        <v>5069856.4463060042</v>
      </c>
      <c r="E23" s="150">
        <f>IF(A23&lt;Inputs!$C$39,Inputs!$B$17,Inputs!$C$38)</f>
        <v>1.2143295980573843E-2</v>
      </c>
      <c r="F23" s="149">
        <f t="shared" si="1"/>
        <v>61564.767406514089</v>
      </c>
      <c r="G23" s="149">
        <f>IF(A23&lt;Inputs!$C$39,Inputs!$B$20,IF(A23=Inputs!$C$39,PMT(E23,Inputs!$B$15-A23+1,-D23),G22))</f>
        <v>111014.82187676849</v>
      </c>
      <c r="H23" s="149">
        <f t="shared" si="2"/>
        <v>49450.054470254399</v>
      </c>
      <c r="I23" s="149">
        <f>Inputs!$B$28</f>
        <v>48643.172307692315</v>
      </c>
      <c r="J23" s="149">
        <f>Inputs!$B$29</f>
        <v>10984.615384615387</v>
      </c>
      <c r="K23" s="149">
        <f>Inputs!$B$30</f>
        <v>3406.3846153846157</v>
      </c>
      <c r="L23" s="149">
        <f t="shared" si="6"/>
        <v>63034.172307692315</v>
      </c>
      <c r="M23" s="149">
        <f t="shared" si="3"/>
        <v>174048.99418446081</v>
      </c>
      <c r="N23" s="149">
        <f t="shared" si="4"/>
        <v>5020406.3918357501</v>
      </c>
      <c r="O23" s="149">
        <f>IF(OR($B24="",ROUNDUP(($A23+1)/Inputs!$B$14,0)&gt;$B23),SUMIF($B$4:$B23,$B23,I$4:I23),0)</f>
        <v>0</v>
      </c>
      <c r="P23" s="149">
        <f>IF(OR($B24="",ROUNDUP(($A23+1)/Inputs!$B$14,0)&gt;$B23),SUMIF($B$4:$B23,$B23,J$4:J23),0)</f>
        <v>0</v>
      </c>
      <c r="Q23" s="149">
        <f>IF(OR($B24="",ROUNDUP(($A23+1)/Inputs!$B$14,0)&gt;$B23),SUMIF($B$4:$B23,$B23,K$4:K23),0)</f>
        <v>0</v>
      </c>
      <c r="R23" s="163" t="str">
        <f t="shared" si="5"/>
        <v>Vigente al día</v>
      </c>
      <c r="S23" s="18"/>
      <c r="T23" s="18"/>
      <c r="U23" s="18"/>
      <c r="V23" s="18"/>
      <c r="W23" s="18"/>
      <c r="X23" s="18"/>
      <c r="Y23" s="18"/>
      <c r="Z23" s="18"/>
    </row>
    <row r="24" spans="1:26" ht="18" customHeight="1">
      <c r="A24" s="157">
        <v>21</v>
      </c>
      <c r="B24" s="77">
        <f>ROUNDUP(A24/Inputs!$B$14,0)</f>
        <v>5</v>
      </c>
      <c r="C24" s="160" t="str">
        <f>IF(A24=Inputs!$C$39,"Cambio de tasa",IF(A24=Inputs!$B$15,"Pago final","Pago normal"))</f>
        <v>Pago normal</v>
      </c>
      <c r="D24" s="149">
        <f t="shared" si="0"/>
        <v>5020406.3918357501</v>
      </c>
      <c r="E24" s="150">
        <f>IF(A24&lt;Inputs!$C$39,Inputs!$B$17,Inputs!$C$38)</f>
        <v>1.2143295980573843E-2</v>
      </c>
      <c r="F24" s="149">
        <f t="shared" si="1"/>
        <v>60964.280758826295</v>
      </c>
      <c r="G24" s="149">
        <f>IF(A24&lt;Inputs!$C$39,Inputs!$B$20,IF(A24=Inputs!$C$39,PMT(E24,Inputs!$B$15-A24+1,-D24),G23))</f>
        <v>111014.82187676849</v>
      </c>
      <c r="H24" s="149">
        <f t="shared" si="2"/>
        <v>50050.541117942194</v>
      </c>
      <c r="I24" s="149">
        <f>Inputs!$B$28</f>
        <v>48643.172307692315</v>
      </c>
      <c r="J24" s="149">
        <f>Inputs!$B$29</f>
        <v>10984.615384615387</v>
      </c>
      <c r="K24" s="149">
        <f>Inputs!$B$30</f>
        <v>3406.3846153846157</v>
      </c>
      <c r="L24" s="149">
        <f t="shared" si="6"/>
        <v>63034.172307692315</v>
      </c>
      <c r="M24" s="149">
        <f t="shared" si="3"/>
        <v>174048.99418446081</v>
      </c>
      <c r="N24" s="149">
        <f t="shared" si="4"/>
        <v>4970355.8507178081</v>
      </c>
      <c r="O24" s="149">
        <f>IF(OR($B25="",ROUNDUP(($A24+1)/Inputs!$B$14,0)&gt;$B24),SUMIF($B$4:$B24,$B24,I$4:I24),0)</f>
        <v>194572.68923076926</v>
      </c>
      <c r="P24" s="149">
        <f>IF(OR($B25="",ROUNDUP(($A24+1)/Inputs!$B$14,0)&gt;$B24),SUMIF($B$4:$B24,$B24,J$4:J24),0)</f>
        <v>43938.461538461546</v>
      </c>
      <c r="Q24" s="149">
        <f>IF(OR($B25="",ROUNDUP(($A24+1)/Inputs!$B$14,0)&gt;$B24),SUMIF($B$4:$B24,$B24,K$4:K24),0)</f>
        <v>13625.538461538463</v>
      </c>
      <c r="R24" s="163" t="str">
        <f t="shared" si="5"/>
        <v>Vigente al día</v>
      </c>
      <c r="S24" s="18"/>
      <c r="T24" s="18"/>
      <c r="U24" s="18"/>
      <c r="V24" s="18"/>
      <c r="W24" s="18"/>
      <c r="X24" s="18"/>
      <c r="Y24" s="18"/>
      <c r="Z24" s="18"/>
    </row>
    <row r="25" spans="1:26" ht="18" customHeight="1">
      <c r="A25" s="157">
        <v>22</v>
      </c>
      <c r="B25" s="77">
        <f>ROUNDUP(A25/Inputs!$B$14,0)</f>
        <v>6</v>
      </c>
      <c r="C25" s="160" t="str">
        <f>IF(A25=Inputs!$C$39,"Cambio de tasa",IF(A25=Inputs!$B$15,"Pago final","Pago normal"))</f>
        <v>Pago normal</v>
      </c>
      <c r="D25" s="149">
        <f t="shared" si="0"/>
        <v>4970355.8507178081</v>
      </c>
      <c r="E25" s="150">
        <f>IF(A25&lt;Inputs!$C$39,Inputs!$B$17,Inputs!$C$38)</f>
        <v>1.2143295980573843E-2</v>
      </c>
      <c r="F25" s="149">
        <f t="shared" si="1"/>
        <v>60356.502224043244</v>
      </c>
      <c r="G25" s="149">
        <f>IF(A25&lt;Inputs!$C$39,Inputs!$B$20,IF(A25=Inputs!$C$39,PMT(E25,Inputs!$B$15-A25+1,-D25),G24))</f>
        <v>111014.82187676849</v>
      </c>
      <c r="H25" s="149">
        <f t="shared" si="2"/>
        <v>50658.319652725244</v>
      </c>
      <c r="I25" s="149">
        <f>Inputs!$B$28</f>
        <v>48643.172307692315</v>
      </c>
      <c r="J25" s="149">
        <f>Inputs!$B$29</f>
        <v>10984.615384615387</v>
      </c>
      <c r="K25" s="149">
        <f>Inputs!$B$30</f>
        <v>3406.3846153846157</v>
      </c>
      <c r="L25" s="149">
        <f t="shared" si="6"/>
        <v>63034.172307692315</v>
      </c>
      <c r="M25" s="149">
        <f t="shared" si="3"/>
        <v>174048.99418446081</v>
      </c>
      <c r="N25" s="149">
        <f t="shared" si="4"/>
        <v>4919697.5310650831</v>
      </c>
      <c r="O25" s="149">
        <f>IF(OR($B26="",ROUNDUP(($A25+1)/Inputs!$B$14,0)&gt;$B25),SUMIF($B$4:$B25,$B25,I$4:I25),0)</f>
        <v>0</v>
      </c>
      <c r="P25" s="149">
        <f>IF(OR($B26="",ROUNDUP(($A25+1)/Inputs!$B$14,0)&gt;$B25),SUMIF($B$4:$B25,$B25,J$4:J25),0)</f>
        <v>0</v>
      </c>
      <c r="Q25" s="149">
        <f>IF(OR($B26="",ROUNDUP(($A25+1)/Inputs!$B$14,0)&gt;$B25),SUMIF($B$4:$B25,$B25,K$4:K25),0)</f>
        <v>0</v>
      </c>
      <c r="R25" s="163" t="str">
        <f t="shared" si="5"/>
        <v>Vigente al día</v>
      </c>
      <c r="S25" s="18"/>
      <c r="T25" s="18"/>
      <c r="U25" s="18"/>
      <c r="V25" s="18"/>
      <c r="W25" s="18"/>
      <c r="X25" s="18"/>
      <c r="Y25" s="18"/>
      <c r="Z25" s="18"/>
    </row>
    <row r="26" spans="1:26" ht="18" customHeight="1">
      <c r="A26" s="157">
        <v>23</v>
      </c>
      <c r="B26" s="77">
        <f>ROUNDUP(A26/Inputs!$B$14,0)</f>
        <v>6</v>
      </c>
      <c r="C26" s="160" t="str">
        <f>IF(A26=Inputs!$C$39,"Cambio de tasa",IF(A26=Inputs!$B$15,"Pago final","Pago normal"))</f>
        <v>Pago normal</v>
      </c>
      <c r="D26" s="149">
        <f t="shared" si="0"/>
        <v>4919697.5310650831</v>
      </c>
      <c r="E26" s="150">
        <f>IF(A26&lt;Inputs!$C$39,Inputs!$B$17,Inputs!$C$38)</f>
        <v>1.2143295980573843E-2</v>
      </c>
      <c r="F26" s="149">
        <f t="shared" si="1"/>
        <v>59741.343254621679</v>
      </c>
      <c r="G26" s="149">
        <f>IF(A26&lt;Inputs!$C$39,Inputs!$B$20,IF(A26=Inputs!$C$39,PMT(E26,Inputs!$B$15-A26+1,-D26),G25))</f>
        <v>111014.82187676849</v>
      </c>
      <c r="H26" s="149">
        <f t="shared" si="2"/>
        <v>51273.478622146809</v>
      </c>
      <c r="I26" s="149">
        <f>Inputs!$B$28</f>
        <v>48643.172307692315</v>
      </c>
      <c r="J26" s="149">
        <f>Inputs!$B$29</f>
        <v>10984.615384615387</v>
      </c>
      <c r="K26" s="149">
        <f>Inputs!$B$30</f>
        <v>3406.3846153846157</v>
      </c>
      <c r="L26" s="149">
        <f t="shared" si="6"/>
        <v>63034.172307692315</v>
      </c>
      <c r="M26" s="149">
        <f t="shared" si="3"/>
        <v>174048.99418446081</v>
      </c>
      <c r="N26" s="149">
        <f t="shared" si="4"/>
        <v>4868424.0524429362</v>
      </c>
      <c r="O26" s="149">
        <f>IF(OR($B27="",ROUNDUP(($A26+1)/Inputs!$B$14,0)&gt;$B26),SUMIF($B$4:$B26,$B26,I$4:I26),0)</f>
        <v>0</v>
      </c>
      <c r="P26" s="149">
        <f>IF(OR($B27="",ROUNDUP(($A26+1)/Inputs!$B$14,0)&gt;$B26),SUMIF($B$4:$B26,$B26,J$4:J26),0)</f>
        <v>0</v>
      </c>
      <c r="Q26" s="149">
        <f>IF(OR($B27="",ROUNDUP(($A26+1)/Inputs!$B$14,0)&gt;$B26),SUMIF($B$4:$B26,$B26,K$4:K26),0)</f>
        <v>0</v>
      </c>
      <c r="R26" s="163" t="str">
        <f t="shared" si="5"/>
        <v>Vigente al día</v>
      </c>
      <c r="S26" s="18"/>
      <c r="T26" s="18"/>
      <c r="U26" s="18"/>
      <c r="V26" s="18"/>
      <c r="W26" s="18"/>
      <c r="X26" s="18"/>
      <c r="Y26" s="18"/>
      <c r="Z26" s="18"/>
    </row>
    <row r="27" spans="1:26" ht="18" customHeight="1">
      <c r="A27" s="157">
        <v>24</v>
      </c>
      <c r="B27" s="77">
        <f>ROUNDUP(A27/Inputs!$B$14,0)</f>
        <v>6</v>
      </c>
      <c r="C27" s="160" t="str">
        <f>IF(A27=Inputs!$C$39,"Cambio de tasa",IF(A27=Inputs!$B$15,"Pago final","Pago normal"))</f>
        <v>Pago normal</v>
      </c>
      <c r="D27" s="149">
        <f t="shared" si="0"/>
        <v>4868424.0524429362</v>
      </c>
      <c r="E27" s="150">
        <f>IF(A27&lt;Inputs!$C$39,Inputs!$B$17,Inputs!$C$38)</f>
        <v>1.2143295980573843E-2</v>
      </c>
      <c r="F27" s="149">
        <f t="shared" si="1"/>
        <v>59118.714227759323</v>
      </c>
      <c r="G27" s="149">
        <f>IF(A27&lt;Inputs!$C$39,Inputs!$B$20,IF(A27=Inputs!$C$39,PMT(E27,Inputs!$B$15-A27+1,-D27),G26))</f>
        <v>111014.82187676849</v>
      </c>
      <c r="H27" s="149">
        <f t="shared" si="2"/>
        <v>51896.107649009165</v>
      </c>
      <c r="I27" s="149">
        <f>Inputs!$B$28</f>
        <v>48643.172307692315</v>
      </c>
      <c r="J27" s="149">
        <f>Inputs!$B$29</f>
        <v>10984.615384615387</v>
      </c>
      <c r="K27" s="149">
        <f>Inputs!$B$30</f>
        <v>3406.3846153846157</v>
      </c>
      <c r="L27" s="149">
        <f t="shared" si="6"/>
        <v>63034.172307692315</v>
      </c>
      <c r="M27" s="149">
        <f t="shared" si="3"/>
        <v>174048.99418446081</v>
      </c>
      <c r="N27" s="149">
        <f t="shared" si="4"/>
        <v>4816527.9447939275</v>
      </c>
      <c r="O27" s="149">
        <f>IF(OR($B28="",ROUNDUP(($A27+1)/Inputs!$B$14,0)&gt;$B27),SUMIF($B$4:$B27,$B27,I$4:I27),0)</f>
        <v>0</v>
      </c>
      <c r="P27" s="149">
        <f>IF(OR($B28="",ROUNDUP(($A27+1)/Inputs!$B$14,0)&gt;$B27),SUMIF($B$4:$B27,$B27,J$4:J27),0)</f>
        <v>0</v>
      </c>
      <c r="Q27" s="149">
        <f>IF(OR($B28="",ROUNDUP(($A27+1)/Inputs!$B$14,0)&gt;$B27),SUMIF($B$4:$B27,$B27,K$4:K27),0)</f>
        <v>0</v>
      </c>
      <c r="R27" s="163" t="str">
        <f t="shared" si="5"/>
        <v>Vigente al día</v>
      </c>
      <c r="S27" s="18"/>
      <c r="T27" s="18"/>
      <c r="U27" s="18"/>
      <c r="V27" s="18"/>
      <c r="W27" s="18"/>
      <c r="X27" s="18"/>
      <c r="Y27" s="18"/>
      <c r="Z27" s="18"/>
    </row>
    <row r="28" spans="1:26" ht="18" customHeight="1">
      <c r="A28" s="157">
        <v>25</v>
      </c>
      <c r="B28" s="77">
        <f>ROUNDUP(A28/Inputs!$B$14,0)</f>
        <v>6</v>
      </c>
      <c r="C28" s="160" t="str">
        <f>IF(A28=Inputs!$C$39,"Cambio de tasa",IF(A28=Inputs!$B$15,"Pago final","Pago normal"))</f>
        <v>Pago normal</v>
      </c>
      <c r="D28" s="149">
        <f t="shared" si="0"/>
        <v>4816527.9447939275</v>
      </c>
      <c r="E28" s="150">
        <f>IF(A28&lt;Inputs!$C$39,Inputs!$B$17,Inputs!$C$38)</f>
        <v>1.2143295980573843E-2</v>
      </c>
      <c r="F28" s="149">
        <f t="shared" si="1"/>
        <v>58488.52443233769</v>
      </c>
      <c r="G28" s="149">
        <f>IF(A28&lt;Inputs!$C$39,Inputs!$B$20,IF(A28=Inputs!$C$39,PMT(E28,Inputs!$B$15-A28+1,-D28),G27))</f>
        <v>111014.82187676849</v>
      </c>
      <c r="H28" s="149">
        <f t="shared" si="2"/>
        <v>52526.297444430798</v>
      </c>
      <c r="I28" s="149">
        <f>Inputs!$B$28</f>
        <v>48643.172307692315</v>
      </c>
      <c r="J28" s="149">
        <f>Inputs!$B$29</f>
        <v>10984.615384615387</v>
      </c>
      <c r="K28" s="149">
        <f>Inputs!$B$30</f>
        <v>3406.3846153846157</v>
      </c>
      <c r="L28" s="149">
        <f t="shared" si="6"/>
        <v>63034.172307692315</v>
      </c>
      <c r="M28" s="149">
        <f t="shared" si="3"/>
        <v>174048.99418446081</v>
      </c>
      <c r="N28" s="149">
        <f t="shared" si="4"/>
        <v>4764001.6473494964</v>
      </c>
      <c r="O28" s="149">
        <f>IF(OR($B29="",ROUNDUP(($A28+1)/Inputs!$B$14,0)&gt;$B28),SUMIF($B$4:$B28,$B28,I$4:I28),0)</f>
        <v>0</v>
      </c>
      <c r="P28" s="149">
        <f>IF(OR($B29="",ROUNDUP(($A28+1)/Inputs!$B$14,0)&gt;$B28),SUMIF($B$4:$B28,$B28,J$4:J28),0)</f>
        <v>0</v>
      </c>
      <c r="Q28" s="149">
        <f>IF(OR($B29="",ROUNDUP(($A28+1)/Inputs!$B$14,0)&gt;$B28),SUMIF($B$4:$B28,$B28,K$4:K28),0)</f>
        <v>0</v>
      </c>
      <c r="R28" s="163" t="str">
        <f t="shared" si="5"/>
        <v>Vigente al día</v>
      </c>
      <c r="S28" s="18"/>
      <c r="T28" s="18"/>
      <c r="U28" s="18"/>
      <c r="V28" s="18"/>
      <c r="W28" s="18"/>
      <c r="X28" s="18"/>
      <c r="Y28" s="18"/>
      <c r="Z28" s="18"/>
    </row>
    <row r="29" spans="1:26" ht="18" customHeight="1">
      <c r="A29" s="157">
        <v>26</v>
      </c>
      <c r="B29" s="77">
        <f>ROUNDUP(A29/Inputs!$B$14,0)</f>
        <v>6</v>
      </c>
      <c r="C29" s="160" t="str">
        <f>IF(A29=Inputs!$C$39,"Cambio de tasa",IF(A29=Inputs!$B$15,"Pago final","Pago normal"))</f>
        <v>Pago normal</v>
      </c>
      <c r="D29" s="149">
        <f t="shared" si="0"/>
        <v>4764001.6473494964</v>
      </c>
      <c r="E29" s="150">
        <f>IF(A29&lt;Inputs!$C$39,Inputs!$B$17,Inputs!$C$38)</f>
        <v>1.2143295980573843E-2</v>
      </c>
      <c r="F29" s="149">
        <f t="shared" si="1"/>
        <v>57850.682055706304</v>
      </c>
      <c r="G29" s="149">
        <f>IF(A29&lt;Inputs!$C$39,Inputs!$B$20,IF(A29=Inputs!$C$39,PMT(E29,Inputs!$B$15-A29+1,-D29),G28))</f>
        <v>111014.82187676849</v>
      </c>
      <c r="H29" s="149">
        <f t="shared" si="2"/>
        <v>53164.139821062185</v>
      </c>
      <c r="I29" s="149">
        <f>Inputs!$B$28</f>
        <v>48643.172307692315</v>
      </c>
      <c r="J29" s="149">
        <f>Inputs!$B$29</f>
        <v>10984.615384615387</v>
      </c>
      <c r="K29" s="149">
        <f>Inputs!$B$30</f>
        <v>3406.3846153846157</v>
      </c>
      <c r="L29" s="149">
        <f t="shared" si="6"/>
        <v>63034.172307692315</v>
      </c>
      <c r="M29" s="149">
        <f t="shared" si="3"/>
        <v>174048.99418446081</v>
      </c>
      <c r="N29" s="149">
        <f t="shared" si="4"/>
        <v>4710837.5075284345</v>
      </c>
      <c r="O29" s="149">
        <f>IF(OR($B30="",ROUNDUP(($A29+1)/Inputs!$B$14,0)&gt;$B29),SUMIF($B$4:$B29,$B29,I$4:I29),0)</f>
        <v>243215.86153846158</v>
      </c>
      <c r="P29" s="149">
        <f>IF(OR($B30="",ROUNDUP(($A29+1)/Inputs!$B$14,0)&gt;$B29),SUMIF($B$4:$B29,$B29,J$4:J29),0)</f>
        <v>54923.076923076937</v>
      </c>
      <c r="Q29" s="149">
        <f>IF(OR($B30="",ROUNDUP(($A29+1)/Inputs!$B$14,0)&gt;$B29),SUMIF($B$4:$B29,$B29,K$4:K29),0)</f>
        <v>17031.923076923078</v>
      </c>
      <c r="R29" s="163" t="str">
        <f t="shared" si="5"/>
        <v>Vigente al día</v>
      </c>
      <c r="S29" s="18"/>
      <c r="T29" s="18"/>
      <c r="U29" s="18"/>
      <c r="V29" s="18"/>
      <c r="W29" s="18"/>
      <c r="X29" s="18"/>
      <c r="Y29" s="18"/>
      <c r="Z29" s="18"/>
    </row>
    <row r="30" spans="1:26" ht="18" customHeight="1">
      <c r="A30" s="157">
        <v>27</v>
      </c>
      <c r="B30" s="77">
        <f>ROUNDUP(A30/Inputs!$B$14,0)</f>
        <v>7</v>
      </c>
      <c r="C30" s="160" t="str">
        <f>IF(A30=Inputs!$C$39,"Cambio de tasa",IF(A30=Inputs!$B$15,"Pago final","Pago normal"))</f>
        <v>Pago normal</v>
      </c>
      <c r="D30" s="149">
        <f t="shared" si="0"/>
        <v>4710837.5075284345</v>
      </c>
      <c r="E30" s="150">
        <f>IF(A30&lt;Inputs!$C$39,Inputs!$B$17,Inputs!$C$38)</f>
        <v>1.2143295980573843E-2</v>
      </c>
      <c r="F30" s="149">
        <f t="shared" si="1"/>
        <v>57205.09417030654</v>
      </c>
      <c r="G30" s="149">
        <f>IF(A30&lt;Inputs!$C$39,Inputs!$B$20,IF(A30=Inputs!$C$39,PMT(E30,Inputs!$B$15-A30+1,-D30),G29))</f>
        <v>111014.82187676849</v>
      </c>
      <c r="H30" s="149">
        <f t="shared" si="2"/>
        <v>53809.727706461948</v>
      </c>
      <c r="I30" s="149">
        <f>Inputs!$B$28</f>
        <v>48643.172307692315</v>
      </c>
      <c r="J30" s="149">
        <f>Inputs!$B$29</f>
        <v>10984.615384615387</v>
      </c>
      <c r="K30" s="149">
        <f>Inputs!$B$30</f>
        <v>3406.3846153846157</v>
      </c>
      <c r="L30" s="149">
        <f t="shared" si="6"/>
        <v>63034.172307692315</v>
      </c>
      <c r="M30" s="149">
        <f t="shared" si="3"/>
        <v>174048.99418446081</v>
      </c>
      <c r="N30" s="149">
        <f t="shared" si="4"/>
        <v>4657027.7798219724</v>
      </c>
      <c r="O30" s="149">
        <f>IF(OR($B31="",ROUNDUP(($A30+1)/Inputs!$B$14,0)&gt;$B30),SUMIF($B$4:$B30,$B30,I$4:I30),0)</f>
        <v>0</v>
      </c>
      <c r="P30" s="149">
        <f>IF(OR($B31="",ROUNDUP(($A30+1)/Inputs!$B$14,0)&gt;$B30),SUMIF($B$4:$B30,$B30,J$4:J30),0)</f>
        <v>0</v>
      </c>
      <c r="Q30" s="149">
        <f>IF(OR($B31="",ROUNDUP(($A30+1)/Inputs!$B$14,0)&gt;$B30),SUMIF($B$4:$B30,$B30,K$4:K30),0)</f>
        <v>0</v>
      </c>
      <c r="R30" s="163" t="str">
        <f t="shared" si="5"/>
        <v>Vigente al día</v>
      </c>
      <c r="S30" s="18"/>
      <c r="T30" s="18"/>
      <c r="U30" s="18"/>
      <c r="V30" s="18"/>
      <c r="W30" s="18"/>
      <c r="X30" s="18"/>
      <c r="Y30" s="18"/>
      <c r="Z30" s="18"/>
    </row>
    <row r="31" spans="1:26" ht="18" customHeight="1">
      <c r="A31" s="157">
        <v>28</v>
      </c>
      <c r="B31" s="77">
        <f>ROUNDUP(A31/Inputs!$B$14,0)</f>
        <v>7</v>
      </c>
      <c r="C31" s="160" t="str">
        <f>IF(A31=Inputs!$C$39,"Cambio de tasa",IF(A31=Inputs!$B$15,"Pago final","Pago normal"))</f>
        <v>Pago normal</v>
      </c>
      <c r="D31" s="149">
        <f t="shared" si="0"/>
        <v>4657027.7798219724</v>
      </c>
      <c r="E31" s="150">
        <f>IF(A31&lt;Inputs!$C$39,Inputs!$B$17,Inputs!$C$38)</f>
        <v>1.2143295980573843E-2</v>
      </c>
      <c r="F31" s="149">
        <f t="shared" si="1"/>
        <v>56551.666720132882</v>
      </c>
      <c r="G31" s="149">
        <f>IF(A31&lt;Inputs!$C$39,Inputs!$B$20,IF(A31=Inputs!$C$39,PMT(E31,Inputs!$B$15-A31+1,-D31),G30))</f>
        <v>111014.82187676849</v>
      </c>
      <c r="H31" s="149">
        <f t="shared" si="2"/>
        <v>54463.155156635607</v>
      </c>
      <c r="I31" s="149">
        <f>Inputs!$B$28</f>
        <v>48643.172307692315</v>
      </c>
      <c r="J31" s="149">
        <f>Inputs!$B$29</f>
        <v>10984.615384615387</v>
      </c>
      <c r="K31" s="149">
        <f>Inputs!$B$30</f>
        <v>3406.3846153846157</v>
      </c>
      <c r="L31" s="149">
        <f t="shared" si="6"/>
        <v>63034.172307692315</v>
      </c>
      <c r="M31" s="149">
        <f t="shared" si="3"/>
        <v>174048.99418446081</v>
      </c>
      <c r="N31" s="149">
        <f t="shared" si="4"/>
        <v>4602564.6246653367</v>
      </c>
      <c r="O31" s="149">
        <f>IF(OR($B32="",ROUNDUP(($A31+1)/Inputs!$B$14,0)&gt;$B31),SUMIF($B$4:$B31,$B31,I$4:I31),0)</f>
        <v>0</v>
      </c>
      <c r="P31" s="149">
        <f>IF(OR($B32="",ROUNDUP(($A31+1)/Inputs!$B$14,0)&gt;$B31),SUMIF($B$4:$B31,$B31,J$4:J31),0)</f>
        <v>0</v>
      </c>
      <c r="Q31" s="149">
        <f>IF(OR($B32="",ROUNDUP(($A31+1)/Inputs!$B$14,0)&gt;$B31),SUMIF($B$4:$B31,$B31,K$4:K31),0)</f>
        <v>0</v>
      </c>
      <c r="R31" s="163" t="str">
        <f t="shared" si="5"/>
        <v>Vigente al día</v>
      </c>
      <c r="S31" s="18"/>
      <c r="T31" s="18"/>
      <c r="U31" s="18"/>
      <c r="V31" s="18"/>
      <c r="W31" s="18"/>
      <c r="X31" s="18"/>
      <c r="Y31" s="18"/>
      <c r="Z31" s="18"/>
    </row>
    <row r="32" spans="1:26" ht="18" customHeight="1">
      <c r="A32" s="157">
        <v>29</v>
      </c>
      <c r="B32" s="77">
        <f>ROUNDUP(A32/Inputs!$B$14,0)</f>
        <v>7</v>
      </c>
      <c r="C32" s="160" t="str">
        <f>IF(A32=Inputs!$C$39,"Cambio de tasa",IF(A32=Inputs!$B$15,"Pago final","Pago normal"))</f>
        <v>Pago normal</v>
      </c>
      <c r="D32" s="149">
        <f t="shared" si="0"/>
        <v>4602564.6246653367</v>
      </c>
      <c r="E32" s="150">
        <f>IF(A32&lt;Inputs!$C$39,Inputs!$B$17,Inputs!$C$38)</f>
        <v>1.2143295980573843E-2</v>
      </c>
      <c r="F32" s="149">
        <f t="shared" si="1"/>
        <v>55890.304507029941</v>
      </c>
      <c r="G32" s="149">
        <f>IF(A32&lt;Inputs!$C$39,Inputs!$B$20,IF(A32=Inputs!$C$39,PMT(E32,Inputs!$B$15-A32+1,-D32),G31))</f>
        <v>111014.82187676849</v>
      </c>
      <c r="H32" s="149">
        <f t="shared" si="2"/>
        <v>55124.517369738547</v>
      </c>
      <c r="I32" s="149">
        <f>Inputs!$B$28</f>
        <v>48643.172307692315</v>
      </c>
      <c r="J32" s="149">
        <f>Inputs!$B$29</f>
        <v>10984.615384615387</v>
      </c>
      <c r="K32" s="149">
        <f>Inputs!$B$30</f>
        <v>3406.3846153846157</v>
      </c>
      <c r="L32" s="149">
        <f t="shared" si="6"/>
        <v>63034.172307692315</v>
      </c>
      <c r="M32" s="149">
        <f t="shared" si="3"/>
        <v>174048.99418446081</v>
      </c>
      <c r="N32" s="149">
        <f t="shared" si="4"/>
        <v>4547440.1072955979</v>
      </c>
      <c r="O32" s="149">
        <f>IF(OR($B33="",ROUNDUP(($A32+1)/Inputs!$B$14,0)&gt;$B32),SUMIF($B$4:$B32,$B32,I$4:I32),0)</f>
        <v>0</v>
      </c>
      <c r="P32" s="149">
        <f>IF(OR($B33="",ROUNDUP(($A32+1)/Inputs!$B$14,0)&gt;$B32),SUMIF($B$4:$B32,$B32,J$4:J32),0)</f>
        <v>0</v>
      </c>
      <c r="Q32" s="149">
        <f>IF(OR($B33="",ROUNDUP(($A32+1)/Inputs!$B$14,0)&gt;$B32),SUMIF($B$4:$B32,$B32,K$4:K32),0)</f>
        <v>0</v>
      </c>
      <c r="R32" s="163" t="str">
        <f t="shared" si="5"/>
        <v>Vigente al día</v>
      </c>
      <c r="S32" s="18"/>
      <c r="T32" s="18"/>
      <c r="U32" s="18"/>
      <c r="V32" s="18"/>
      <c r="W32" s="18"/>
      <c r="X32" s="18"/>
      <c r="Y32" s="18"/>
      <c r="Z32" s="18"/>
    </row>
    <row r="33" spans="1:26" ht="18" customHeight="1">
      <c r="A33" s="157">
        <v>30</v>
      </c>
      <c r="B33" s="77">
        <f>ROUNDUP(A33/Inputs!$B$14,0)</f>
        <v>7</v>
      </c>
      <c r="C33" s="160" t="str">
        <f>IF(A33=Inputs!$C$39,"Cambio de tasa",IF(A33=Inputs!$B$15,"Pago final","Pago normal"))</f>
        <v>Pago normal</v>
      </c>
      <c r="D33" s="149">
        <f t="shared" si="0"/>
        <v>4547440.1072955979</v>
      </c>
      <c r="E33" s="150">
        <f>IF(A33&lt;Inputs!$C$39,Inputs!$B$17,Inputs!$C$38)</f>
        <v>1.2143295980573843E-2</v>
      </c>
      <c r="F33" s="149">
        <f t="shared" si="1"/>
        <v>55220.91117682292</v>
      </c>
      <c r="G33" s="149">
        <f>IF(A33&lt;Inputs!$C$39,Inputs!$B$20,IF(A33=Inputs!$C$39,PMT(E33,Inputs!$B$15-A33+1,-D33),G32))</f>
        <v>111014.82187676849</v>
      </c>
      <c r="H33" s="149">
        <f t="shared" si="2"/>
        <v>55793.910699945569</v>
      </c>
      <c r="I33" s="149">
        <f>Inputs!$B$28</f>
        <v>48643.172307692315</v>
      </c>
      <c r="J33" s="149">
        <f>Inputs!$B$29</f>
        <v>10984.615384615387</v>
      </c>
      <c r="K33" s="149">
        <f>Inputs!$B$30</f>
        <v>3406.3846153846157</v>
      </c>
      <c r="L33" s="149">
        <f t="shared" si="6"/>
        <v>63034.172307692315</v>
      </c>
      <c r="M33" s="149">
        <f t="shared" si="3"/>
        <v>174048.99418446081</v>
      </c>
      <c r="N33" s="149">
        <f t="shared" si="4"/>
        <v>4491646.196595652</v>
      </c>
      <c r="O33" s="149">
        <f>IF(OR($B34="",ROUNDUP(($A33+1)/Inputs!$B$14,0)&gt;$B33),SUMIF($B$4:$B33,$B33,I$4:I33),0)</f>
        <v>194572.68923076926</v>
      </c>
      <c r="P33" s="149">
        <f>IF(OR($B34="",ROUNDUP(($A33+1)/Inputs!$B$14,0)&gt;$B33),SUMIF($B$4:$B33,$B33,J$4:J33),0)</f>
        <v>43938.461538461546</v>
      </c>
      <c r="Q33" s="149">
        <f>IF(OR($B34="",ROUNDUP(($A33+1)/Inputs!$B$14,0)&gt;$B33),SUMIF($B$4:$B33,$B33,K$4:K33),0)</f>
        <v>13625.538461538463</v>
      </c>
      <c r="R33" s="163" t="str">
        <f t="shared" si="5"/>
        <v>Vigente al día</v>
      </c>
      <c r="S33" s="18"/>
      <c r="T33" s="18"/>
      <c r="U33" s="18"/>
      <c r="V33" s="18"/>
      <c r="W33" s="18"/>
      <c r="X33" s="18"/>
      <c r="Y33" s="18"/>
      <c r="Z33" s="18"/>
    </row>
    <row r="34" spans="1:26" ht="18" customHeight="1">
      <c r="A34" s="157">
        <v>31</v>
      </c>
      <c r="B34" s="77">
        <f>ROUNDUP(A34/Inputs!$B$14,0)</f>
        <v>8</v>
      </c>
      <c r="C34" s="160" t="str">
        <f>IF(A34=Inputs!$C$39,"Cambio de tasa",IF(A34=Inputs!$B$15,"Pago final","Pago normal"))</f>
        <v>Pago normal</v>
      </c>
      <c r="D34" s="149">
        <f t="shared" si="0"/>
        <v>4491646.196595652</v>
      </c>
      <c r="E34" s="150">
        <f>IF(A34&lt;Inputs!$C$39,Inputs!$B$17,Inputs!$C$38)</f>
        <v>1.2143295980573843E-2</v>
      </c>
      <c r="F34" s="149">
        <f t="shared" si="1"/>
        <v>54543.389205279767</v>
      </c>
      <c r="G34" s="149">
        <f>IF(A34&lt;Inputs!$C$39,Inputs!$B$20,IF(A34=Inputs!$C$39,PMT(E34,Inputs!$B$15-A34+1,-D34),G33))</f>
        <v>111014.82187676849</v>
      </c>
      <c r="H34" s="149">
        <f t="shared" si="2"/>
        <v>56471.432671488721</v>
      </c>
      <c r="I34" s="149">
        <f>Inputs!$B$28</f>
        <v>48643.172307692315</v>
      </c>
      <c r="J34" s="149">
        <f>Inputs!$B$29</f>
        <v>10984.615384615387</v>
      </c>
      <c r="K34" s="149">
        <f>Inputs!$B$30</f>
        <v>3406.3846153846157</v>
      </c>
      <c r="L34" s="149">
        <f t="shared" si="6"/>
        <v>63034.172307692315</v>
      </c>
      <c r="M34" s="149">
        <f t="shared" si="3"/>
        <v>174048.99418446081</v>
      </c>
      <c r="N34" s="149">
        <f t="shared" si="4"/>
        <v>4435174.7639241638</v>
      </c>
      <c r="O34" s="149">
        <f>IF(OR($B35="",ROUNDUP(($A34+1)/Inputs!$B$14,0)&gt;$B34),SUMIF($B$4:$B34,$B34,I$4:I34),0)</f>
        <v>0</v>
      </c>
      <c r="P34" s="149">
        <f>IF(OR($B35="",ROUNDUP(($A34+1)/Inputs!$B$14,0)&gt;$B34),SUMIF($B$4:$B34,$B34,J$4:J34),0)</f>
        <v>0</v>
      </c>
      <c r="Q34" s="149">
        <f>IF(OR($B35="",ROUNDUP(($A34+1)/Inputs!$B$14,0)&gt;$B34),SUMIF($B$4:$B34,$B34,K$4:K34),0)</f>
        <v>0</v>
      </c>
      <c r="R34" s="163" t="str">
        <f t="shared" si="5"/>
        <v>Vigente al día</v>
      </c>
      <c r="S34" s="18"/>
      <c r="T34" s="18"/>
      <c r="U34" s="18"/>
      <c r="V34" s="18"/>
      <c r="W34" s="18"/>
      <c r="X34" s="18"/>
      <c r="Y34" s="18"/>
      <c r="Z34" s="18"/>
    </row>
    <row r="35" spans="1:26" ht="18" customHeight="1">
      <c r="A35" s="157">
        <v>32</v>
      </c>
      <c r="B35" s="77">
        <f>ROUNDUP(A35/Inputs!$B$14,0)</f>
        <v>8</v>
      </c>
      <c r="C35" s="160" t="str">
        <f>IF(A35=Inputs!$C$39,"Cambio de tasa",IF(A35=Inputs!$B$15,"Pago final","Pago normal"))</f>
        <v>Pago normal</v>
      </c>
      <c r="D35" s="149">
        <f t="shared" si="0"/>
        <v>4435174.7639241638</v>
      </c>
      <c r="E35" s="150">
        <f>IF(A35&lt;Inputs!$C$39,Inputs!$B$17,Inputs!$C$38)</f>
        <v>1.2143295980573843E-2</v>
      </c>
      <c r="F35" s="149">
        <f t="shared" si="1"/>
        <v>53857.639883902841</v>
      </c>
      <c r="G35" s="149">
        <f>IF(A35&lt;Inputs!$C$39,Inputs!$B$20,IF(A35=Inputs!$C$39,PMT(E35,Inputs!$B$15-A35+1,-D35),G34))</f>
        <v>111014.82187676849</v>
      </c>
      <c r="H35" s="149">
        <f t="shared" si="2"/>
        <v>57157.181992865648</v>
      </c>
      <c r="I35" s="149">
        <f>Inputs!$B$28</f>
        <v>48643.172307692315</v>
      </c>
      <c r="J35" s="149">
        <f>Inputs!$B$29</f>
        <v>10984.615384615387</v>
      </c>
      <c r="K35" s="149">
        <f>Inputs!$B$30</f>
        <v>3406.3846153846157</v>
      </c>
      <c r="L35" s="149">
        <f t="shared" si="6"/>
        <v>63034.172307692315</v>
      </c>
      <c r="M35" s="149">
        <f t="shared" si="3"/>
        <v>174048.99418446081</v>
      </c>
      <c r="N35" s="149">
        <f t="shared" si="4"/>
        <v>4378017.5819312977</v>
      </c>
      <c r="O35" s="149">
        <f>IF(OR($B36="",ROUNDUP(($A35+1)/Inputs!$B$14,0)&gt;$B35),SUMIF($B$4:$B35,$B35,I$4:I35),0)</f>
        <v>0</v>
      </c>
      <c r="P35" s="149">
        <f>IF(OR($B36="",ROUNDUP(($A35+1)/Inputs!$B$14,0)&gt;$B35),SUMIF($B$4:$B35,$B35,J$4:J35),0)</f>
        <v>0</v>
      </c>
      <c r="Q35" s="149">
        <f>IF(OR($B36="",ROUNDUP(($A35+1)/Inputs!$B$14,0)&gt;$B35),SUMIF($B$4:$B35,$B35,K$4:K35),0)</f>
        <v>0</v>
      </c>
      <c r="R35" s="163" t="str">
        <f t="shared" si="5"/>
        <v>Vigente al día</v>
      </c>
      <c r="S35" s="18"/>
      <c r="T35" s="18"/>
      <c r="U35" s="18"/>
      <c r="V35" s="18"/>
      <c r="W35" s="18"/>
      <c r="X35" s="18"/>
      <c r="Y35" s="18"/>
      <c r="Z35" s="18"/>
    </row>
    <row r="36" spans="1:26" ht="18" customHeight="1">
      <c r="A36" s="157">
        <v>33</v>
      </c>
      <c r="B36" s="77">
        <f>ROUNDUP(A36/Inputs!$B$14,0)</f>
        <v>8</v>
      </c>
      <c r="C36" s="160" t="str">
        <f>IF(A36=Inputs!$C$39,"Cambio de tasa",IF(A36=Inputs!$B$15,"Pago final","Pago normal"))</f>
        <v>Pago normal</v>
      </c>
      <c r="D36" s="149">
        <f t="shared" ref="D36:D67" si="7">N35</f>
        <v>4378017.5819312977</v>
      </c>
      <c r="E36" s="150">
        <f>IF(A36&lt;Inputs!$C$39,Inputs!$B$17,Inputs!$C$38)</f>
        <v>1.2143295980573843E-2</v>
      </c>
      <c r="F36" s="149">
        <f t="shared" ref="F36:F67" si="8">D36*E36</f>
        <v>53163.563305547941</v>
      </c>
      <c r="G36" s="149">
        <f>IF(A36&lt;Inputs!$C$39,Inputs!$B$20,IF(A36=Inputs!$C$39,PMT(E36,Inputs!$B$15-A36+1,-D36),G35))</f>
        <v>111014.82187676849</v>
      </c>
      <c r="H36" s="149">
        <f t="shared" ref="H36:H67" si="9">MIN(D36,G36-F36)</f>
        <v>57851.258571220547</v>
      </c>
      <c r="I36" s="149">
        <f>Inputs!$B$28</f>
        <v>48643.172307692315</v>
      </c>
      <c r="J36" s="149">
        <f>Inputs!$B$29</f>
        <v>10984.615384615387</v>
      </c>
      <c r="K36" s="149">
        <f>Inputs!$B$30</f>
        <v>3406.3846153846157</v>
      </c>
      <c r="L36" s="149">
        <f t="shared" si="6"/>
        <v>63034.172307692315</v>
      </c>
      <c r="M36" s="149">
        <f t="shared" ref="M36:M67" si="10">G36+L36</f>
        <v>174048.99418446081</v>
      </c>
      <c r="N36" s="149">
        <f t="shared" ref="N36:N67" si="11">MAX(0,D36-H36)</f>
        <v>4320166.3233600771</v>
      </c>
      <c r="O36" s="149">
        <f>IF(OR($B37="",ROUNDUP(($A36+1)/Inputs!$B$14,0)&gt;$B36),SUMIF($B$4:$B36,$B36,I$4:I36),0)</f>
        <v>0</v>
      </c>
      <c r="P36" s="149">
        <f>IF(OR($B37="",ROUNDUP(($A36+1)/Inputs!$B$14,0)&gt;$B36),SUMIF($B$4:$B36,$B36,J$4:J36),0)</f>
        <v>0</v>
      </c>
      <c r="Q36" s="149">
        <f>IF(OR($B37="",ROUNDUP(($A36+1)/Inputs!$B$14,0)&gt;$B36),SUMIF($B$4:$B36,$B36,K$4:K36),0)</f>
        <v>0</v>
      </c>
      <c r="R36" s="163" t="str">
        <f t="shared" ref="R36:R67" si="12">IF(N36&lt;=0.005,"Amortizado","Vigente al día")</f>
        <v>Vigente al día</v>
      </c>
      <c r="S36" s="18"/>
      <c r="T36" s="18"/>
      <c r="U36" s="18"/>
      <c r="V36" s="18"/>
      <c r="W36" s="18"/>
      <c r="X36" s="18"/>
      <c r="Y36" s="18"/>
      <c r="Z36" s="18"/>
    </row>
    <row r="37" spans="1:26" ht="18" customHeight="1">
      <c r="A37" s="157">
        <v>34</v>
      </c>
      <c r="B37" s="77">
        <f>ROUNDUP(A37/Inputs!$B$14,0)</f>
        <v>8</v>
      </c>
      <c r="C37" s="160" t="str">
        <f>IF(A37=Inputs!$C$39,"Cambio de tasa",IF(A37=Inputs!$B$15,"Pago final","Pago normal"))</f>
        <v>Pago normal</v>
      </c>
      <c r="D37" s="149">
        <f t="shared" si="7"/>
        <v>4320166.3233600771</v>
      </c>
      <c r="E37" s="150">
        <f>IF(A37&lt;Inputs!$C$39,Inputs!$B$17,Inputs!$C$38)</f>
        <v>1.2143295980573843E-2</v>
      </c>
      <c r="F37" s="149">
        <f t="shared" si="8"/>
        <v>52461.058349868901</v>
      </c>
      <c r="G37" s="149">
        <f>IF(A37&lt;Inputs!$C$39,Inputs!$B$20,IF(A37=Inputs!$C$39,PMT(E37,Inputs!$B$15-A37+1,-D37),G36))</f>
        <v>111014.82187676849</v>
      </c>
      <c r="H37" s="149">
        <f t="shared" si="9"/>
        <v>58553.763526899587</v>
      </c>
      <c r="I37" s="149">
        <f>Inputs!$B$28</f>
        <v>48643.172307692315</v>
      </c>
      <c r="J37" s="149">
        <f>Inputs!$B$29</f>
        <v>10984.615384615387</v>
      </c>
      <c r="K37" s="149">
        <f>Inputs!$B$30</f>
        <v>3406.3846153846157</v>
      </c>
      <c r="L37" s="149">
        <f t="shared" si="6"/>
        <v>63034.172307692315</v>
      </c>
      <c r="M37" s="149">
        <f t="shared" si="10"/>
        <v>174048.99418446081</v>
      </c>
      <c r="N37" s="149">
        <f t="shared" si="11"/>
        <v>4261612.5598331774</v>
      </c>
      <c r="O37" s="149">
        <f>IF(OR($B38="",ROUNDUP(($A37+1)/Inputs!$B$14,0)&gt;$B37),SUMIF($B$4:$B37,$B37,I$4:I37),0)</f>
        <v>194572.68923076926</v>
      </c>
      <c r="P37" s="149">
        <f>IF(OR($B38="",ROUNDUP(($A37+1)/Inputs!$B$14,0)&gt;$B37),SUMIF($B$4:$B37,$B37,J$4:J37),0)</f>
        <v>43938.461538461546</v>
      </c>
      <c r="Q37" s="149">
        <f>IF(OR($B38="",ROUNDUP(($A37+1)/Inputs!$B$14,0)&gt;$B37),SUMIF($B$4:$B37,$B37,K$4:K37),0)</f>
        <v>13625.538461538463</v>
      </c>
      <c r="R37" s="163" t="str">
        <f t="shared" si="12"/>
        <v>Vigente al día</v>
      </c>
      <c r="S37" s="18"/>
      <c r="T37" s="18"/>
      <c r="U37" s="18"/>
      <c r="V37" s="18"/>
      <c r="W37" s="18"/>
      <c r="X37" s="18"/>
      <c r="Y37" s="18"/>
      <c r="Z37" s="18"/>
    </row>
    <row r="38" spans="1:26" ht="18" customHeight="1">
      <c r="A38" s="157">
        <v>35</v>
      </c>
      <c r="B38" s="77">
        <f>ROUNDUP(A38/Inputs!$B$14,0)</f>
        <v>9</v>
      </c>
      <c r="C38" s="160" t="str">
        <f>IF(A38=Inputs!$C$39,"Cambio de tasa",IF(A38=Inputs!$B$15,"Pago final","Pago normal"))</f>
        <v>Pago normal</v>
      </c>
      <c r="D38" s="149">
        <f t="shared" si="7"/>
        <v>4261612.5598331774</v>
      </c>
      <c r="E38" s="150">
        <f>IF(A38&lt;Inputs!$C$39,Inputs!$B$17,Inputs!$C$38)</f>
        <v>1.2143295980573843E-2</v>
      </c>
      <c r="F38" s="149">
        <f t="shared" si="8"/>
        <v>51750.022668585225</v>
      </c>
      <c r="G38" s="149">
        <f>IF(A38&lt;Inputs!$C$39,Inputs!$B$20,IF(A38=Inputs!$C$39,PMT(E38,Inputs!$B$15-A38+1,-D38),G37))</f>
        <v>111014.82187676849</v>
      </c>
      <c r="H38" s="149">
        <f t="shared" si="9"/>
        <v>59264.799208183264</v>
      </c>
      <c r="I38" s="149">
        <f>Inputs!$B$28</f>
        <v>48643.172307692315</v>
      </c>
      <c r="J38" s="149">
        <f>Inputs!$B$29</f>
        <v>10984.615384615387</v>
      </c>
      <c r="K38" s="149">
        <f>Inputs!$B$30</f>
        <v>3406.3846153846157</v>
      </c>
      <c r="L38" s="149">
        <f t="shared" si="6"/>
        <v>63034.172307692315</v>
      </c>
      <c r="M38" s="149">
        <f t="shared" si="10"/>
        <v>174048.99418446081</v>
      </c>
      <c r="N38" s="149">
        <f t="shared" si="11"/>
        <v>4202347.7606249945</v>
      </c>
      <c r="O38" s="149">
        <f>IF(OR($B39="",ROUNDUP(($A38+1)/Inputs!$B$14,0)&gt;$B38),SUMIF($B$4:$B38,$B38,I$4:I38),0)</f>
        <v>0</v>
      </c>
      <c r="P38" s="149">
        <f>IF(OR($B39="",ROUNDUP(($A38+1)/Inputs!$B$14,0)&gt;$B38),SUMIF($B$4:$B38,$B38,J$4:J38),0)</f>
        <v>0</v>
      </c>
      <c r="Q38" s="149">
        <f>IF(OR($B39="",ROUNDUP(($A38+1)/Inputs!$B$14,0)&gt;$B38),SUMIF($B$4:$B38,$B38,K$4:K38),0)</f>
        <v>0</v>
      </c>
      <c r="R38" s="163" t="str">
        <f t="shared" si="12"/>
        <v>Vigente al día</v>
      </c>
      <c r="S38" s="18"/>
      <c r="T38" s="18"/>
      <c r="U38" s="18"/>
      <c r="V38" s="18"/>
      <c r="W38" s="18"/>
      <c r="X38" s="18"/>
      <c r="Y38" s="18"/>
      <c r="Z38" s="18"/>
    </row>
    <row r="39" spans="1:26" ht="18" customHeight="1">
      <c r="A39" s="157">
        <v>36</v>
      </c>
      <c r="B39" s="77">
        <f>ROUNDUP(A39/Inputs!$B$14,0)</f>
        <v>9</v>
      </c>
      <c r="C39" s="160" t="str">
        <f>IF(A39=Inputs!$C$39,"Cambio de tasa",IF(A39=Inputs!$B$15,"Pago final","Pago normal"))</f>
        <v>Pago normal</v>
      </c>
      <c r="D39" s="149">
        <f t="shared" si="7"/>
        <v>4202347.7606249945</v>
      </c>
      <c r="E39" s="150">
        <f>IF(A39&lt;Inputs!$C$39,Inputs!$B$17,Inputs!$C$38)</f>
        <v>1.2143295980573843E-2</v>
      </c>
      <c r="F39" s="149">
        <f t="shared" si="8"/>
        <v>51030.352670570988</v>
      </c>
      <c r="G39" s="149">
        <f>IF(A39&lt;Inputs!$C$39,Inputs!$B$20,IF(A39=Inputs!$C$39,PMT(E39,Inputs!$B$15-A39+1,-D39),G38))</f>
        <v>111014.82187676849</v>
      </c>
      <c r="H39" s="149">
        <f t="shared" si="9"/>
        <v>59984.4692061975</v>
      </c>
      <c r="I39" s="149">
        <f>Inputs!$B$28</f>
        <v>48643.172307692315</v>
      </c>
      <c r="J39" s="149">
        <f>Inputs!$B$29</f>
        <v>10984.615384615387</v>
      </c>
      <c r="K39" s="149">
        <f>Inputs!$B$30</f>
        <v>3406.3846153846157</v>
      </c>
      <c r="L39" s="149">
        <f t="shared" si="6"/>
        <v>63034.172307692315</v>
      </c>
      <c r="M39" s="149">
        <f t="shared" si="10"/>
        <v>174048.99418446081</v>
      </c>
      <c r="N39" s="149">
        <f t="shared" si="11"/>
        <v>4142363.2914187969</v>
      </c>
      <c r="O39" s="149">
        <f>IF(OR($B40="",ROUNDUP(($A39+1)/Inputs!$B$14,0)&gt;$B39),SUMIF($B$4:$B39,$B39,I$4:I39),0)</f>
        <v>0</v>
      </c>
      <c r="P39" s="149">
        <f>IF(OR($B40="",ROUNDUP(($A39+1)/Inputs!$B$14,0)&gt;$B39),SUMIF($B$4:$B39,$B39,J$4:J39),0)</f>
        <v>0</v>
      </c>
      <c r="Q39" s="149">
        <f>IF(OR($B40="",ROUNDUP(($A39+1)/Inputs!$B$14,0)&gt;$B39),SUMIF($B$4:$B39,$B39,K$4:K39),0)</f>
        <v>0</v>
      </c>
      <c r="R39" s="163" t="str">
        <f t="shared" si="12"/>
        <v>Vigente al día</v>
      </c>
      <c r="S39" s="18"/>
      <c r="T39" s="18"/>
      <c r="U39" s="18"/>
      <c r="V39" s="18"/>
      <c r="W39" s="18"/>
      <c r="X39" s="18"/>
      <c r="Y39" s="18"/>
      <c r="Z39" s="18"/>
    </row>
    <row r="40" spans="1:26" ht="18" customHeight="1">
      <c r="A40" s="157">
        <v>37</v>
      </c>
      <c r="B40" s="77">
        <f>ROUNDUP(A40/Inputs!$B$14,0)</f>
        <v>9</v>
      </c>
      <c r="C40" s="160" t="str">
        <f>IF(A40=Inputs!$C$39,"Cambio de tasa",IF(A40=Inputs!$B$15,"Pago final","Pago normal"))</f>
        <v>Pago normal</v>
      </c>
      <c r="D40" s="149">
        <f t="shared" si="7"/>
        <v>4142363.2914187969</v>
      </c>
      <c r="E40" s="150">
        <f>IF(A40&lt;Inputs!$C$39,Inputs!$B$17,Inputs!$C$38)</f>
        <v>1.2143295980573843E-2</v>
      </c>
      <c r="F40" s="149">
        <f t="shared" si="8"/>
        <v>50301.943506762509</v>
      </c>
      <c r="G40" s="149">
        <f>IF(A40&lt;Inputs!$C$39,Inputs!$B$20,IF(A40=Inputs!$C$39,PMT(E40,Inputs!$B$15-A40+1,-D40),G39))</f>
        <v>111014.82187676849</v>
      </c>
      <c r="H40" s="149">
        <f t="shared" si="9"/>
        <v>60712.878370005979</v>
      </c>
      <c r="I40" s="149">
        <f>Inputs!$B$28</f>
        <v>48643.172307692315</v>
      </c>
      <c r="J40" s="149">
        <f>Inputs!$B$29</f>
        <v>10984.615384615387</v>
      </c>
      <c r="K40" s="149">
        <f>Inputs!$B$30</f>
        <v>3406.3846153846157</v>
      </c>
      <c r="L40" s="149">
        <f t="shared" si="6"/>
        <v>63034.172307692315</v>
      </c>
      <c r="M40" s="149">
        <f t="shared" si="10"/>
        <v>174048.99418446081</v>
      </c>
      <c r="N40" s="149">
        <f t="shared" si="11"/>
        <v>4081650.4130487908</v>
      </c>
      <c r="O40" s="149">
        <f>IF(OR($B41="",ROUNDUP(($A40+1)/Inputs!$B$14,0)&gt;$B40),SUMIF($B$4:$B40,$B40,I$4:I40),0)</f>
        <v>0</v>
      </c>
      <c r="P40" s="149">
        <f>IF(OR($B41="",ROUNDUP(($A40+1)/Inputs!$B$14,0)&gt;$B40),SUMIF($B$4:$B40,$B40,J$4:J40),0)</f>
        <v>0</v>
      </c>
      <c r="Q40" s="149">
        <f>IF(OR($B41="",ROUNDUP(($A40+1)/Inputs!$B$14,0)&gt;$B40),SUMIF($B$4:$B40,$B40,K$4:K40),0)</f>
        <v>0</v>
      </c>
      <c r="R40" s="163" t="str">
        <f t="shared" si="12"/>
        <v>Vigente al día</v>
      </c>
      <c r="S40" s="18"/>
      <c r="T40" s="18"/>
      <c r="U40" s="18"/>
      <c r="V40" s="18"/>
      <c r="W40" s="18"/>
      <c r="X40" s="18"/>
      <c r="Y40" s="18"/>
      <c r="Z40" s="18"/>
    </row>
    <row r="41" spans="1:26" ht="18" customHeight="1">
      <c r="A41" s="157">
        <v>38</v>
      </c>
      <c r="B41" s="77">
        <f>ROUNDUP(A41/Inputs!$B$14,0)</f>
        <v>9</v>
      </c>
      <c r="C41" s="160" t="str">
        <f>IF(A41=Inputs!$C$39,"Cambio de tasa",IF(A41=Inputs!$B$15,"Pago final","Pago normal"))</f>
        <v>Pago normal</v>
      </c>
      <c r="D41" s="149">
        <f t="shared" si="7"/>
        <v>4081650.4130487908</v>
      </c>
      <c r="E41" s="150">
        <f>IF(A41&lt;Inputs!$C$39,Inputs!$B$17,Inputs!$C$38)</f>
        <v>1.2143295980573843E-2</v>
      </c>
      <c r="F41" s="149">
        <f t="shared" si="8"/>
        <v>49564.689054882947</v>
      </c>
      <c r="G41" s="149">
        <f>IF(A41&lt;Inputs!$C$39,Inputs!$B$20,IF(A41=Inputs!$C$39,PMT(E41,Inputs!$B$15-A41+1,-D41),G40))</f>
        <v>111014.82187676849</v>
      </c>
      <c r="H41" s="149">
        <f t="shared" si="9"/>
        <v>61450.132821885541</v>
      </c>
      <c r="I41" s="149">
        <f>Inputs!$B$28</f>
        <v>48643.172307692315</v>
      </c>
      <c r="J41" s="149">
        <f>Inputs!$B$29</f>
        <v>10984.615384615387</v>
      </c>
      <c r="K41" s="149">
        <f>Inputs!$B$30</f>
        <v>3406.3846153846157</v>
      </c>
      <c r="L41" s="149">
        <f t="shared" si="6"/>
        <v>63034.172307692315</v>
      </c>
      <c r="M41" s="149">
        <f t="shared" si="10"/>
        <v>174048.99418446081</v>
      </c>
      <c r="N41" s="149">
        <f t="shared" si="11"/>
        <v>4020200.2802269054</v>
      </c>
      <c r="O41" s="149">
        <f>IF(OR($B42="",ROUNDUP(($A41+1)/Inputs!$B$14,0)&gt;$B41),SUMIF($B$4:$B41,$B41,I$4:I41),0)</f>
        <v>0</v>
      </c>
      <c r="P41" s="149">
        <f>IF(OR($B42="",ROUNDUP(($A41+1)/Inputs!$B$14,0)&gt;$B41),SUMIF($B$4:$B41,$B41,J$4:J41),0)</f>
        <v>0</v>
      </c>
      <c r="Q41" s="149">
        <f>IF(OR($B42="",ROUNDUP(($A41+1)/Inputs!$B$14,0)&gt;$B41),SUMIF($B$4:$B41,$B41,K$4:K41),0)</f>
        <v>0</v>
      </c>
      <c r="R41" s="163" t="str">
        <f t="shared" si="12"/>
        <v>Vigente al día</v>
      </c>
      <c r="S41" s="18"/>
      <c r="T41" s="18"/>
      <c r="U41" s="18"/>
      <c r="V41" s="18"/>
      <c r="W41" s="18"/>
      <c r="X41" s="18"/>
      <c r="Y41" s="18"/>
      <c r="Z41" s="18"/>
    </row>
    <row r="42" spans="1:26" ht="18" customHeight="1">
      <c r="A42" s="157">
        <v>39</v>
      </c>
      <c r="B42" s="77">
        <f>ROUNDUP(A42/Inputs!$B$14,0)</f>
        <v>9</v>
      </c>
      <c r="C42" s="160" t="str">
        <f>IF(A42=Inputs!$C$39,"Cambio de tasa",IF(A42=Inputs!$B$15,"Pago final","Pago normal"))</f>
        <v>Pago normal</v>
      </c>
      <c r="D42" s="149">
        <f t="shared" si="7"/>
        <v>4020200.2802269054</v>
      </c>
      <c r="E42" s="150">
        <f>IF(A42&lt;Inputs!$C$39,Inputs!$B$17,Inputs!$C$38)</f>
        <v>1.2143295980573843E-2</v>
      </c>
      <c r="F42" s="149">
        <f t="shared" si="8"/>
        <v>48818.481903981214</v>
      </c>
      <c r="G42" s="149">
        <f>IF(A42&lt;Inputs!$C$39,Inputs!$B$20,IF(A42=Inputs!$C$39,PMT(E42,Inputs!$B$15-A42+1,-D42),G41))</f>
        <v>111014.82187676849</v>
      </c>
      <c r="H42" s="149">
        <f t="shared" si="9"/>
        <v>62196.339972787275</v>
      </c>
      <c r="I42" s="149">
        <f>Inputs!$B$28</f>
        <v>48643.172307692315</v>
      </c>
      <c r="J42" s="149">
        <f>Inputs!$B$29</f>
        <v>10984.615384615387</v>
      </c>
      <c r="K42" s="149">
        <f>Inputs!$B$30</f>
        <v>3406.3846153846157</v>
      </c>
      <c r="L42" s="149">
        <f t="shared" si="6"/>
        <v>63034.172307692315</v>
      </c>
      <c r="M42" s="149">
        <f t="shared" si="10"/>
        <v>174048.99418446081</v>
      </c>
      <c r="N42" s="149">
        <f t="shared" si="11"/>
        <v>3958003.9402541183</v>
      </c>
      <c r="O42" s="149">
        <f>IF(OR($B43="",ROUNDUP(($A42+1)/Inputs!$B$14,0)&gt;$B42),SUMIF($B$4:$B42,$B42,I$4:I42),0)</f>
        <v>243215.86153846158</v>
      </c>
      <c r="P42" s="149">
        <f>IF(OR($B43="",ROUNDUP(($A42+1)/Inputs!$B$14,0)&gt;$B42),SUMIF($B$4:$B42,$B42,J$4:J42),0)</f>
        <v>54923.076923076937</v>
      </c>
      <c r="Q42" s="149">
        <f>IF(OR($B43="",ROUNDUP(($A42+1)/Inputs!$B$14,0)&gt;$B42),SUMIF($B$4:$B42,$B42,K$4:K42),0)</f>
        <v>17031.923076923078</v>
      </c>
      <c r="R42" s="163" t="str">
        <f t="shared" si="12"/>
        <v>Vigente al día</v>
      </c>
      <c r="S42" s="18"/>
      <c r="T42" s="18"/>
      <c r="U42" s="18"/>
      <c r="V42" s="18"/>
      <c r="W42" s="18"/>
      <c r="X42" s="18"/>
      <c r="Y42" s="18"/>
      <c r="Z42" s="18"/>
    </row>
    <row r="43" spans="1:26" ht="18" customHeight="1">
      <c r="A43" s="157">
        <v>40</v>
      </c>
      <c r="B43" s="77">
        <f>ROUNDUP(A43/Inputs!$B$14,0)</f>
        <v>10</v>
      </c>
      <c r="C43" s="160" t="str">
        <f>IF(A43=Inputs!$C$39,"Cambio de tasa",IF(A43=Inputs!$B$15,"Pago final","Pago normal"))</f>
        <v>Pago normal</v>
      </c>
      <c r="D43" s="149">
        <f t="shared" si="7"/>
        <v>3958003.9402541183</v>
      </c>
      <c r="E43" s="150">
        <f>IF(A43&lt;Inputs!$C$39,Inputs!$B$17,Inputs!$C$38)</f>
        <v>1.2143295980573843E-2</v>
      </c>
      <c r="F43" s="149">
        <f t="shared" si="8"/>
        <v>48063.213338783265</v>
      </c>
      <c r="G43" s="149">
        <f>IF(A43&lt;Inputs!$C$39,Inputs!$B$20,IF(A43=Inputs!$C$39,PMT(E43,Inputs!$B$15-A43+1,-D43),G42))</f>
        <v>111014.82187676849</v>
      </c>
      <c r="H43" s="149">
        <f t="shared" si="9"/>
        <v>62951.608537985223</v>
      </c>
      <c r="I43" s="149">
        <f>Inputs!$B$28</f>
        <v>48643.172307692315</v>
      </c>
      <c r="J43" s="149">
        <f>Inputs!$B$29</f>
        <v>10984.615384615387</v>
      </c>
      <c r="K43" s="149">
        <f>Inputs!$B$30</f>
        <v>3406.3846153846157</v>
      </c>
      <c r="L43" s="149">
        <f t="shared" si="6"/>
        <v>63034.172307692315</v>
      </c>
      <c r="M43" s="149">
        <f t="shared" si="10"/>
        <v>174048.99418446081</v>
      </c>
      <c r="N43" s="149">
        <f t="shared" si="11"/>
        <v>3895052.3317161333</v>
      </c>
      <c r="O43" s="149">
        <f>IF(OR($B44="",ROUNDUP(($A43+1)/Inputs!$B$14,0)&gt;$B43),SUMIF($B$4:$B43,$B43,I$4:I43),0)</f>
        <v>0</v>
      </c>
      <c r="P43" s="149">
        <f>IF(OR($B44="",ROUNDUP(($A43+1)/Inputs!$B$14,0)&gt;$B43),SUMIF($B$4:$B43,$B43,J$4:J43),0)</f>
        <v>0</v>
      </c>
      <c r="Q43" s="149">
        <f>IF(OR($B44="",ROUNDUP(($A43+1)/Inputs!$B$14,0)&gt;$B43),SUMIF($B$4:$B43,$B43,K$4:K43),0)</f>
        <v>0</v>
      </c>
      <c r="R43" s="163" t="str">
        <f t="shared" si="12"/>
        <v>Vigente al día</v>
      </c>
      <c r="S43" s="18"/>
      <c r="T43" s="18"/>
      <c r="U43" s="18"/>
      <c r="V43" s="18"/>
      <c r="W43" s="18"/>
      <c r="X43" s="18"/>
      <c r="Y43" s="18"/>
      <c r="Z43" s="18"/>
    </row>
    <row r="44" spans="1:26" ht="18" customHeight="1">
      <c r="A44" s="157">
        <v>41</v>
      </c>
      <c r="B44" s="77">
        <f>ROUNDUP(A44/Inputs!$B$14,0)</f>
        <v>10</v>
      </c>
      <c r="C44" s="160" t="str">
        <f>IF(A44=Inputs!$C$39,"Cambio de tasa",IF(A44=Inputs!$B$15,"Pago final","Pago normal"))</f>
        <v>Pago normal</v>
      </c>
      <c r="D44" s="149">
        <f t="shared" si="7"/>
        <v>3895052.3317161333</v>
      </c>
      <c r="E44" s="150">
        <f>IF(A44&lt;Inputs!$C$39,Inputs!$B$17,Inputs!$C$38)</f>
        <v>1.2143295980573843E-2</v>
      </c>
      <c r="F44" s="149">
        <f t="shared" si="8"/>
        <v>47298.773323853296</v>
      </c>
      <c r="G44" s="149">
        <f>IF(A44&lt;Inputs!$C$39,Inputs!$B$20,IF(A44=Inputs!$C$39,PMT(E44,Inputs!$B$15-A44+1,-D44),G43))</f>
        <v>111014.82187676849</v>
      </c>
      <c r="H44" s="149">
        <f t="shared" si="9"/>
        <v>63716.048552915192</v>
      </c>
      <c r="I44" s="149">
        <f>Inputs!$B$28</f>
        <v>48643.172307692315</v>
      </c>
      <c r="J44" s="149">
        <f>Inputs!$B$29</f>
        <v>10984.615384615387</v>
      </c>
      <c r="K44" s="149">
        <f>Inputs!$B$30</f>
        <v>3406.3846153846157</v>
      </c>
      <c r="L44" s="149">
        <f t="shared" si="6"/>
        <v>63034.172307692315</v>
      </c>
      <c r="M44" s="149">
        <f t="shared" si="10"/>
        <v>174048.99418446081</v>
      </c>
      <c r="N44" s="149">
        <f t="shared" si="11"/>
        <v>3831336.2831632183</v>
      </c>
      <c r="O44" s="149">
        <f>IF(OR($B45="",ROUNDUP(($A44+1)/Inputs!$B$14,0)&gt;$B44),SUMIF($B$4:$B44,$B44,I$4:I44),0)</f>
        <v>0</v>
      </c>
      <c r="P44" s="149">
        <f>IF(OR($B45="",ROUNDUP(($A44+1)/Inputs!$B$14,0)&gt;$B44),SUMIF($B$4:$B44,$B44,J$4:J44),0)</f>
        <v>0</v>
      </c>
      <c r="Q44" s="149">
        <f>IF(OR($B45="",ROUNDUP(($A44+1)/Inputs!$B$14,0)&gt;$B44),SUMIF($B$4:$B44,$B44,K$4:K44),0)</f>
        <v>0</v>
      </c>
      <c r="R44" s="163" t="str">
        <f t="shared" si="12"/>
        <v>Vigente al día</v>
      </c>
      <c r="S44" s="18"/>
      <c r="T44" s="18"/>
      <c r="U44" s="18"/>
      <c r="V44" s="18"/>
      <c r="W44" s="18"/>
      <c r="X44" s="18"/>
      <c r="Y44" s="18"/>
      <c r="Z44" s="18"/>
    </row>
    <row r="45" spans="1:26" ht="18" customHeight="1">
      <c r="A45" s="157">
        <v>42</v>
      </c>
      <c r="B45" s="77">
        <f>ROUNDUP(A45/Inputs!$B$14,0)</f>
        <v>10</v>
      </c>
      <c r="C45" s="160" t="str">
        <f>IF(A45=Inputs!$C$39,"Cambio de tasa",IF(A45=Inputs!$B$15,"Pago final","Pago normal"))</f>
        <v>Pago normal</v>
      </c>
      <c r="D45" s="149">
        <f t="shared" si="7"/>
        <v>3831336.2831632183</v>
      </c>
      <c r="E45" s="150">
        <f>IF(A45&lt;Inputs!$C$39,Inputs!$B$17,Inputs!$C$38)</f>
        <v>1.2143295980573843E-2</v>
      </c>
      <c r="F45" s="149">
        <f t="shared" si="8"/>
        <v>46525.050487562636</v>
      </c>
      <c r="G45" s="149">
        <f>IF(A45&lt;Inputs!$C$39,Inputs!$B$20,IF(A45=Inputs!$C$39,PMT(E45,Inputs!$B$15-A45+1,-D45),G44))</f>
        <v>111014.82187676849</v>
      </c>
      <c r="H45" s="149">
        <f t="shared" si="9"/>
        <v>64489.771389205853</v>
      </c>
      <c r="I45" s="149">
        <f>Inputs!$B$28</f>
        <v>48643.172307692315</v>
      </c>
      <c r="J45" s="149">
        <f>Inputs!$B$29</f>
        <v>10984.615384615387</v>
      </c>
      <c r="K45" s="149">
        <f>Inputs!$B$30</f>
        <v>3406.3846153846157</v>
      </c>
      <c r="L45" s="149">
        <f t="shared" si="6"/>
        <v>63034.172307692315</v>
      </c>
      <c r="M45" s="149">
        <f t="shared" si="10"/>
        <v>174048.99418446081</v>
      </c>
      <c r="N45" s="149">
        <f t="shared" si="11"/>
        <v>3766846.5117740124</v>
      </c>
      <c r="O45" s="149">
        <f>IF(OR($B46="",ROUNDUP(($A45+1)/Inputs!$B$14,0)&gt;$B45),SUMIF($B$4:$B45,$B45,I$4:I45),0)</f>
        <v>0</v>
      </c>
      <c r="P45" s="149">
        <f>IF(OR($B46="",ROUNDUP(($A45+1)/Inputs!$B$14,0)&gt;$B45),SUMIF($B$4:$B45,$B45,J$4:J45),0)</f>
        <v>0</v>
      </c>
      <c r="Q45" s="149">
        <f>IF(OR($B46="",ROUNDUP(($A45+1)/Inputs!$B$14,0)&gt;$B45),SUMIF($B$4:$B45,$B45,K$4:K45),0)</f>
        <v>0</v>
      </c>
      <c r="R45" s="163" t="str">
        <f t="shared" si="12"/>
        <v>Vigente al día</v>
      </c>
      <c r="S45" s="18"/>
      <c r="T45" s="18"/>
      <c r="U45" s="18"/>
      <c r="V45" s="18"/>
      <c r="W45" s="18"/>
      <c r="X45" s="18"/>
      <c r="Y45" s="18"/>
      <c r="Z45" s="18"/>
    </row>
    <row r="46" spans="1:26" ht="18" customHeight="1">
      <c r="A46" s="157">
        <v>43</v>
      </c>
      <c r="B46" s="77">
        <f>ROUNDUP(A46/Inputs!$B$14,0)</f>
        <v>10</v>
      </c>
      <c r="C46" s="160" t="str">
        <f>IF(A46=Inputs!$C$39,"Cambio de tasa",IF(A46=Inputs!$B$15,"Pago final","Pago normal"))</f>
        <v>Pago normal</v>
      </c>
      <c r="D46" s="149">
        <f t="shared" si="7"/>
        <v>3766846.5117740124</v>
      </c>
      <c r="E46" s="150">
        <f>IF(A46&lt;Inputs!$C$39,Inputs!$B$17,Inputs!$C$38)</f>
        <v>1.2143295980573843E-2</v>
      </c>
      <c r="F46" s="149">
        <f t="shared" si="8"/>
        <v>45741.932105863962</v>
      </c>
      <c r="G46" s="149">
        <f>IF(A46&lt;Inputs!$C$39,Inputs!$B$20,IF(A46=Inputs!$C$39,PMT(E46,Inputs!$B$15-A46+1,-D46),G45))</f>
        <v>111014.82187676849</v>
      </c>
      <c r="H46" s="149">
        <f t="shared" si="9"/>
        <v>65272.889770904527</v>
      </c>
      <c r="I46" s="149">
        <f>Inputs!$B$28</f>
        <v>48643.172307692315</v>
      </c>
      <c r="J46" s="149">
        <f>Inputs!$B$29</f>
        <v>10984.615384615387</v>
      </c>
      <c r="K46" s="149">
        <f>Inputs!$B$30</f>
        <v>3406.3846153846157</v>
      </c>
      <c r="L46" s="149">
        <f t="shared" si="6"/>
        <v>63034.172307692315</v>
      </c>
      <c r="M46" s="149">
        <f t="shared" si="10"/>
        <v>174048.99418446081</v>
      </c>
      <c r="N46" s="149">
        <f t="shared" si="11"/>
        <v>3701573.6220031078</v>
      </c>
      <c r="O46" s="149">
        <f>IF(OR($B47="",ROUNDUP(($A46+1)/Inputs!$B$14,0)&gt;$B46),SUMIF($B$4:$B46,$B46,I$4:I46),0)</f>
        <v>194572.68923076926</v>
      </c>
      <c r="P46" s="149">
        <f>IF(OR($B47="",ROUNDUP(($A46+1)/Inputs!$B$14,0)&gt;$B46),SUMIF($B$4:$B46,$B46,J$4:J46),0)</f>
        <v>43938.461538461546</v>
      </c>
      <c r="Q46" s="149">
        <f>IF(OR($B47="",ROUNDUP(($A46+1)/Inputs!$B$14,0)&gt;$B46),SUMIF($B$4:$B46,$B46,K$4:K46),0)</f>
        <v>13625.538461538463</v>
      </c>
      <c r="R46" s="163" t="str">
        <f t="shared" si="12"/>
        <v>Vigente al día</v>
      </c>
      <c r="S46" s="18"/>
      <c r="T46" s="18"/>
      <c r="U46" s="18"/>
      <c r="V46" s="18"/>
      <c r="W46" s="18"/>
      <c r="X46" s="18"/>
      <c r="Y46" s="18"/>
      <c r="Z46" s="18"/>
    </row>
    <row r="47" spans="1:26" ht="18" customHeight="1">
      <c r="A47" s="157">
        <v>44</v>
      </c>
      <c r="B47" s="77">
        <f>ROUNDUP(A47/Inputs!$B$14,0)</f>
        <v>11</v>
      </c>
      <c r="C47" s="160" t="str">
        <f>IF(A47=Inputs!$C$39,"Cambio de tasa",IF(A47=Inputs!$B$15,"Pago final","Pago normal"))</f>
        <v>Cambio de tasa</v>
      </c>
      <c r="D47" s="149">
        <f t="shared" si="7"/>
        <v>3701573.6220031078</v>
      </c>
      <c r="E47" s="150">
        <f>IF(A47&lt;Inputs!$C$39,Inputs!$B$17,Inputs!$C$38)</f>
        <v>1.1367716673677863E-2</v>
      </c>
      <c r="F47" s="149">
        <f t="shared" si="8"/>
        <v>42078.440181690887</v>
      </c>
      <c r="G47" s="149">
        <f>IF(A47&lt;Inputs!$C$39,Inputs!$B$20,IF(A47=Inputs!$C$39,PMT(E47,Inputs!$B$15-A47+1,-D47),G46))</f>
        <v>109308.38403873703</v>
      </c>
      <c r="H47" s="149">
        <f t="shared" si="9"/>
        <v>67229.943857046135</v>
      </c>
      <c r="I47" s="149">
        <f>Inputs!$B$28</f>
        <v>48643.172307692315</v>
      </c>
      <c r="J47" s="149">
        <f>Inputs!$B$29</f>
        <v>10984.615384615387</v>
      </c>
      <c r="K47" s="149">
        <f>Inputs!$B$30</f>
        <v>3406.3846153846157</v>
      </c>
      <c r="L47" s="149">
        <f t="shared" si="6"/>
        <v>63034.172307692315</v>
      </c>
      <c r="M47" s="149">
        <f t="shared" si="10"/>
        <v>172342.55634642934</v>
      </c>
      <c r="N47" s="149">
        <f t="shared" si="11"/>
        <v>3634343.6781460615</v>
      </c>
      <c r="O47" s="149">
        <f>IF(OR($B48="",ROUNDUP(($A47+1)/Inputs!$B$14,0)&gt;$B47),SUMIF($B$4:$B47,$B47,I$4:I47),0)</f>
        <v>0</v>
      </c>
      <c r="P47" s="149">
        <f>IF(OR($B48="",ROUNDUP(($A47+1)/Inputs!$B$14,0)&gt;$B47),SUMIF($B$4:$B47,$B47,J$4:J47),0)</f>
        <v>0</v>
      </c>
      <c r="Q47" s="149">
        <f>IF(OR($B48="",ROUNDUP(($A47+1)/Inputs!$B$14,0)&gt;$B47),SUMIF($B$4:$B47,$B47,K$4:K47),0)</f>
        <v>0</v>
      </c>
      <c r="R47" s="163" t="str">
        <f t="shared" si="12"/>
        <v>Vigente al día</v>
      </c>
      <c r="S47" s="18"/>
      <c r="T47" s="18"/>
      <c r="U47" s="18"/>
      <c r="V47" s="18"/>
      <c r="W47" s="18"/>
      <c r="X47" s="18"/>
      <c r="Y47" s="18"/>
      <c r="Z47" s="18"/>
    </row>
    <row r="48" spans="1:26" ht="18" customHeight="1">
      <c r="A48" s="157">
        <v>45</v>
      </c>
      <c r="B48" s="77">
        <f>ROUNDUP(A48/Inputs!$B$14,0)</f>
        <v>11</v>
      </c>
      <c r="C48" s="160" t="str">
        <f>IF(A48=Inputs!$C$39,"Cambio de tasa",IF(A48=Inputs!$B$15,"Pago final","Pago normal"))</f>
        <v>Pago normal</v>
      </c>
      <c r="D48" s="149">
        <f t="shared" si="7"/>
        <v>3634343.6781460615</v>
      </c>
      <c r="E48" s="150">
        <f>IF(A48&lt;Inputs!$C$39,Inputs!$B$17,Inputs!$C$38)</f>
        <v>1.1367716673677863E-2</v>
      </c>
      <c r="F48" s="149">
        <f t="shared" si="8"/>
        <v>41314.189227936717</v>
      </c>
      <c r="G48" s="149">
        <f>IF(A48&lt;Inputs!$C$39,Inputs!$B$20,IF(A48=Inputs!$C$39,PMT(E48,Inputs!$B$15-A48+1,-D48),G47))</f>
        <v>109308.38403873703</v>
      </c>
      <c r="H48" s="149">
        <f t="shared" si="9"/>
        <v>67994.194810800313</v>
      </c>
      <c r="I48" s="149">
        <f>Inputs!$B$28</f>
        <v>48643.172307692315</v>
      </c>
      <c r="J48" s="149">
        <f>Inputs!$B$29</f>
        <v>10984.615384615387</v>
      </c>
      <c r="K48" s="149">
        <f>Inputs!$B$30</f>
        <v>3406.3846153846157</v>
      </c>
      <c r="L48" s="149">
        <f t="shared" si="6"/>
        <v>63034.172307692315</v>
      </c>
      <c r="M48" s="149">
        <f t="shared" si="10"/>
        <v>172342.55634642934</v>
      </c>
      <c r="N48" s="149">
        <f t="shared" si="11"/>
        <v>3566349.4833352612</v>
      </c>
      <c r="O48" s="149">
        <f>IF(OR($B49="",ROUNDUP(($A48+1)/Inputs!$B$14,0)&gt;$B48),SUMIF($B$4:$B48,$B48,I$4:I48),0)</f>
        <v>0</v>
      </c>
      <c r="P48" s="149">
        <f>IF(OR($B49="",ROUNDUP(($A48+1)/Inputs!$B$14,0)&gt;$B48),SUMIF($B$4:$B48,$B48,J$4:J48),0)</f>
        <v>0</v>
      </c>
      <c r="Q48" s="149">
        <f>IF(OR($B49="",ROUNDUP(($A48+1)/Inputs!$B$14,0)&gt;$B48),SUMIF($B$4:$B48,$B48,K$4:K48),0)</f>
        <v>0</v>
      </c>
      <c r="R48" s="163" t="str">
        <f t="shared" si="12"/>
        <v>Vigente al día</v>
      </c>
      <c r="S48" s="18"/>
      <c r="T48" s="18"/>
      <c r="U48" s="18"/>
      <c r="V48" s="18"/>
      <c r="W48" s="18"/>
      <c r="X48" s="18"/>
      <c r="Y48" s="18"/>
      <c r="Z48" s="18"/>
    </row>
    <row r="49" spans="1:26" ht="18" customHeight="1">
      <c r="A49" s="157">
        <v>46</v>
      </c>
      <c r="B49" s="77">
        <f>ROUNDUP(A49/Inputs!$B$14,0)</f>
        <v>11</v>
      </c>
      <c r="C49" s="160" t="str">
        <f>IF(A49=Inputs!$C$39,"Cambio de tasa",IF(A49=Inputs!$B$15,"Pago final","Pago normal"))</f>
        <v>Pago normal</v>
      </c>
      <c r="D49" s="149">
        <f t="shared" si="7"/>
        <v>3566349.4833352612</v>
      </c>
      <c r="E49" s="150">
        <f>IF(A49&lt;Inputs!$C$39,Inputs!$B$17,Inputs!$C$38)</f>
        <v>1.1367716673677863E-2</v>
      </c>
      <c r="F49" s="149">
        <f t="shared" si="8"/>
        <v>40541.250485872682</v>
      </c>
      <c r="G49" s="149">
        <f>IF(A49&lt;Inputs!$C$39,Inputs!$B$20,IF(A49=Inputs!$C$39,PMT(E49,Inputs!$B$15-A49+1,-D49),G48))</f>
        <v>109308.38403873703</v>
      </c>
      <c r="H49" s="149">
        <f t="shared" si="9"/>
        <v>68767.133552864339</v>
      </c>
      <c r="I49" s="149">
        <f>Inputs!$B$28</f>
        <v>48643.172307692315</v>
      </c>
      <c r="J49" s="149">
        <f>Inputs!$B$29</f>
        <v>10984.615384615387</v>
      </c>
      <c r="K49" s="149">
        <f>Inputs!$B$30</f>
        <v>3406.3846153846157</v>
      </c>
      <c r="L49" s="149">
        <f t="shared" si="6"/>
        <v>63034.172307692315</v>
      </c>
      <c r="M49" s="149">
        <f t="shared" si="10"/>
        <v>172342.55634642934</v>
      </c>
      <c r="N49" s="149">
        <f t="shared" si="11"/>
        <v>3497582.349782397</v>
      </c>
      <c r="O49" s="149">
        <f>IF(OR($B50="",ROUNDUP(($A49+1)/Inputs!$B$14,0)&gt;$B49),SUMIF($B$4:$B49,$B49,I$4:I49),0)</f>
        <v>0</v>
      </c>
      <c r="P49" s="149">
        <f>IF(OR($B50="",ROUNDUP(($A49+1)/Inputs!$B$14,0)&gt;$B49),SUMIF($B$4:$B49,$B49,J$4:J49),0)</f>
        <v>0</v>
      </c>
      <c r="Q49" s="149">
        <f>IF(OR($B50="",ROUNDUP(($A49+1)/Inputs!$B$14,0)&gt;$B49),SUMIF($B$4:$B49,$B49,K$4:K49),0)</f>
        <v>0</v>
      </c>
      <c r="R49" s="163" t="str">
        <f t="shared" si="12"/>
        <v>Vigente al día</v>
      </c>
      <c r="S49" s="18"/>
      <c r="T49" s="18"/>
      <c r="U49" s="18"/>
      <c r="V49" s="18"/>
      <c r="W49" s="18"/>
      <c r="X49" s="18"/>
      <c r="Y49" s="18"/>
      <c r="Z49" s="18"/>
    </row>
    <row r="50" spans="1:26" ht="18" customHeight="1">
      <c r="A50" s="157">
        <v>47</v>
      </c>
      <c r="B50" s="77">
        <f>ROUNDUP(A50/Inputs!$B$14,0)</f>
        <v>11</v>
      </c>
      <c r="C50" s="160" t="str">
        <f>IF(A50=Inputs!$C$39,"Cambio de tasa",IF(A50=Inputs!$B$15,"Pago final","Pago normal"))</f>
        <v>Pago normal</v>
      </c>
      <c r="D50" s="149">
        <f t="shared" si="7"/>
        <v>3497582.349782397</v>
      </c>
      <c r="E50" s="150">
        <f>IF(A50&lt;Inputs!$C$39,Inputs!$B$17,Inputs!$C$38)</f>
        <v>1.1367716673677863E-2</v>
      </c>
      <c r="F50" s="149">
        <f t="shared" si="8"/>
        <v>39759.525195182759</v>
      </c>
      <c r="G50" s="149">
        <f>IF(A50&lt;Inputs!$C$39,Inputs!$B$20,IF(A50=Inputs!$C$39,PMT(E50,Inputs!$B$15-A50+1,-D50),G49))</f>
        <v>109308.38403873703</v>
      </c>
      <c r="H50" s="149">
        <f t="shared" si="9"/>
        <v>69548.858843554277</v>
      </c>
      <c r="I50" s="149">
        <f>Inputs!$B$28</f>
        <v>48643.172307692315</v>
      </c>
      <c r="J50" s="149">
        <f>Inputs!$B$29</f>
        <v>10984.615384615387</v>
      </c>
      <c r="K50" s="149">
        <f>Inputs!$B$30</f>
        <v>3406.3846153846157</v>
      </c>
      <c r="L50" s="149">
        <f t="shared" si="6"/>
        <v>63034.172307692315</v>
      </c>
      <c r="M50" s="149">
        <f t="shared" si="10"/>
        <v>172342.55634642934</v>
      </c>
      <c r="N50" s="149">
        <f t="shared" si="11"/>
        <v>3428033.4909388428</v>
      </c>
      <c r="O50" s="149">
        <f>IF(OR($B51="",ROUNDUP(($A50+1)/Inputs!$B$14,0)&gt;$B50),SUMIF($B$4:$B50,$B50,I$4:I50),0)</f>
        <v>194572.68923076926</v>
      </c>
      <c r="P50" s="149">
        <f>IF(OR($B51="",ROUNDUP(($A50+1)/Inputs!$B$14,0)&gt;$B50),SUMIF($B$4:$B50,$B50,J$4:J50),0)</f>
        <v>43938.461538461546</v>
      </c>
      <c r="Q50" s="149">
        <f>IF(OR($B51="",ROUNDUP(($A50+1)/Inputs!$B$14,0)&gt;$B50),SUMIF($B$4:$B50,$B50,K$4:K50),0)</f>
        <v>13625.538461538463</v>
      </c>
      <c r="R50" s="163" t="str">
        <f t="shared" si="12"/>
        <v>Vigente al día</v>
      </c>
      <c r="S50" s="18"/>
      <c r="T50" s="18"/>
      <c r="U50" s="18"/>
      <c r="V50" s="18"/>
      <c r="W50" s="18"/>
      <c r="X50" s="18"/>
      <c r="Y50" s="18"/>
      <c r="Z50" s="18"/>
    </row>
    <row r="51" spans="1:26" ht="18" customHeight="1">
      <c r="A51" s="157">
        <v>48</v>
      </c>
      <c r="B51" s="77">
        <f>ROUNDUP(A51/Inputs!$B$14,0)</f>
        <v>12</v>
      </c>
      <c r="C51" s="160" t="str">
        <f>IF(A51=Inputs!$C$39,"Cambio de tasa",IF(A51=Inputs!$B$15,"Pago final","Pago normal"))</f>
        <v>Pago normal</v>
      </c>
      <c r="D51" s="149">
        <f t="shared" si="7"/>
        <v>3428033.4909388428</v>
      </c>
      <c r="E51" s="150">
        <f>IF(A51&lt;Inputs!$C$39,Inputs!$B$17,Inputs!$C$38)</f>
        <v>1.1367716673677863E-2</v>
      </c>
      <c r="F51" s="149">
        <f t="shared" si="8"/>
        <v>38968.913472871616</v>
      </c>
      <c r="G51" s="149">
        <f>IF(A51&lt;Inputs!$C$39,Inputs!$B$20,IF(A51=Inputs!$C$39,PMT(E51,Inputs!$B$15-A51+1,-D51),G50))</f>
        <v>109308.38403873703</v>
      </c>
      <c r="H51" s="149">
        <f t="shared" si="9"/>
        <v>70339.470565865413</v>
      </c>
      <c r="I51" s="149">
        <f>Inputs!$B$28</f>
        <v>48643.172307692315</v>
      </c>
      <c r="J51" s="149">
        <f>Inputs!$B$29</f>
        <v>10984.615384615387</v>
      </c>
      <c r="K51" s="149">
        <f>Inputs!$B$30</f>
        <v>3406.3846153846157</v>
      </c>
      <c r="L51" s="149">
        <f t="shared" si="6"/>
        <v>63034.172307692315</v>
      </c>
      <c r="M51" s="149">
        <f t="shared" si="10"/>
        <v>172342.55634642934</v>
      </c>
      <c r="N51" s="149">
        <f t="shared" si="11"/>
        <v>3357694.0203729775</v>
      </c>
      <c r="O51" s="149">
        <f>IF(OR($B52="",ROUNDUP(($A51+1)/Inputs!$B$14,0)&gt;$B51),SUMIF($B$4:$B51,$B51,I$4:I51),0)</f>
        <v>0</v>
      </c>
      <c r="P51" s="149">
        <f>IF(OR($B52="",ROUNDUP(($A51+1)/Inputs!$B$14,0)&gt;$B51),SUMIF($B$4:$B51,$B51,J$4:J51),0)</f>
        <v>0</v>
      </c>
      <c r="Q51" s="149">
        <f>IF(OR($B52="",ROUNDUP(($A51+1)/Inputs!$B$14,0)&gt;$B51),SUMIF($B$4:$B51,$B51,K$4:K51),0)</f>
        <v>0</v>
      </c>
      <c r="R51" s="163" t="str">
        <f t="shared" si="12"/>
        <v>Vigente al día</v>
      </c>
      <c r="S51" s="18"/>
      <c r="T51" s="18"/>
      <c r="U51" s="18"/>
      <c r="V51" s="18"/>
      <c r="W51" s="18"/>
      <c r="X51" s="18"/>
      <c r="Y51" s="18"/>
      <c r="Z51" s="18"/>
    </row>
    <row r="52" spans="1:26" ht="18" customHeight="1">
      <c r="A52" s="157">
        <v>49</v>
      </c>
      <c r="B52" s="77">
        <f>ROUNDUP(A52/Inputs!$B$14,0)</f>
        <v>12</v>
      </c>
      <c r="C52" s="160" t="str">
        <f>IF(A52=Inputs!$C$39,"Cambio de tasa",IF(A52=Inputs!$B$15,"Pago final","Pago normal"))</f>
        <v>Pago normal</v>
      </c>
      <c r="D52" s="149">
        <f t="shared" si="7"/>
        <v>3357694.0203729775</v>
      </c>
      <c r="E52" s="150">
        <f>IF(A52&lt;Inputs!$C$39,Inputs!$B$17,Inputs!$C$38)</f>
        <v>1.1367716673677863E-2</v>
      </c>
      <c r="F52" s="149">
        <f t="shared" si="8"/>
        <v>38169.314300502352</v>
      </c>
      <c r="G52" s="149">
        <f>IF(A52&lt;Inputs!$C$39,Inputs!$B$20,IF(A52=Inputs!$C$39,PMT(E52,Inputs!$B$15-A52+1,-D52),G51))</f>
        <v>109308.38403873703</v>
      </c>
      <c r="H52" s="149">
        <f t="shared" si="9"/>
        <v>71139.069738234684</v>
      </c>
      <c r="I52" s="149">
        <f>Inputs!$B$28</f>
        <v>48643.172307692315</v>
      </c>
      <c r="J52" s="149">
        <f>Inputs!$B$29</f>
        <v>10984.615384615387</v>
      </c>
      <c r="K52" s="149">
        <f>Inputs!$B$30</f>
        <v>3406.3846153846157</v>
      </c>
      <c r="L52" s="149">
        <f t="shared" si="6"/>
        <v>63034.172307692315</v>
      </c>
      <c r="M52" s="149">
        <f t="shared" si="10"/>
        <v>172342.55634642934</v>
      </c>
      <c r="N52" s="149">
        <f t="shared" si="11"/>
        <v>3286554.9506347426</v>
      </c>
      <c r="O52" s="149">
        <f>IF(OR($B53="",ROUNDUP(($A52+1)/Inputs!$B$14,0)&gt;$B52),SUMIF($B$4:$B52,$B52,I$4:I52),0)</f>
        <v>0</v>
      </c>
      <c r="P52" s="149">
        <f>IF(OR($B53="",ROUNDUP(($A52+1)/Inputs!$B$14,0)&gt;$B52),SUMIF($B$4:$B52,$B52,J$4:J52),0)</f>
        <v>0</v>
      </c>
      <c r="Q52" s="149">
        <f>IF(OR($B53="",ROUNDUP(($A52+1)/Inputs!$B$14,0)&gt;$B52),SUMIF($B$4:$B52,$B52,K$4:K52),0)</f>
        <v>0</v>
      </c>
      <c r="R52" s="163" t="str">
        <f t="shared" si="12"/>
        <v>Vigente al día</v>
      </c>
      <c r="S52" s="18"/>
      <c r="T52" s="18"/>
      <c r="U52" s="18"/>
      <c r="V52" s="18"/>
      <c r="W52" s="18"/>
      <c r="X52" s="18"/>
      <c r="Y52" s="18"/>
      <c r="Z52" s="18"/>
    </row>
    <row r="53" spans="1:26" ht="18" customHeight="1">
      <c r="A53" s="157">
        <v>50</v>
      </c>
      <c r="B53" s="77">
        <f>ROUNDUP(A53/Inputs!$B$14,0)</f>
        <v>12</v>
      </c>
      <c r="C53" s="160" t="str">
        <f>IF(A53=Inputs!$C$39,"Cambio de tasa",IF(A53=Inputs!$B$15,"Pago final","Pago normal"))</f>
        <v>Pago normal</v>
      </c>
      <c r="D53" s="149">
        <f t="shared" si="7"/>
        <v>3286554.9506347426</v>
      </c>
      <c r="E53" s="150">
        <f>IF(A53&lt;Inputs!$C$39,Inputs!$B$17,Inputs!$C$38)</f>
        <v>1.1367716673677863E-2</v>
      </c>
      <c r="F53" s="149">
        <f t="shared" si="8"/>
        <v>37360.625511289094</v>
      </c>
      <c r="G53" s="149">
        <f>IF(A53&lt;Inputs!$C$39,Inputs!$B$20,IF(A53=Inputs!$C$39,PMT(E53,Inputs!$B$15-A53+1,-D53),G52))</f>
        <v>109308.38403873703</v>
      </c>
      <c r="H53" s="149">
        <f t="shared" si="9"/>
        <v>71947.758527447935</v>
      </c>
      <c r="I53" s="149">
        <f>Inputs!$B$28</f>
        <v>48643.172307692315</v>
      </c>
      <c r="J53" s="149">
        <f>Inputs!$B$29</f>
        <v>10984.615384615387</v>
      </c>
      <c r="K53" s="149">
        <f>Inputs!$B$30</f>
        <v>3406.3846153846157</v>
      </c>
      <c r="L53" s="149">
        <f t="shared" si="6"/>
        <v>63034.172307692315</v>
      </c>
      <c r="M53" s="149">
        <f t="shared" si="10"/>
        <v>172342.55634642934</v>
      </c>
      <c r="N53" s="149">
        <f t="shared" si="11"/>
        <v>3214607.1921072947</v>
      </c>
      <c r="O53" s="149">
        <f>IF(OR($B54="",ROUNDUP(($A53+1)/Inputs!$B$14,0)&gt;$B53),SUMIF($B$4:$B53,$B53,I$4:I53),0)</f>
        <v>0</v>
      </c>
      <c r="P53" s="149">
        <f>IF(OR($B54="",ROUNDUP(($A53+1)/Inputs!$B$14,0)&gt;$B53),SUMIF($B$4:$B53,$B53,J$4:J53),0)</f>
        <v>0</v>
      </c>
      <c r="Q53" s="149">
        <f>IF(OR($B54="",ROUNDUP(($A53+1)/Inputs!$B$14,0)&gt;$B53),SUMIF($B$4:$B53,$B53,K$4:K53),0)</f>
        <v>0</v>
      </c>
      <c r="R53" s="163" t="str">
        <f t="shared" si="12"/>
        <v>Vigente al día</v>
      </c>
      <c r="S53" s="18"/>
      <c r="T53" s="18"/>
      <c r="U53" s="18"/>
      <c r="V53" s="18"/>
      <c r="W53" s="18"/>
      <c r="X53" s="18"/>
      <c r="Y53" s="18"/>
      <c r="Z53" s="18"/>
    </row>
    <row r="54" spans="1:26" ht="18" customHeight="1">
      <c r="A54" s="157">
        <v>51</v>
      </c>
      <c r="B54" s="77">
        <f>ROUNDUP(A54/Inputs!$B$14,0)</f>
        <v>12</v>
      </c>
      <c r="C54" s="160" t="str">
        <f>IF(A54=Inputs!$C$39,"Cambio de tasa",IF(A54=Inputs!$B$15,"Pago final","Pago normal"))</f>
        <v>Pago normal</v>
      </c>
      <c r="D54" s="149">
        <f t="shared" si="7"/>
        <v>3214607.1921072947</v>
      </c>
      <c r="E54" s="150">
        <f>IF(A54&lt;Inputs!$C$39,Inputs!$B$17,Inputs!$C$38)</f>
        <v>1.1367716673677863E-2</v>
      </c>
      <c r="F54" s="149">
        <f t="shared" si="8"/>
        <v>36542.743777042873</v>
      </c>
      <c r="G54" s="149">
        <f>IF(A54&lt;Inputs!$C$39,Inputs!$B$20,IF(A54=Inputs!$C$39,PMT(E54,Inputs!$B$15-A54+1,-D54),G53))</f>
        <v>109308.38403873703</v>
      </c>
      <c r="H54" s="149">
        <f t="shared" si="9"/>
        <v>72765.640261694149</v>
      </c>
      <c r="I54" s="149">
        <f>Inputs!$B$28</f>
        <v>48643.172307692315</v>
      </c>
      <c r="J54" s="149">
        <f>Inputs!$B$29</f>
        <v>10984.615384615387</v>
      </c>
      <c r="K54" s="149">
        <f>Inputs!$B$30</f>
        <v>3406.3846153846157</v>
      </c>
      <c r="L54" s="149">
        <f t="shared" si="6"/>
        <v>63034.172307692315</v>
      </c>
      <c r="M54" s="149">
        <f t="shared" si="10"/>
        <v>172342.55634642934</v>
      </c>
      <c r="N54" s="149">
        <f t="shared" si="11"/>
        <v>3141841.5518456004</v>
      </c>
      <c r="O54" s="149">
        <f>IF(OR($B55="",ROUNDUP(($A54+1)/Inputs!$B$14,0)&gt;$B54),SUMIF($B$4:$B54,$B54,I$4:I54),0)</f>
        <v>0</v>
      </c>
      <c r="P54" s="149">
        <f>IF(OR($B55="",ROUNDUP(($A54+1)/Inputs!$B$14,0)&gt;$B54),SUMIF($B$4:$B54,$B54,J$4:J54),0)</f>
        <v>0</v>
      </c>
      <c r="Q54" s="149">
        <f>IF(OR($B55="",ROUNDUP(($A54+1)/Inputs!$B$14,0)&gt;$B54),SUMIF($B$4:$B54,$B54,K$4:K54),0)</f>
        <v>0</v>
      </c>
      <c r="R54" s="163" t="str">
        <f t="shared" si="12"/>
        <v>Vigente al día</v>
      </c>
      <c r="S54" s="18"/>
      <c r="T54" s="18"/>
      <c r="U54" s="18"/>
      <c r="V54" s="18"/>
      <c r="W54" s="18"/>
      <c r="X54" s="18"/>
      <c r="Y54" s="18"/>
      <c r="Z54" s="18"/>
    </row>
    <row r="55" spans="1:26" ht="18" customHeight="1">
      <c r="A55" s="157">
        <v>52</v>
      </c>
      <c r="B55" s="77">
        <f>ROUNDUP(A55/Inputs!$B$14,0)</f>
        <v>12</v>
      </c>
      <c r="C55" s="160" t="str">
        <f>IF(A55=Inputs!$C$39,"Cambio de tasa",IF(A55=Inputs!$B$15,"Pago final","Pago normal"))</f>
        <v>Pago normal</v>
      </c>
      <c r="D55" s="149">
        <f t="shared" si="7"/>
        <v>3141841.5518456004</v>
      </c>
      <c r="E55" s="150">
        <f>IF(A55&lt;Inputs!$C$39,Inputs!$B$17,Inputs!$C$38)</f>
        <v>1.1367716673677863E-2</v>
      </c>
      <c r="F55" s="149">
        <f t="shared" si="8"/>
        <v>35715.564594969168</v>
      </c>
      <c r="G55" s="149">
        <f>IF(A55&lt;Inputs!$C$39,Inputs!$B$20,IF(A55=Inputs!$C$39,PMT(E55,Inputs!$B$15-A55+1,-D55),G54))</f>
        <v>109308.38403873703</v>
      </c>
      <c r="H55" s="149">
        <f t="shared" si="9"/>
        <v>73592.819443767861</v>
      </c>
      <c r="I55" s="149">
        <f>Inputs!$B$28</f>
        <v>48643.172307692315</v>
      </c>
      <c r="J55" s="149">
        <f>Inputs!$B$29</f>
        <v>10984.615384615387</v>
      </c>
      <c r="K55" s="149">
        <f>Inputs!$B$30</f>
        <v>3406.3846153846157</v>
      </c>
      <c r="L55" s="149">
        <f t="shared" si="6"/>
        <v>63034.172307692315</v>
      </c>
      <c r="M55" s="149">
        <f t="shared" si="10"/>
        <v>172342.55634642934</v>
      </c>
      <c r="N55" s="149">
        <f t="shared" si="11"/>
        <v>3068248.7324018325</v>
      </c>
      <c r="O55" s="149">
        <f>IF(OR($B56="",ROUNDUP(($A55+1)/Inputs!$B$14,0)&gt;$B55),SUMIF($B$4:$B55,$B55,I$4:I55),0)</f>
        <v>243215.86153846158</v>
      </c>
      <c r="P55" s="149">
        <f>IF(OR($B56="",ROUNDUP(($A55+1)/Inputs!$B$14,0)&gt;$B55),SUMIF($B$4:$B55,$B55,J$4:J55),0)</f>
        <v>54923.076923076937</v>
      </c>
      <c r="Q55" s="149">
        <f>IF(OR($B56="",ROUNDUP(($A55+1)/Inputs!$B$14,0)&gt;$B55),SUMIF($B$4:$B55,$B55,K$4:K55),0)</f>
        <v>17031.923076923078</v>
      </c>
      <c r="R55" s="163" t="str">
        <f t="shared" si="12"/>
        <v>Vigente al día</v>
      </c>
      <c r="S55" s="18"/>
      <c r="T55" s="18"/>
      <c r="U55" s="18"/>
      <c r="V55" s="18"/>
      <c r="W55" s="18"/>
      <c r="X55" s="18"/>
      <c r="Y55" s="18"/>
      <c r="Z55" s="18"/>
    </row>
    <row r="56" spans="1:26" ht="18" customHeight="1">
      <c r="A56" s="157">
        <v>53</v>
      </c>
      <c r="B56" s="77">
        <f>ROUNDUP(A56/Inputs!$B$14,0)</f>
        <v>13</v>
      </c>
      <c r="C56" s="160" t="str">
        <f>IF(A56=Inputs!$C$39,"Cambio de tasa",IF(A56=Inputs!$B$15,"Pago final","Pago normal"))</f>
        <v>Pago normal</v>
      </c>
      <c r="D56" s="149">
        <f t="shared" si="7"/>
        <v>3068248.7324018325</v>
      </c>
      <c r="E56" s="150">
        <f>IF(A56&lt;Inputs!$C$39,Inputs!$B$17,Inputs!$C$38)</f>
        <v>1.1367716673677863E-2</v>
      </c>
      <c r="F56" s="149">
        <f t="shared" si="8"/>
        <v>34878.982274315276</v>
      </c>
      <c r="G56" s="149">
        <f>IF(A56&lt;Inputs!$C$39,Inputs!$B$20,IF(A56=Inputs!$C$39,PMT(E56,Inputs!$B$15-A56+1,-D56),G55))</f>
        <v>109308.38403873703</v>
      </c>
      <c r="H56" s="149">
        <f t="shared" si="9"/>
        <v>74429.401764421753</v>
      </c>
      <c r="I56" s="149">
        <f>Inputs!$B$28</f>
        <v>48643.172307692315</v>
      </c>
      <c r="J56" s="149">
        <f>Inputs!$B$29</f>
        <v>10984.615384615387</v>
      </c>
      <c r="K56" s="149">
        <f>Inputs!$B$30</f>
        <v>3406.3846153846157</v>
      </c>
      <c r="L56" s="149">
        <f t="shared" si="6"/>
        <v>63034.172307692315</v>
      </c>
      <c r="M56" s="149">
        <f t="shared" si="10"/>
        <v>172342.55634642934</v>
      </c>
      <c r="N56" s="149">
        <f t="shared" si="11"/>
        <v>2993819.3306374107</v>
      </c>
      <c r="O56" s="149">
        <f>IF(OR($B57="",ROUNDUP(($A56+1)/Inputs!$B$14,0)&gt;$B56),SUMIF($B$4:$B56,$B56,I$4:I56),0)</f>
        <v>0</v>
      </c>
      <c r="P56" s="149">
        <f>IF(OR($B57="",ROUNDUP(($A56+1)/Inputs!$B$14,0)&gt;$B56),SUMIF($B$4:$B56,$B56,J$4:J56),0)</f>
        <v>0</v>
      </c>
      <c r="Q56" s="149">
        <f>IF(OR($B57="",ROUNDUP(($A56+1)/Inputs!$B$14,0)&gt;$B56),SUMIF($B$4:$B56,$B56,K$4:K56),0)</f>
        <v>0</v>
      </c>
      <c r="R56" s="163" t="str">
        <f t="shared" si="12"/>
        <v>Vigente al día</v>
      </c>
      <c r="S56" s="18"/>
      <c r="T56" s="18"/>
      <c r="U56" s="18"/>
      <c r="V56" s="18"/>
      <c r="W56" s="18"/>
      <c r="X56" s="18"/>
      <c r="Y56" s="18"/>
      <c r="Z56" s="18"/>
    </row>
    <row r="57" spans="1:26" ht="18" customHeight="1">
      <c r="A57" s="157">
        <v>54</v>
      </c>
      <c r="B57" s="77">
        <f>ROUNDUP(A57/Inputs!$B$14,0)</f>
        <v>13</v>
      </c>
      <c r="C57" s="160" t="str">
        <f>IF(A57=Inputs!$C$39,"Cambio de tasa",IF(A57=Inputs!$B$15,"Pago final","Pago normal"))</f>
        <v>Pago normal</v>
      </c>
      <c r="D57" s="149">
        <f t="shared" si="7"/>
        <v>2993819.3306374107</v>
      </c>
      <c r="E57" s="150">
        <f>IF(A57&lt;Inputs!$C$39,Inputs!$B$17,Inputs!$C$38)</f>
        <v>1.1367716673677863E-2</v>
      </c>
      <c r="F57" s="149">
        <f t="shared" si="8"/>
        <v>34032.889922865994</v>
      </c>
      <c r="G57" s="149">
        <f>IF(A57&lt;Inputs!$C$39,Inputs!$B$20,IF(A57=Inputs!$C$39,PMT(E57,Inputs!$B$15-A57+1,-D57),G56))</f>
        <v>109308.38403873703</v>
      </c>
      <c r="H57" s="149">
        <f t="shared" si="9"/>
        <v>75275.494115871028</v>
      </c>
      <c r="I57" s="149">
        <f>Inputs!$B$28</f>
        <v>48643.172307692315</v>
      </c>
      <c r="J57" s="149">
        <f>Inputs!$B$29</f>
        <v>10984.615384615387</v>
      </c>
      <c r="K57" s="149">
        <f>Inputs!$B$30</f>
        <v>3406.3846153846157</v>
      </c>
      <c r="L57" s="149">
        <f t="shared" si="6"/>
        <v>63034.172307692315</v>
      </c>
      <c r="M57" s="149">
        <f t="shared" si="10"/>
        <v>172342.55634642934</v>
      </c>
      <c r="N57" s="149">
        <f t="shared" si="11"/>
        <v>2918543.8365215398</v>
      </c>
      <c r="O57" s="149">
        <f>IF(OR($B58="",ROUNDUP(($A57+1)/Inputs!$B$14,0)&gt;$B57),SUMIF($B$4:$B57,$B57,I$4:I57),0)</f>
        <v>0</v>
      </c>
      <c r="P57" s="149">
        <f>IF(OR($B58="",ROUNDUP(($A57+1)/Inputs!$B$14,0)&gt;$B57),SUMIF($B$4:$B57,$B57,J$4:J57),0)</f>
        <v>0</v>
      </c>
      <c r="Q57" s="149">
        <f>IF(OR($B58="",ROUNDUP(($A57+1)/Inputs!$B$14,0)&gt;$B57),SUMIF($B$4:$B57,$B57,K$4:K57),0)</f>
        <v>0</v>
      </c>
      <c r="R57" s="163" t="str">
        <f t="shared" si="12"/>
        <v>Vigente al día</v>
      </c>
      <c r="S57" s="18"/>
      <c r="T57" s="18"/>
      <c r="U57" s="18"/>
      <c r="V57" s="18"/>
      <c r="W57" s="18"/>
      <c r="X57" s="18"/>
      <c r="Y57" s="18"/>
      <c r="Z57" s="18"/>
    </row>
    <row r="58" spans="1:26" ht="18" customHeight="1">
      <c r="A58" s="157">
        <v>55</v>
      </c>
      <c r="B58" s="77">
        <f>ROUNDUP(A58/Inputs!$B$14,0)</f>
        <v>13</v>
      </c>
      <c r="C58" s="160" t="str">
        <f>IF(A58=Inputs!$C$39,"Cambio de tasa",IF(A58=Inputs!$B$15,"Pago final","Pago normal"))</f>
        <v>Pago normal</v>
      </c>
      <c r="D58" s="149">
        <f t="shared" si="7"/>
        <v>2918543.8365215398</v>
      </c>
      <c r="E58" s="150">
        <f>IF(A58&lt;Inputs!$C$39,Inputs!$B$17,Inputs!$C$38)</f>
        <v>1.1367716673677863E-2</v>
      </c>
      <c r="F58" s="149">
        <f t="shared" si="8"/>
        <v>33177.179433285666</v>
      </c>
      <c r="G58" s="149">
        <f>IF(A58&lt;Inputs!$C$39,Inputs!$B$20,IF(A58=Inputs!$C$39,PMT(E58,Inputs!$B$15-A58+1,-D58),G57))</f>
        <v>109308.38403873703</v>
      </c>
      <c r="H58" s="149">
        <f t="shared" si="9"/>
        <v>76131.204605451363</v>
      </c>
      <c r="I58" s="149">
        <f>Inputs!$B$28</f>
        <v>48643.172307692315</v>
      </c>
      <c r="J58" s="149">
        <f>Inputs!$B$29</f>
        <v>10984.615384615387</v>
      </c>
      <c r="K58" s="149">
        <f>Inputs!$B$30</f>
        <v>3406.3846153846157</v>
      </c>
      <c r="L58" s="149">
        <f t="shared" si="6"/>
        <v>63034.172307692315</v>
      </c>
      <c r="M58" s="149">
        <f t="shared" si="10"/>
        <v>172342.55634642934</v>
      </c>
      <c r="N58" s="149">
        <f t="shared" si="11"/>
        <v>2842412.6319160885</v>
      </c>
      <c r="O58" s="149">
        <f>IF(OR($B59="",ROUNDUP(($A58+1)/Inputs!$B$14,0)&gt;$B58),SUMIF($B$4:$B58,$B58,I$4:I58),0)</f>
        <v>0</v>
      </c>
      <c r="P58" s="149">
        <f>IF(OR($B59="",ROUNDUP(($A58+1)/Inputs!$B$14,0)&gt;$B58),SUMIF($B$4:$B58,$B58,J$4:J58),0)</f>
        <v>0</v>
      </c>
      <c r="Q58" s="149">
        <f>IF(OR($B59="",ROUNDUP(($A58+1)/Inputs!$B$14,0)&gt;$B58),SUMIF($B$4:$B58,$B58,K$4:K58),0)</f>
        <v>0</v>
      </c>
      <c r="R58" s="163" t="str">
        <f t="shared" si="12"/>
        <v>Vigente al día</v>
      </c>
      <c r="S58" s="18"/>
      <c r="T58" s="18"/>
      <c r="U58" s="18"/>
      <c r="V58" s="18"/>
      <c r="W58" s="18"/>
      <c r="X58" s="18"/>
      <c r="Y58" s="18"/>
      <c r="Z58" s="18"/>
    </row>
    <row r="59" spans="1:26" ht="18" customHeight="1">
      <c r="A59" s="157">
        <v>56</v>
      </c>
      <c r="B59" s="77">
        <f>ROUNDUP(A59/Inputs!$B$14,0)</f>
        <v>13</v>
      </c>
      <c r="C59" s="160" t="str">
        <f>IF(A59=Inputs!$C$39,"Cambio de tasa",IF(A59=Inputs!$B$15,"Pago final","Pago normal"))</f>
        <v>Pago normal</v>
      </c>
      <c r="D59" s="149">
        <f t="shared" si="7"/>
        <v>2842412.6319160885</v>
      </c>
      <c r="E59" s="150">
        <f>IF(A59&lt;Inputs!$C$39,Inputs!$B$17,Inputs!$C$38)</f>
        <v>1.1367716673677863E-2</v>
      </c>
      <c r="F59" s="149">
        <f t="shared" si="8"/>
        <v>32311.7414693051</v>
      </c>
      <c r="G59" s="149">
        <f>IF(A59&lt;Inputs!$C$39,Inputs!$B$20,IF(A59=Inputs!$C$39,PMT(E59,Inputs!$B$15-A59+1,-D59),G58))</f>
        <v>109308.38403873703</v>
      </c>
      <c r="H59" s="149">
        <f t="shared" si="9"/>
        <v>76996.642569431933</v>
      </c>
      <c r="I59" s="149">
        <f>Inputs!$B$28</f>
        <v>48643.172307692315</v>
      </c>
      <c r="J59" s="149">
        <f>Inputs!$B$29</f>
        <v>10984.615384615387</v>
      </c>
      <c r="K59" s="149">
        <f>Inputs!$B$30</f>
        <v>3406.3846153846157</v>
      </c>
      <c r="L59" s="149">
        <f t="shared" si="6"/>
        <v>63034.172307692315</v>
      </c>
      <c r="M59" s="149">
        <f t="shared" si="10"/>
        <v>172342.55634642934</v>
      </c>
      <c r="N59" s="149">
        <f t="shared" si="11"/>
        <v>2765415.9893466565</v>
      </c>
      <c r="O59" s="149">
        <f>IF(OR($B60="",ROUNDUP(($A59+1)/Inputs!$B$14,0)&gt;$B59),SUMIF($B$4:$B59,$B59,I$4:I59),0)</f>
        <v>194572.68923076926</v>
      </c>
      <c r="P59" s="149">
        <f>IF(OR($B60="",ROUNDUP(($A59+1)/Inputs!$B$14,0)&gt;$B59),SUMIF($B$4:$B59,$B59,J$4:J59),0)</f>
        <v>43938.461538461546</v>
      </c>
      <c r="Q59" s="149">
        <f>IF(OR($B60="",ROUNDUP(($A59+1)/Inputs!$B$14,0)&gt;$B59),SUMIF($B$4:$B59,$B59,K$4:K59),0)</f>
        <v>13625.538461538463</v>
      </c>
      <c r="R59" s="163" t="str">
        <f t="shared" si="12"/>
        <v>Vigente al día</v>
      </c>
      <c r="S59" s="18"/>
      <c r="T59" s="18"/>
      <c r="U59" s="18"/>
      <c r="V59" s="18"/>
      <c r="W59" s="18"/>
      <c r="X59" s="18"/>
      <c r="Y59" s="18"/>
      <c r="Z59" s="18"/>
    </row>
    <row r="60" spans="1:26" ht="18" customHeight="1">
      <c r="A60" s="157">
        <v>57</v>
      </c>
      <c r="B60" s="77">
        <f>ROUNDUP(A60/Inputs!$B$14,0)</f>
        <v>14</v>
      </c>
      <c r="C60" s="160" t="str">
        <f>IF(A60=Inputs!$C$39,"Cambio de tasa",IF(A60=Inputs!$B$15,"Pago final","Pago normal"))</f>
        <v>Pago normal</v>
      </c>
      <c r="D60" s="149">
        <f t="shared" si="7"/>
        <v>2765415.9893466565</v>
      </c>
      <c r="E60" s="150">
        <f>IF(A60&lt;Inputs!$C$39,Inputs!$B$17,Inputs!$C$38)</f>
        <v>1.1367716673677863E-2</v>
      </c>
      <c r="F60" s="149">
        <f t="shared" si="8"/>
        <v>31436.465451751352</v>
      </c>
      <c r="G60" s="149">
        <f>IF(A60&lt;Inputs!$C$39,Inputs!$B$20,IF(A60=Inputs!$C$39,PMT(E60,Inputs!$B$15-A60+1,-D60),G59))</f>
        <v>109308.38403873703</v>
      </c>
      <c r="H60" s="149">
        <f t="shared" si="9"/>
        <v>77871.918586985674</v>
      </c>
      <c r="I60" s="149">
        <f>Inputs!$B$28</f>
        <v>48643.172307692315</v>
      </c>
      <c r="J60" s="149">
        <f>Inputs!$B$29</f>
        <v>10984.615384615387</v>
      </c>
      <c r="K60" s="149">
        <f>Inputs!$B$30</f>
        <v>3406.3846153846157</v>
      </c>
      <c r="L60" s="149">
        <f t="shared" si="6"/>
        <v>63034.172307692315</v>
      </c>
      <c r="M60" s="149">
        <f t="shared" si="10"/>
        <v>172342.55634642934</v>
      </c>
      <c r="N60" s="149">
        <f t="shared" si="11"/>
        <v>2687544.0707596708</v>
      </c>
      <c r="O60" s="149">
        <f>IF(OR($B61="",ROUNDUP(($A60+1)/Inputs!$B$14,0)&gt;$B60),SUMIF($B$4:$B60,$B60,I$4:I60),0)</f>
        <v>0</v>
      </c>
      <c r="P60" s="149">
        <f>IF(OR($B61="",ROUNDUP(($A60+1)/Inputs!$B$14,0)&gt;$B60),SUMIF($B$4:$B60,$B60,J$4:J60),0)</f>
        <v>0</v>
      </c>
      <c r="Q60" s="149">
        <f>IF(OR($B61="",ROUNDUP(($A60+1)/Inputs!$B$14,0)&gt;$B60),SUMIF($B$4:$B60,$B60,K$4:K60),0)</f>
        <v>0</v>
      </c>
      <c r="R60" s="163" t="str">
        <f t="shared" si="12"/>
        <v>Vigente al día</v>
      </c>
      <c r="S60" s="18"/>
      <c r="T60" s="18"/>
      <c r="U60" s="18"/>
      <c r="V60" s="18"/>
      <c r="W60" s="18"/>
      <c r="X60" s="18"/>
      <c r="Y60" s="18"/>
      <c r="Z60" s="18"/>
    </row>
    <row r="61" spans="1:26" ht="18" customHeight="1">
      <c r="A61" s="157">
        <v>58</v>
      </c>
      <c r="B61" s="77">
        <f>ROUNDUP(A61/Inputs!$B$14,0)</f>
        <v>14</v>
      </c>
      <c r="C61" s="160" t="str">
        <f>IF(A61=Inputs!$C$39,"Cambio de tasa",IF(A61=Inputs!$B$15,"Pago final","Pago normal"))</f>
        <v>Pago normal</v>
      </c>
      <c r="D61" s="149">
        <f t="shared" si="7"/>
        <v>2687544.0707596708</v>
      </c>
      <c r="E61" s="150">
        <f>IF(A61&lt;Inputs!$C$39,Inputs!$B$17,Inputs!$C$38)</f>
        <v>1.1367716673677863E-2</v>
      </c>
      <c r="F61" s="149">
        <f t="shared" si="8"/>
        <v>30551.23954441879</v>
      </c>
      <c r="G61" s="149">
        <f>IF(A61&lt;Inputs!$C$39,Inputs!$B$20,IF(A61=Inputs!$C$39,PMT(E61,Inputs!$B$15-A61+1,-D61),G60))</f>
        <v>109308.38403873703</v>
      </c>
      <c r="H61" s="149">
        <f t="shared" si="9"/>
        <v>78757.144494318243</v>
      </c>
      <c r="I61" s="149">
        <f>Inputs!$B$28</f>
        <v>48643.172307692315</v>
      </c>
      <c r="J61" s="149">
        <f>Inputs!$B$29</f>
        <v>10984.615384615387</v>
      </c>
      <c r="K61" s="149">
        <f>Inputs!$B$30</f>
        <v>3406.3846153846157</v>
      </c>
      <c r="L61" s="149">
        <f t="shared" si="6"/>
        <v>63034.172307692315</v>
      </c>
      <c r="M61" s="149">
        <f t="shared" si="10"/>
        <v>172342.55634642934</v>
      </c>
      <c r="N61" s="149">
        <f t="shared" si="11"/>
        <v>2608786.9262653524</v>
      </c>
      <c r="O61" s="149">
        <f>IF(OR($B62="",ROUNDUP(($A61+1)/Inputs!$B$14,0)&gt;$B61),SUMIF($B$4:$B61,$B61,I$4:I61),0)</f>
        <v>0</v>
      </c>
      <c r="P61" s="149">
        <f>IF(OR($B62="",ROUNDUP(($A61+1)/Inputs!$B$14,0)&gt;$B61),SUMIF($B$4:$B61,$B61,J$4:J61),0)</f>
        <v>0</v>
      </c>
      <c r="Q61" s="149">
        <f>IF(OR($B62="",ROUNDUP(($A61+1)/Inputs!$B$14,0)&gt;$B61),SUMIF($B$4:$B61,$B61,K$4:K61),0)</f>
        <v>0</v>
      </c>
      <c r="R61" s="163" t="str">
        <f t="shared" si="12"/>
        <v>Vigente al día</v>
      </c>
      <c r="S61" s="18"/>
      <c r="T61" s="18"/>
      <c r="U61" s="18"/>
      <c r="V61" s="18"/>
      <c r="W61" s="18"/>
      <c r="X61" s="18"/>
      <c r="Y61" s="18"/>
      <c r="Z61" s="18"/>
    </row>
    <row r="62" spans="1:26" ht="18" customHeight="1">
      <c r="A62" s="157">
        <v>59</v>
      </c>
      <c r="B62" s="77">
        <f>ROUNDUP(A62/Inputs!$B$14,0)</f>
        <v>14</v>
      </c>
      <c r="C62" s="160" t="str">
        <f>IF(A62=Inputs!$C$39,"Cambio de tasa",IF(A62=Inputs!$B$15,"Pago final","Pago normal"))</f>
        <v>Pago normal</v>
      </c>
      <c r="D62" s="149">
        <f t="shared" si="7"/>
        <v>2608786.9262653524</v>
      </c>
      <c r="E62" s="150">
        <f>IF(A62&lt;Inputs!$C$39,Inputs!$B$17,Inputs!$C$38)</f>
        <v>1.1367716673677863E-2</v>
      </c>
      <c r="F62" s="149">
        <f t="shared" si="8"/>
        <v>29655.950639779468</v>
      </c>
      <c r="G62" s="149">
        <f>IF(A62&lt;Inputs!$C$39,Inputs!$B$20,IF(A62=Inputs!$C$39,PMT(E62,Inputs!$B$15-A62+1,-D62),G61))</f>
        <v>109308.38403873703</v>
      </c>
      <c r="H62" s="149">
        <f t="shared" si="9"/>
        <v>79652.433398957568</v>
      </c>
      <c r="I62" s="149">
        <f>Inputs!$B$28</f>
        <v>48643.172307692315</v>
      </c>
      <c r="J62" s="149">
        <f>Inputs!$B$29</f>
        <v>10984.615384615387</v>
      </c>
      <c r="K62" s="149">
        <f>Inputs!$B$30</f>
        <v>3406.3846153846157</v>
      </c>
      <c r="L62" s="149">
        <f t="shared" si="6"/>
        <v>63034.172307692315</v>
      </c>
      <c r="M62" s="149">
        <f t="shared" si="10"/>
        <v>172342.55634642934</v>
      </c>
      <c r="N62" s="149">
        <f t="shared" si="11"/>
        <v>2529134.492866395</v>
      </c>
      <c r="O62" s="149">
        <f>IF(OR($B63="",ROUNDUP(($A62+1)/Inputs!$B$14,0)&gt;$B62),SUMIF($B$4:$B62,$B62,I$4:I62),0)</f>
        <v>0</v>
      </c>
      <c r="P62" s="149">
        <f>IF(OR($B63="",ROUNDUP(($A62+1)/Inputs!$B$14,0)&gt;$B62),SUMIF($B$4:$B62,$B62,J$4:J62),0)</f>
        <v>0</v>
      </c>
      <c r="Q62" s="149">
        <f>IF(OR($B63="",ROUNDUP(($A62+1)/Inputs!$B$14,0)&gt;$B62),SUMIF($B$4:$B62,$B62,K$4:K62),0)</f>
        <v>0</v>
      </c>
      <c r="R62" s="163" t="str">
        <f t="shared" si="12"/>
        <v>Vigente al día</v>
      </c>
      <c r="S62" s="18"/>
      <c r="T62" s="18"/>
      <c r="U62" s="18"/>
      <c r="V62" s="18"/>
      <c r="W62" s="18"/>
      <c r="X62" s="18"/>
      <c r="Y62" s="18"/>
      <c r="Z62" s="18"/>
    </row>
    <row r="63" spans="1:26" ht="18" customHeight="1">
      <c r="A63" s="157">
        <v>60</v>
      </c>
      <c r="B63" s="77">
        <f>ROUNDUP(A63/Inputs!$B$14,0)</f>
        <v>14</v>
      </c>
      <c r="C63" s="160" t="str">
        <f>IF(A63=Inputs!$C$39,"Cambio de tasa",IF(A63=Inputs!$B$15,"Pago final","Pago normal"))</f>
        <v>Pago normal</v>
      </c>
      <c r="D63" s="149">
        <f t="shared" si="7"/>
        <v>2529134.492866395</v>
      </c>
      <c r="E63" s="150">
        <f>IF(A63&lt;Inputs!$C$39,Inputs!$B$17,Inputs!$C$38)</f>
        <v>1.1367716673677863E-2</v>
      </c>
      <c r="F63" s="149">
        <f t="shared" si="8"/>
        <v>28750.484344531127</v>
      </c>
      <c r="G63" s="149">
        <f>IF(A63&lt;Inputs!$C$39,Inputs!$B$20,IF(A63=Inputs!$C$39,PMT(E63,Inputs!$B$15-A63+1,-D63),G62))</f>
        <v>109308.38403873703</v>
      </c>
      <c r="H63" s="149">
        <f t="shared" si="9"/>
        <v>80557.899694205902</v>
      </c>
      <c r="I63" s="149">
        <f>Inputs!$B$28</f>
        <v>48643.172307692315</v>
      </c>
      <c r="J63" s="149">
        <f>Inputs!$B$29</f>
        <v>10984.615384615387</v>
      </c>
      <c r="K63" s="149">
        <f>Inputs!$B$30</f>
        <v>3406.3846153846157</v>
      </c>
      <c r="L63" s="149">
        <f t="shared" si="6"/>
        <v>63034.172307692315</v>
      </c>
      <c r="M63" s="149">
        <f t="shared" si="10"/>
        <v>172342.55634642934</v>
      </c>
      <c r="N63" s="149">
        <f t="shared" si="11"/>
        <v>2448576.5931721893</v>
      </c>
      <c r="O63" s="149">
        <f>IF(OR($B64="",ROUNDUP(($A63+1)/Inputs!$B$14,0)&gt;$B63),SUMIF($B$4:$B63,$B63,I$4:I63),0)</f>
        <v>194572.68923076926</v>
      </c>
      <c r="P63" s="149">
        <f>IF(OR($B64="",ROUNDUP(($A63+1)/Inputs!$B$14,0)&gt;$B63),SUMIF($B$4:$B63,$B63,J$4:J63),0)</f>
        <v>43938.461538461546</v>
      </c>
      <c r="Q63" s="149">
        <f>IF(OR($B64="",ROUNDUP(($A63+1)/Inputs!$B$14,0)&gt;$B63),SUMIF($B$4:$B63,$B63,K$4:K63),0)</f>
        <v>13625.538461538463</v>
      </c>
      <c r="R63" s="163" t="str">
        <f t="shared" si="12"/>
        <v>Vigente al día</v>
      </c>
      <c r="S63" s="18"/>
      <c r="T63" s="18"/>
      <c r="U63" s="18"/>
      <c r="V63" s="18"/>
      <c r="W63" s="18"/>
      <c r="X63" s="18"/>
      <c r="Y63" s="18"/>
      <c r="Z63" s="18"/>
    </row>
    <row r="64" spans="1:26" ht="18" customHeight="1">
      <c r="A64" s="157">
        <v>61</v>
      </c>
      <c r="B64" s="77">
        <f>ROUNDUP(A64/Inputs!$B$14,0)</f>
        <v>15</v>
      </c>
      <c r="C64" s="160" t="str">
        <f>IF(A64=Inputs!$C$39,"Cambio de tasa",IF(A64=Inputs!$B$15,"Pago final","Pago normal"))</f>
        <v>Pago normal</v>
      </c>
      <c r="D64" s="149">
        <f t="shared" si="7"/>
        <v>2448576.5931721893</v>
      </c>
      <c r="E64" s="150">
        <f>IF(A64&lt;Inputs!$C$39,Inputs!$B$17,Inputs!$C$38)</f>
        <v>1.1367716673677863E-2</v>
      </c>
      <c r="F64" s="149">
        <f t="shared" si="8"/>
        <v>27834.724964980836</v>
      </c>
      <c r="G64" s="149">
        <f>IF(A64&lt;Inputs!$C$39,Inputs!$B$20,IF(A64=Inputs!$C$39,PMT(E64,Inputs!$B$15-A64+1,-D64),G63))</f>
        <v>109308.38403873703</v>
      </c>
      <c r="H64" s="149">
        <f t="shared" si="9"/>
        <v>81473.659073756193</v>
      </c>
      <c r="I64" s="149">
        <f>Inputs!$B$28</f>
        <v>48643.172307692315</v>
      </c>
      <c r="J64" s="149">
        <f>Inputs!$B$29</f>
        <v>10984.615384615387</v>
      </c>
      <c r="K64" s="149">
        <f>Inputs!$B$30</f>
        <v>3406.3846153846157</v>
      </c>
      <c r="L64" s="149">
        <f t="shared" si="6"/>
        <v>63034.172307692315</v>
      </c>
      <c r="M64" s="149">
        <f t="shared" si="10"/>
        <v>172342.55634642934</v>
      </c>
      <c r="N64" s="149">
        <f t="shared" si="11"/>
        <v>2367102.9340984332</v>
      </c>
      <c r="O64" s="149">
        <f>IF(OR($B65="",ROUNDUP(($A64+1)/Inputs!$B$14,0)&gt;$B64),SUMIF($B$4:$B64,$B64,I$4:I64),0)</f>
        <v>0</v>
      </c>
      <c r="P64" s="149">
        <f>IF(OR($B65="",ROUNDUP(($A64+1)/Inputs!$B$14,0)&gt;$B64),SUMIF($B$4:$B64,$B64,J$4:J64),0)</f>
        <v>0</v>
      </c>
      <c r="Q64" s="149">
        <f>IF(OR($B65="",ROUNDUP(($A64+1)/Inputs!$B$14,0)&gt;$B64),SUMIF($B$4:$B64,$B64,K$4:K64),0)</f>
        <v>0</v>
      </c>
      <c r="R64" s="163" t="str">
        <f t="shared" si="12"/>
        <v>Vigente al día</v>
      </c>
      <c r="S64" s="18"/>
      <c r="T64" s="18"/>
      <c r="U64" s="18"/>
      <c r="V64" s="18"/>
      <c r="W64" s="18"/>
      <c r="X64" s="18"/>
      <c r="Y64" s="18"/>
      <c r="Z64" s="18"/>
    </row>
    <row r="65" spans="1:26" ht="18" customHeight="1">
      <c r="A65" s="157">
        <v>62</v>
      </c>
      <c r="B65" s="77">
        <f>ROUNDUP(A65/Inputs!$B$14,0)</f>
        <v>15</v>
      </c>
      <c r="C65" s="160" t="str">
        <f>IF(A65=Inputs!$C$39,"Cambio de tasa",IF(A65=Inputs!$B$15,"Pago final","Pago normal"))</f>
        <v>Pago normal</v>
      </c>
      <c r="D65" s="149">
        <f t="shared" si="7"/>
        <v>2367102.9340984332</v>
      </c>
      <c r="E65" s="150">
        <f>IF(A65&lt;Inputs!$C$39,Inputs!$B$17,Inputs!$C$38)</f>
        <v>1.1367716673677863E-2</v>
      </c>
      <c r="F65" s="149">
        <f t="shared" si="8"/>
        <v>26908.555492262552</v>
      </c>
      <c r="G65" s="149">
        <f>IF(A65&lt;Inputs!$C$39,Inputs!$B$20,IF(A65=Inputs!$C$39,PMT(E65,Inputs!$B$15-A65+1,-D65),G64))</f>
        <v>109308.38403873703</v>
      </c>
      <c r="H65" s="149">
        <f t="shared" si="9"/>
        <v>82399.828546474484</v>
      </c>
      <c r="I65" s="149">
        <f>Inputs!$B$28</f>
        <v>48643.172307692315</v>
      </c>
      <c r="J65" s="149">
        <f>Inputs!$B$29</f>
        <v>10984.615384615387</v>
      </c>
      <c r="K65" s="149">
        <f>Inputs!$B$30</f>
        <v>3406.3846153846157</v>
      </c>
      <c r="L65" s="149">
        <f t="shared" si="6"/>
        <v>63034.172307692315</v>
      </c>
      <c r="M65" s="149">
        <f t="shared" si="10"/>
        <v>172342.55634642934</v>
      </c>
      <c r="N65" s="149">
        <f t="shared" si="11"/>
        <v>2284703.1055519585</v>
      </c>
      <c r="O65" s="149">
        <f>IF(OR($B66="",ROUNDUP(($A65+1)/Inputs!$B$14,0)&gt;$B65),SUMIF($B$4:$B65,$B65,I$4:I65),0)</f>
        <v>0</v>
      </c>
      <c r="P65" s="149">
        <f>IF(OR($B66="",ROUNDUP(($A65+1)/Inputs!$B$14,0)&gt;$B65),SUMIF($B$4:$B65,$B65,J$4:J65),0)</f>
        <v>0</v>
      </c>
      <c r="Q65" s="149">
        <f>IF(OR($B66="",ROUNDUP(($A65+1)/Inputs!$B$14,0)&gt;$B65),SUMIF($B$4:$B65,$B65,K$4:K65),0)</f>
        <v>0</v>
      </c>
      <c r="R65" s="163" t="str">
        <f t="shared" si="12"/>
        <v>Vigente al día</v>
      </c>
      <c r="S65" s="18"/>
      <c r="T65" s="18"/>
      <c r="U65" s="18"/>
      <c r="V65" s="18"/>
      <c r="W65" s="18"/>
      <c r="X65" s="18"/>
      <c r="Y65" s="18"/>
      <c r="Z65" s="18"/>
    </row>
    <row r="66" spans="1:26" ht="18" customHeight="1">
      <c r="A66" s="157">
        <v>63</v>
      </c>
      <c r="B66" s="77">
        <f>ROUNDUP(A66/Inputs!$B$14,0)</f>
        <v>15</v>
      </c>
      <c r="C66" s="160" t="str">
        <f>IF(A66=Inputs!$C$39,"Cambio de tasa",IF(A66=Inputs!$B$15,"Pago final","Pago normal"))</f>
        <v>Pago normal</v>
      </c>
      <c r="D66" s="149">
        <f t="shared" si="7"/>
        <v>2284703.1055519585</v>
      </c>
      <c r="E66" s="150">
        <f>IF(A66&lt;Inputs!$C$39,Inputs!$B$17,Inputs!$C$38)</f>
        <v>1.1367716673677863E-2</v>
      </c>
      <c r="F66" s="149">
        <f t="shared" si="8"/>
        <v>25971.857587386596</v>
      </c>
      <c r="G66" s="149">
        <f>IF(A66&lt;Inputs!$C$39,Inputs!$B$20,IF(A66=Inputs!$C$39,PMT(E66,Inputs!$B$15-A66+1,-D66),G65))</f>
        <v>109308.38403873703</v>
      </c>
      <c r="H66" s="149">
        <f t="shared" si="9"/>
        <v>83336.526451350437</v>
      </c>
      <c r="I66" s="149">
        <f>Inputs!$B$28</f>
        <v>48643.172307692315</v>
      </c>
      <c r="J66" s="149">
        <f>Inputs!$B$29</f>
        <v>10984.615384615387</v>
      </c>
      <c r="K66" s="149">
        <f>Inputs!$B$30</f>
        <v>3406.3846153846157</v>
      </c>
      <c r="L66" s="149">
        <f t="shared" si="6"/>
        <v>63034.172307692315</v>
      </c>
      <c r="M66" s="149">
        <f t="shared" si="10"/>
        <v>172342.55634642934</v>
      </c>
      <c r="N66" s="149">
        <f t="shared" si="11"/>
        <v>2201366.5791006079</v>
      </c>
      <c r="O66" s="149">
        <f>IF(OR($B67="",ROUNDUP(($A66+1)/Inputs!$B$14,0)&gt;$B66),SUMIF($B$4:$B66,$B66,I$4:I66),0)</f>
        <v>0</v>
      </c>
      <c r="P66" s="149">
        <f>IF(OR($B67="",ROUNDUP(($A66+1)/Inputs!$B$14,0)&gt;$B66),SUMIF($B$4:$B66,$B66,J$4:J66),0)</f>
        <v>0</v>
      </c>
      <c r="Q66" s="149">
        <f>IF(OR($B67="",ROUNDUP(($A66+1)/Inputs!$B$14,0)&gt;$B66),SUMIF($B$4:$B66,$B66,K$4:K66),0)</f>
        <v>0</v>
      </c>
      <c r="R66" s="163" t="str">
        <f t="shared" si="12"/>
        <v>Vigente al día</v>
      </c>
      <c r="S66" s="18"/>
      <c r="T66" s="18"/>
      <c r="U66" s="18"/>
      <c r="V66" s="18"/>
      <c r="W66" s="18"/>
      <c r="X66" s="18"/>
      <c r="Y66" s="18"/>
      <c r="Z66" s="18"/>
    </row>
    <row r="67" spans="1:26" ht="18" customHeight="1">
      <c r="A67" s="157">
        <v>64</v>
      </c>
      <c r="B67" s="77">
        <f>ROUNDUP(A67/Inputs!$B$14,0)</f>
        <v>15</v>
      </c>
      <c r="C67" s="160" t="str">
        <f>IF(A67=Inputs!$C$39,"Cambio de tasa",IF(A67=Inputs!$B$15,"Pago final","Pago normal"))</f>
        <v>Pago normal</v>
      </c>
      <c r="D67" s="149">
        <f t="shared" si="7"/>
        <v>2201366.5791006079</v>
      </c>
      <c r="E67" s="150">
        <f>IF(A67&lt;Inputs!$C$39,Inputs!$B$17,Inputs!$C$38)</f>
        <v>1.1367716673677863E-2</v>
      </c>
      <c r="F67" s="149">
        <f t="shared" si="8"/>
        <v>25024.511566119181</v>
      </c>
      <c r="G67" s="149">
        <f>IF(A67&lt;Inputs!$C$39,Inputs!$B$20,IF(A67=Inputs!$C$39,PMT(E67,Inputs!$B$15-A67+1,-D67),G66))</f>
        <v>109308.38403873703</v>
      </c>
      <c r="H67" s="149">
        <f t="shared" si="9"/>
        <v>84283.872472617848</v>
      </c>
      <c r="I67" s="149">
        <f>Inputs!$B$28</f>
        <v>48643.172307692315</v>
      </c>
      <c r="J67" s="149">
        <f>Inputs!$B$29</f>
        <v>10984.615384615387</v>
      </c>
      <c r="K67" s="149">
        <f>Inputs!$B$30</f>
        <v>3406.3846153846157</v>
      </c>
      <c r="L67" s="149">
        <f t="shared" si="6"/>
        <v>63034.172307692315</v>
      </c>
      <c r="M67" s="149">
        <f t="shared" si="10"/>
        <v>172342.55634642934</v>
      </c>
      <c r="N67" s="149">
        <f t="shared" si="11"/>
        <v>2117082.7066279901</v>
      </c>
      <c r="O67" s="149">
        <f>IF(OR($B68="",ROUNDUP(($A67+1)/Inputs!$B$14,0)&gt;$B67),SUMIF($B$4:$B67,$B67,I$4:I67),0)</f>
        <v>0</v>
      </c>
      <c r="P67" s="149">
        <f>IF(OR($B68="",ROUNDUP(($A67+1)/Inputs!$B$14,0)&gt;$B67),SUMIF($B$4:$B67,$B67,J$4:J67),0)</f>
        <v>0</v>
      </c>
      <c r="Q67" s="149">
        <f>IF(OR($B68="",ROUNDUP(($A67+1)/Inputs!$B$14,0)&gt;$B67),SUMIF($B$4:$B67,$B67,K$4:K67),0)</f>
        <v>0</v>
      </c>
      <c r="R67" s="163" t="str">
        <f t="shared" si="12"/>
        <v>Vigente al día</v>
      </c>
      <c r="S67" s="18"/>
      <c r="T67" s="18"/>
      <c r="U67" s="18"/>
      <c r="V67" s="18"/>
      <c r="W67" s="18"/>
      <c r="X67" s="18"/>
      <c r="Y67" s="18"/>
      <c r="Z67" s="18"/>
    </row>
    <row r="68" spans="1:26" ht="18" customHeight="1">
      <c r="A68" s="157">
        <v>65</v>
      </c>
      <c r="B68" s="77">
        <f>ROUNDUP(A68/Inputs!$B$14,0)</f>
        <v>15</v>
      </c>
      <c r="C68" s="160" t="str">
        <f>IF(A68=Inputs!$C$39,"Cambio de tasa",IF(A68=Inputs!$B$15,"Pago final","Pago normal"))</f>
        <v>Pago normal</v>
      </c>
      <c r="D68" s="149">
        <f t="shared" ref="D68:D89" si="13">N67</f>
        <v>2117082.7066279901</v>
      </c>
      <c r="E68" s="150">
        <f>IF(A68&lt;Inputs!$C$39,Inputs!$B$17,Inputs!$C$38)</f>
        <v>1.1367716673677863E-2</v>
      </c>
      <c r="F68" s="149">
        <f t="shared" ref="F68:F89" si="14">D68*E68</f>
        <v>24066.396383690062</v>
      </c>
      <c r="G68" s="149">
        <f>IF(A68&lt;Inputs!$C$39,Inputs!$B$20,IF(A68=Inputs!$C$39,PMT(E68,Inputs!$B$15-A68+1,-D68),G67))</f>
        <v>109308.38403873703</v>
      </c>
      <c r="H68" s="149">
        <f t="shared" ref="H68:H89" si="15">MIN(D68,G68-F68)</f>
        <v>85241.987655046963</v>
      </c>
      <c r="I68" s="149">
        <f>Inputs!$B$28</f>
        <v>48643.172307692315</v>
      </c>
      <c r="J68" s="149">
        <f>Inputs!$B$29</f>
        <v>10984.615384615387</v>
      </c>
      <c r="K68" s="149">
        <f>Inputs!$B$30</f>
        <v>3406.3846153846157</v>
      </c>
      <c r="L68" s="149">
        <f t="shared" si="6"/>
        <v>63034.172307692315</v>
      </c>
      <c r="M68" s="149">
        <f t="shared" ref="M68:M89" si="16">G68+L68</f>
        <v>172342.55634642934</v>
      </c>
      <c r="N68" s="149">
        <f t="shared" ref="N68:N89" si="17">MAX(0,D68-H68)</f>
        <v>2031840.7189729433</v>
      </c>
      <c r="O68" s="149">
        <f>IF(OR($B69="",ROUNDUP(($A68+1)/Inputs!$B$14,0)&gt;$B68),SUMIF($B$4:$B68,$B68,I$4:I68),0)</f>
        <v>243215.86153846158</v>
      </c>
      <c r="P68" s="149">
        <f>IF(OR($B69="",ROUNDUP(($A68+1)/Inputs!$B$14,0)&gt;$B68),SUMIF($B$4:$B68,$B68,J$4:J68),0)</f>
        <v>54923.076923076937</v>
      </c>
      <c r="Q68" s="149">
        <f>IF(OR($B69="",ROUNDUP(($A68+1)/Inputs!$B$14,0)&gt;$B68),SUMIF($B$4:$B68,$B68,K$4:K68),0)</f>
        <v>17031.923076923078</v>
      </c>
      <c r="R68" s="163" t="str">
        <f t="shared" ref="R68:R89" si="18">IF(N68&lt;=0.005,"Amortizado","Vigente al día")</f>
        <v>Vigente al día</v>
      </c>
      <c r="S68" s="18"/>
      <c r="T68" s="18"/>
      <c r="U68" s="18"/>
      <c r="V68" s="18"/>
      <c r="W68" s="18"/>
      <c r="X68" s="18"/>
      <c r="Y68" s="18"/>
      <c r="Z68" s="18"/>
    </row>
    <row r="69" spans="1:26" ht="18" customHeight="1">
      <c r="A69" s="157">
        <v>66</v>
      </c>
      <c r="B69" s="77">
        <f>ROUNDUP(A69/Inputs!$B$14,0)</f>
        <v>16</v>
      </c>
      <c r="C69" s="160" t="str">
        <f>IF(A69=Inputs!$C$39,"Cambio de tasa",IF(A69=Inputs!$B$15,"Pago final","Pago normal"))</f>
        <v>Pago normal</v>
      </c>
      <c r="D69" s="149">
        <f t="shared" si="13"/>
        <v>2031840.7189729433</v>
      </c>
      <c r="E69" s="150">
        <f>IF(A69&lt;Inputs!$C$39,Inputs!$B$17,Inputs!$C$38)</f>
        <v>1.1367716673677863E-2</v>
      </c>
      <c r="F69" s="149">
        <f t="shared" si="14"/>
        <v>23097.389619326346</v>
      </c>
      <c r="G69" s="149">
        <f>IF(A69&lt;Inputs!$C$39,Inputs!$B$20,IF(A69=Inputs!$C$39,PMT(E69,Inputs!$B$15-A69+1,-D69),G68))</f>
        <v>109308.38403873703</v>
      </c>
      <c r="H69" s="149">
        <f t="shared" si="15"/>
        <v>86210.994419410679</v>
      </c>
      <c r="I69" s="149">
        <f>Inputs!$B$28</f>
        <v>48643.172307692315</v>
      </c>
      <c r="J69" s="149">
        <f>Inputs!$B$29</f>
        <v>10984.615384615387</v>
      </c>
      <c r="K69" s="149">
        <f>Inputs!$B$30</f>
        <v>3406.3846153846157</v>
      </c>
      <c r="L69" s="149">
        <f t="shared" ref="L69:L89" si="19">SUM(I69:K69)</f>
        <v>63034.172307692315</v>
      </c>
      <c r="M69" s="149">
        <f t="shared" si="16"/>
        <v>172342.55634642934</v>
      </c>
      <c r="N69" s="149">
        <f t="shared" si="17"/>
        <v>1945629.7245535327</v>
      </c>
      <c r="O69" s="149">
        <f>IF(OR($B70="",ROUNDUP(($A69+1)/Inputs!$B$14,0)&gt;$B69),SUMIF($B$4:$B69,$B69,I$4:I69),0)</f>
        <v>0</v>
      </c>
      <c r="P69" s="149">
        <f>IF(OR($B70="",ROUNDUP(($A69+1)/Inputs!$B$14,0)&gt;$B69),SUMIF($B$4:$B69,$B69,J$4:J69),0)</f>
        <v>0</v>
      </c>
      <c r="Q69" s="149">
        <f>IF(OR($B70="",ROUNDUP(($A69+1)/Inputs!$B$14,0)&gt;$B69),SUMIF($B$4:$B69,$B69,K$4:K69),0)</f>
        <v>0</v>
      </c>
      <c r="R69" s="163" t="str">
        <f t="shared" si="18"/>
        <v>Vigente al día</v>
      </c>
      <c r="S69" s="18"/>
      <c r="T69" s="18"/>
      <c r="U69" s="18"/>
      <c r="V69" s="18"/>
      <c r="W69" s="18"/>
      <c r="X69" s="18"/>
      <c r="Y69" s="18"/>
      <c r="Z69" s="18"/>
    </row>
    <row r="70" spans="1:26" ht="18" customHeight="1">
      <c r="A70" s="157">
        <v>67</v>
      </c>
      <c r="B70" s="77">
        <f>ROUNDUP(A70/Inputs!$B$14,0)</f>
        <v>16</v>
      </c>
      <c r="C70" s="160" t="str">
        <f>IF(A70=Inputs!$C$39,"Cambio de tasa",IF(A70=Inputs!$B$15,"Pago final","Pago normal"))</f>
        <v>Pago normal</v>
      </c>
      <c r="D70" s="149">
        <f t="shared" si="13"/>
        <v>1945629.7245535327</v>
      </c>
      <c r="E70" s="150">
        <f>IF(A70&lt;Inputs!$C$39,Inputs!$B$17,Inputs!$C$38)</f>
        <v>1.1367716673677863E-2</v>
      </c>
      <c r="F70" s="149">
        <f t="shared" si="14"/>
        <v>22117.367460610461</v>
      </c>
      <c r="G70" s="149">
        <f>IF(A70&lt;Inputs!$C$39,Inputs!$B$20,IF(A70=Inputs!$C$39,PMT(E70,Inputs!$B$15-A70+1,-D70),G69))</f>
        <v>109308.38403873703</v>
      </c>
      <c r="H70" s="149">
        <f t="shared" si="15"/>
        <v>87191.016578126568</v>
      </c>
      <c r="I70" s="149">
        <f>Inputs!$B$28</f>
        <v>48643.172307692315</v>
      </c>
      <c r="J70" s="149">
        <f>Inputs!$B$29</f>
        <v>10984.615384615387</v>
      </c>
      <c r="K70" s="149">
        <f>Inputs!$B$30</f>
        <v>3406.3846153846157</v>
      </c>
      <c r="L70" s="149">
        <f t="shared" si="19"/>
        <v>63034.172307692315</v>
      </c>
      <c r="M70" s="149">
        <f t="shared" si="16"/>
        <v>172342.55634642934</v>
      </c>
      <c r="N70" s="149">
        <f t="shared" si="17"/>
        <v>1858438.7079754062</v>
      </c>
      <c r="O70" s="149">
        <f>IF(OR($B71="",ROUNDUP(($A70+1)/Inputs!$B$14,0)&gt;$B70),SUMIF($B$4:$B70,$B70,I$4:I70),0)</f>
        <v>0</v>
      </c>
      <c r="P70" s="149">
        <f>IF(OR($B71="",ROUNDUP(($A70+1)/Inputs!$B$14,0)&gt;$B70),SUMIF($B$4:$B70,$B70,J$4:J70),0)</f>
        <v>0</v>
      </c>
      <c r="Q70" s="149">
        <f>IF(OR($B71="",ROUNDUP(($A70+1)/Inputs!$B$14,0)&gt;$B70),SUMIF($B$4:$B70,$B70,K$4:K70),0)</f>
        <v>0</v>
      </c>
      <c r="R70" s="163" t="str">
        <f t="shared" si="18"/>
        <v>Vigente al día</v>
      </c>
      <c r="S70" s="18"/>
      <c r="T70" s="18"/>
      <c r="U70" s="18"/>
      <c r="V70" s="18"/>
      <c r="W70" s="18"/>
      <c r="X70" s="18"/>
      <c r="Y70" s="18"/>
      <c r="Z70" s="18"/>
    </row>
    <row r="71" spans="1:26" ht="18" customHeight="1">
      <c r="A71" s="157">
        <v>68</v>
      </c>
      <c r="B71" s="77">
        <f>ROUNDUP(A71/Inputs!$B$14,0)</f>
        <v>16</v>
      </c>
      <c r="C71" s="160" t="str">
        <f>IF(A71=Inputs!$C$39,"Cambio de tasa",IF(A71=Inputs!$B$15,"Pago final","Pago normal"))</f>
        <v>Pago normal</v>
      </c>
      <c r="D71" s="149">
        <f t="shared" si="13"/>
        <v>1858438.7079754062</v>
      </c>
      <c r="E71" s="150">
        <f>IF(A71&lt;Inputs!$C$39,Inputs!$B$17,Inputs!$C$38)</f>
        <v>1.1367716673677863E-2</v>
      </c>
      <c r="F71" s="149">
        <f t="shared" si="14"/>
        <v>21126.204687660371</v>
      </c>
      <c r="G71" s="149">
        <f>IF(A71&lt;Inputs!$C$39,Inputs!$B$20,IF(A71=Inputs!$C$39,PMT(E71,Inputs!$B$15-A71+1,-D71),G70))</f>
        <v>109308.38403873703</v>
      </c>
      <c r="H71" s="149">
        <f t="shared" si="15"/>
        <v>88182.179351076658</v>
      </c>
      <c r="I71" s="149">
        <f>Inputs!$B$28</f>
        <v>48643.172307692315</v>
      </c>
      <c r="J71" s="149">
        <f>Inputs!$B$29</f>
        <v>10984.615384615387</v>
      </c>
      <c r="K71" s="149">
        <f>Inputs!$B$30</f>
        <v>3406.3846153846157</v>
      </c>
      <c r="L71" s="149">
        <f t="shared" si="19"/>
        <v>63034.172307692315</v>
      </c>
      <c r="M71" s="149">
        <f t="shared" si="16"/>
        <v>172342.55634642934</v>
      </c>
      <c r="N71" s="149">
        <f t="shared" si="17"/>
        <v>1770256.5286243295</v>
      </c>
      <c r="O71" s="149">
        <f>IF(OR($B72="",ROUNDUP(($A71+1)/Inputs!$B$14,0)&gt;$B71),SUMIF($B$4:$B71,$B71,I$4:I71),0)</f>
        <v>0</v>
      </c>
      <c r="P71" s="149">
        <f>IF(OR($B72="",ROUNDUP(($A71+1)/Inputs!$B$14,0)&gt;$B71),SUMIF($B$4:$B71,$B71,J$4:J71),0)</f>
        <v>0</v>
      </c>
      <c r="Q71" s="149">
        <f>IF(OR($B72="",ROUNDUP(($A71+1)/Inputs!$B$14,0)&gt;$B71),SUMIF($B$4:$B71,$B71,K$4:K71),0)</f>
        <v>0</v>
      </c>
      <c r="R71" s="163" t="str">
        <f t="shared" si="18"/>
        <v>Vigente al día</v>
      </c>
      <c r="S71" s="18"/>
      <c r="T71" s="18"/>
      <c r="U71" s="18"/>
      <c r="V71" s="18"/>
      <c r="W71" s="18"/>
      <c r="X71" s="18"/>
      <c r="Y71" s="18"/>
      <c r="Z71" s="18"/>
    </row>
    <row r="72" spans="1:26" ht="18" customHeight="1">
      <c r="A72" s="157">
        <v>69</v>
      </c>
      <c r="B72" s="77">
        <f>ROUNDUP(A72/Inputs!$B$14,0)</f>
        <v>16</v>
      </c>
      <c r="C72" s="160" t="str">
        <f>IF(A72=Inputs!$C$39,"Cambio de tasa",IF(A72=Inputs!$B$15,"Pago final","Pago normal"))</f>
        <v>Pago normal</v>
      </c>
      <c r="D72" s="149">
        <f t="shared" si="13"/>
        <v>1770256.5286243295</v>
      </c>
      <c r="E72" s="150">
        <f>IF(A72&lt;Inputs!$C$39,Inputs!$B$17,Inputs!$C$38)</f>
        <v>1.1367716673677863E-2</v>
      </c>
      <c r="F72" s="149">
        <f t="shared" si="14"/>
        <v>20123.774657129885</v>
      </c>
      <c r="G72" s="149">
        <f>IF(A72&lt;Inputs!$C$39,Inputs!$B$20,IF(A72=Inputs!$C$39,PMT(E72,Inputs!$B$15-A72+1,-D72),G71))</f>
        <v>109308.38403873703</v>
      </c>
      <c r="H72" s="149">
        <f t="shared" si="15"/>
        <v>89184.609381607152</v>
      </c>
      <c r="I72" s="149">
        <f>Inputs!$B$28</f>
        <v>48643.172307692315</v>
      </c>
      <c r="J72" s="149">
        <f>Inputs!$B$29</f>
        <v>10984.615384615387</v>
      </c>
      <c r="K72" s="149">
        <f>Inputs!$B$30</f>
        <v>3406.3846153846157</v>
      </c>
      <c r="L72" s="149">
        <f t="shared" si="19"/>
        <v>63034.172307692315</v>
      </c>
      <c r="M72" s="149">
        <f t="shared" si="16"/>
        <v>172342.55634642934</v>
      </c>
      <c r="N72" s="149">
        <f t="shared" si="17"/>
        <v>1681071.9192427224</v>
      </c>
      <c r="O72" s="149">
        <f>IF(OR($B73="",ROUNDUP(($A72+1)/Inputs!$B$14,0)&gt;$B72),SUMIF($B$4:$B72,$B72,I$4:I72),0)</f>
        <v>194572.68923076926</v>
      </c>
      <c r="P72" s="149">
        <f>IF(OR($B73="",ROUNDUP(($A72+1)/Inputs!$B$14,0)&gt;$B72),SUMIF($B$4:$B72,$B72,J$4:J72),0)</f>
        <v>43938.461538461546</v>
      </c>
      <c r="Q72" s="149">
        <f>IF(OR($B73="",ROUNDUP(($A72+1)/Inputs!$B$14,0)&gt;$B72),SUMIF($B$4:$B72,$B72,K$4:K72),0)</f>
        <v>13625.538461538463</v>
      </c>
      <c r="R72" s="163" t="str">
        <f t="shared" si="18"/>
        <v>Vigente al día</v>
      </c>
      <c r="S72" s="18"/>
      <c r="T72" s="18"/>
      <c r="U72" s="18"/>
      <c r="V72" s="18"/>
      <c r="W72" s="18"/>
      <c r="X72" s="18"/>
      <c r="Y72" s="18"/>
      <c r="Z72" s="18"/>
    </row>
    <row r="73" spans="1:26" ht="18" customHeight="1">
      <c r="A73" s="157">
        <v>70</v>
      </c>
      <c r="B73" s="77">
        <f>ROUNDUP(A73/Inputs!$B$14,0)</f>
        <v>17</v>
      </c>
      <c r="C73" s="160" t="str">
        <f>IF(A73=Inputs!$C$39,"Cambio de tasa",IF(A73=Inputs!$B$15,"Pago final","Pago normal"))</f>
        <v>Pago normal</v>
      </c>
      <c r="D73" s="149">
        <f t="shared" si="13"/>
        <v>1681071.9192427224</v>
      </c>
      <c r="E73" s="150">
        <f>IF(A73&lt;Inputs!$C$39,Inputs!$B$17,Inputs!$C$38)</f>
        <v>1.1367716673677863E-2</v>
      </c>
      <c r="F73" s="149">
        <f t="shared" si="14"/>
        <v>19109.949286027142</v>
      </c>
      <c r="G73" s="149">
        <f>IF(A73&lt;Inputs!$C$39,Inputs!$B$20,IF(A73=Inputs!$C$39,PMT(E73,Inputs!$B$15-A73+1,-D73),G72))</f>
        <v>109308.38403873703</v>
      </c>
      <c r="H73" s="149">
        <f t="shared" si="15"/>
        <v>90198.434752709887</v>
      </c>
      <c r="I73" s="149">
        <f>Inputs!$B$28</f>
        <v>48643.172307692315</v>
      </c>
      <c r="J73" s="149">
        <f>Inputs!$B$29</f>
        <v>10984.615384615387</v>
      </c>
      <c r="K73" s="149">
        <f>Inputs!$B$30</f>
        <v>3406.3846153846157</v>
      </c>
      <c r="L73" s="149">
        <f t="shared" si="19"/>
        <v>63034.172307692315</v>
      </c>
      <c r="M73" s="149">
        <f t="shared" si="16"/>
        <v>172342.55634642934</v>
      </c>
      <c r="N73" s="149">
        <f t="shared" si="17"/>
        <v>1590873.4844900125</v>
      </c>
      <c r="O73" s="149">
        <f>IF(OR($B74="",ROUNDUP(($A73+1)/Inputs!$B$14,0)&gt;$B73),SUMIF($B$4:$B73,$B73,I$4:I73),0)</f>
        <v>0</v>
      </c>
      <c r="P73" s="149">
        <f>IF(OR($B74="",ROUNDUP(($A73+1)/Inputs!$B$14,0)&gt;$B73),SUMIF($B$4:$B73,$B73,J$4:J73),0)</f>
        <v>0</v>
      </c>
      <c r="Q73" s="149">
        <f>IF(OR($B74="",ROUNDUP(($A73+1)/Inputs!$B$14,0)&gt;$B73),SUMIF($B$4:$B73,$B73,K$4:K73),0)</f>
        <v>0</v>
      </c>
      <c r="R73" s="163" t="str">
        <f t="shared" si="18"/>
        <v>Vigente al día</v>
      </c>
      <c r="S73" s="18"/>
      <c r="T73" s="18"/>
      <c r="U73" s="18"/>
      <c r="V73" s="18"/>
      <c r="W73" s="18"/>
      <c r="X73" s="18"/>
      <c r="Y73" s="18"/>
      <c r="Z73" s="18"/>
    </row>
    <row r="74" spans="1:26" ht="18" customHeight="1">
      <c r="A74" s="157">
        <v>71</v>
      </c>
      <c r="B74" s="77">
        <f>ROUNDUP(A74/Inputs!$B$14,0)</f>
        <v>17</v>
      </c>
      <c r="C74" s="160" t="str">
        <f>IF(A74=Inputs!$C$39,"Cambio de tasa",IF(A74=Inputs!$B$15,"Pago final","Pago normal"))</f>
        <v>Pago normal</v>
      </c>
      <c r="D74" s="149">
        <f t="shared" si="13"/>
        <v>1590873.4844900125</v>
      </c>
      <c r="E74" s="150">
        <f>IF(A74&lt;Inputs!$C$39,Inputs!$B$17,Inputs!$C$38)</f>
        <v>1.1367716673677863E-2</v>
      </c>
      <c r="F74" s="149">
        <f t="shared" si="14"/>
        <v>18084.599035349118</v>
      </c>
      <c r="G74" s="149">
        <f>IF(A74&lt;Inputs!$C$39,Inputs!$B$20,IF(A74=Inputs!$C$39,PMT(E74,Inputs!$B$15-A74+1,-D74),G73))</f>
        <v>109308.38403873703</v>
      </c>
      <c r="H74" s="149">
        <f t="shared" si="15"/>
        <v>91223.785003387908</v>
      </c>
      <c r="I74" s="149">
        <f>Inputs!$B$28</f>
        <v>48643.172307692315</v>
      </c>
      <c r="J74" s="149">
        <f>Inputs!$B$29</f>
        <v>10984.615384615387</v>
      </c>
      <c r="K74" s="149">
        <f>Inputs!$B$30</f>
        <v>3406.3846153846157</v>
      </c>
      <c r="L74" s="149">
        <f t="shared" si="19"/>
        <v>63034.172307692315</v>
      </c>
      <c r="M74" s="149">
        <f t="shared" si="16"/>
        <v>172342.55634642934</v>
      </c>
      <c r="N74" s="149">
        <f t="shared" si="17"/>
        <v>1499649.6994866247</v>
      </c>
      <c r="O74" s="149">
        <f>IF(OR($B75="",ROUNDUP(($A74+1)/Inputs!$B$14,0)&gt;$B74),SUMIF($B$4:$B74,$B74,I$4:I74),0)</f>
        <v>0</v>
      </c>
      <c r="P74" s="149">
        <f>IF(OR($B75="",ROUNDUP(($A74+1)/Inputs!$B$14,0)&gt;$B74),SUMIF($B$4:$B74,$B74,J$4:J74),0)</f>
        <v>0</v>
      </c>
      <c r="Q74" s="149">
        <f>IF(OR($B75="",ROUNDUP(($A74+1)/Inputs!$B$14,0)&gt;$B74),SUMIF($B$4:$B74,$B74,K$4:K74),0)</f>
        <v>0</v>
      </c>
      <c r="R74" s="163" t="str">
        <f t="shared" si="18"/>
        <v>Vigente al día</v>
      </c>
      <c r="S74" s="18"/>
      <c r="T74" s="18"/>
      <c r="U74" s="18"/>
      <c r="V74" s="18"/>
      <c r="W74" s="18"/>
      <c r="X74" s="18"/>
      <c r="Y74" s="18"/>
      <c r="Z74" s="18"/>
    </row>
    <row r="75" spans="1:26" ht="18" customHeight="1">
      <c r="A75" s="157">
        <v>72</v>
      </c>
      <c r="B75" s="77">
        <f>ROUNDUP(A75/Inputs!$B$14,0)</f>
        <v>17</v>
      </c>
      <c r="C75" s="160" t="str">
        <f>IF(A75=Inputs!$C$39,"Cambio de tasa",IF(A75=Inputs!$B$15,"Pago final","Pago normal"))</f>
        <v>Pago normal</v>
      </c>
      <c r="D75" s="149">
        <f t="shared" si="13"/>
        <v>1499649.6994866247</v>
      </c>
      <c r="E75" s="150">
        <f>IF(A75&lt;Inputs!$C$39,Inputs!$B$17,Inputs!$C$38)</f>
        <v>1.1367716673677863E-2</v>
      </c>
      <c r="F75" s="149">
        <f t="shared" si="14"/>
        <v>17047.592893530102</v>
      </c>
      <c r="G75" s="149">
        <f>IF(A75&lt;Inputs!$C$39,Inputs!$B$20,IF(A75=Inputs!$C$39,PMT(E75,Inputs!$B$15-A75+1,-D75),G74))</f>
        <v>109308.38403873703</v>
      </c>
      <c r="H75" s="149">
        <f t="shared" si="15"/>
        <v>92260.791145206924</v>
      </c>
      <c r="I75" s="149">
        <f>Inputs!$B$28</f>
        <v>48643.172307692315</v>
      </c>
      <c r="J75" s="149">
        <f>Inputs!$B$29</f>
        <v>10984.615384615387</v>
      </c>
      <c r="K75" s="149">
        <f>Inputs!$B$30</f>
        <v>3406.3846153846157</v>
      </c>
      <c r="L75" s="149">
        <f t="shared" si="19"/>
        <v>63034.172307692315</v>
      </c>
      <c r="M75" s="149">
        <f t="shared" si="16"/>
        <v>172342.55634642934</v>
      </c>
      <c r="N75" s="149">
        <f t="shared" si="17"/>
        <v>1407388.9083414178</v>
      </c>
      <c r="O75" s="149">
        <f>IF(OR($B76="",ROUNDUP(($A75+1)/Inputs!$B$14,0)&gt;$B75),SUMIF($B$4:$B75,$B75,I$4:I75),0)</f>
        <v>0</v>
      </c>
      <c r="P75" s="149">
        <f>IF(OR($B76="",ROUNDUP(($A75+1)/Inputs!$B$14,0)&gt;$B75),SUMIF($B$4:$B75,$B75,J$4:J75),0)</f>
        <v>0</v>
      </c>
      <c r="Q75" s="149">
        <f>IF(OR($B76="",ROUNDUP(($A75+1)/Inputs!$B$14,0)&gt;$B75),SUMIF($B$4:$B75,$B75,K$4:K75),0)</f>
        <v>0</v>
      </c>
      <c r="R75" s="163" t="str">
        <f t="shared" si="18"/>
        <v>Vigente al día</v>
      </c>
      <c r="S75" s="18"/>
      <c r="T75" s="18"/>
      <c r="U75" s="18"/>
      <c r="V75" s="18"/>
      <c r="W75" s="18"/>
      <c r="X75" s="18"/>
      <c r="Y75" s="18"/>
      <c r="Z75" s="18"/>
    </row>
    <row r="76" spans="1:26" ht="18" customHeight="1">
      <c r="A76" s="157">
        <v>73</v>
      </c>
      <c r="B76" s="77">
        <f>ROUNDUP(A76/Inputs!$B$14,0)</f>
        <v>17</v>
      </c>
      <c r="C76" s="160" t="str">
        <f>IF(A76=Inputs!$C$39,"Cambio de tasa",IF(A76=Inputs!$B$15,"Pago final","Pago normal"))</f>
        <v>Pago normal</v>
      </c>
      <c r="D76" s="149">
        <f t="shared" si="13"/>
        <v>1407388.9083414178</v>
      </c>
      <c r="E76" s="150">
        <f>IF(A76&lt;Inputs!$C$39,Inputs!$B$17,Inputs!$C$38)</f>
        <v>1.1367716673677863E-2</v>
      </c>
      <c r="F76" s="149">
        <f t="shared" si="14"/>
        <v>15998.798359702021</v>
      </c>
      <c r="G76" s="149">
        <f>IF(A76&lt;Inputs!$C$39,Inputs!$B$20,IF(A76=Inputs!$C$39,PMT(E76,Inputs!$B$15-A76+1,-D76),G75))</f>
        <v>109308.38403873703</v>
      </c>
      <c r="H76" s="149">
        <f t="shared" si="15"/>
        <v>93309.585679035008</v>
      </c>
      <c r="I76" s="149">
        <f>Inputs!$B$28</f>
        <v>48643.172307692315</v>
      </c>
      <c r="J76" s="149">
        <f>Inputs!$B$29</f>
        <v>10984.615384615387</v>
      </c>
      <c r="K76" s="149">
        <f>Inputs!$B$30</f>
        <v>3406.3846153846157</v>
      </c>
      <c r="L76" s="149">
        <f t="shared" si="19"/>
        <v>63034.172307692315</v>
      </c>
      <c r="M76" s="149">
        <f t="shared" si="16"/>
        <v>172342.55634642934</v>
      </c>
      <c r="N76" s="149">
        <f t="shared" si="17"/>
        <v>1314079.3226623829</v>
      </c>
      <c r="O76" s="149">
        <f>IF(OR($B77="",ROUNDUP(($A76+1)/Inputs!$B$14,0)&gt;$B76),SUMIF($B$4:$B76,$B76,I$4:I76),0)</f>
        <v>194572.68923076926</v>
      </c>
      <c r="P76" s="149">
        <f>IF(OR($B77="",ROUNDUP(($A76+1)/Inputs!$B$14,0)&gt;$B76),SUMIF($B$4:$B76,$B76,J$4:J76),0)</f>
        <v>43938.461538461546</v>
      </c>
      <c r="Q76" s="149">
        <f>IF(OR($B77="",ROUNDUP(($A76+1)/Inputs!$B$14,0)&gt;$B76),SUMIF($B$4:$B76,$B76,K$4:K76),0)</f>
        <v>13625.538461538463</v>
      </c>
      <c r="R76" s="163" t="str">
        <f t="shared" si="18"/>
        <v>Vigente al día</v>
      </c>
      <c r="S76" s="18"/>
      <c r="T76" s="18"/>
      <c r="U76" s="18"/>
      <c r="V76" s="18"/>
      <c r="W76" s="18"/>
      <c r="X76" s="18"/>
      <c r="Y76" s="18"/>
      <c r="Z76" s="18"/>
    </row>
    <row r="77" spans="1:26" ht="18" customHeight="1">
      <c r="A77" s="157">
        <v>74</v>
      </c>
      <c r="B77" s="77">
        <f>ROUNDUP(A77/Inputs!$B$14,0)</f>
        <v>18</v>
      </c>
      <c r="C77" s="160" t="str">
        <f>IF(A77=Inputs!$C$39,"Cambio de tasa",IF(A77=Inputs!$B$15,"Pago final","Pago normal"))</f>
        <v>Pago normal</v>
      </c>
      <c r="D77" s="149">
        <f t="shared" si="13"/>
        <v>1314079.3226623829</v>
      </c>
      <c r="E77" s="150">
        <f>IF(A77&lt;Inputs!$C$39,Inputs!$B$17,Inputs!$C$38)</f>
        <v>1.1367716673677863E-2</v>
      </c>
      <c r="F77" s="149">
        <f t="shared" si="14"/>
        <v>14938.081426764482</v>
      </c>
      <c r="G77" s="149">
        <f>IF(A77&lt;Inputs!$C$39,Inputs!$B$20,IF(A77=Inputs!$C$39,PMT(E77,Inputs!$B$15-A77+1,-D77),G76))</f>
        <v>109308.38403873703</v>
      </c>
      <c r="H77" s="149">
        <f t="shared" si="15"/>
        <v>94370.302611972555</v>
      </c>
      <c r="I77" s="149">
        <f>Inputs!$B$28</f>
        <v>48643.172307692315</v>
      </c>
      <c r="J77" s="149">
        <f>Inputs!$B$29</f>
        <v>10984.615384615387</v>
      </c>
      <c r="K77" s="149">
        <f>Inputs!$B$30</f>
        <v>3406.3846153846157</v>
      </c>
      <c r="L77" s="149">
        <f t="shared" si="19"/>
        <v>63034.172307692315</v>
      </c>
      <c r="M77" s="149">
        <f t="shared" si="16"/>
        <v>172342.55634642934</v>
      </c>
      <c r="N77" s="149">
        <f t="shared" si="17"/>
        <v>1219709.0200504102</v>
      </c>
      <c r="O77" s="149">
        <f>IF(OR($B78="",ROUNDUP(($A77+1)/Inputs!$B$14,0)&gt;$B77),SUMIF($B$4:$B77,$B77,I$4:I77),0)</f>
        <v>0</v>
      </c>
      <c r="P77" s="149">
        <f>IF(OR($B78="",ROUNDUP(($A77+1)/Inputs!$B$14,0)&gt;$B77),SUMIF($B$4:$B77,$B77,J$4:J77),0)</f>
        <v>0</v>
      </c>
      <c r="Q77" s="149">
        <f>IF(OR($B78="",ROUNDUP(($A77+1)/Inputs!$B$14,0)&gt;$B77),SUMIF($B$4:$B77,$B77,K$4:K77),0)</f>
        <v>0</v>
      </c>
      <c r="R77" s="163" t="str">
        <f t="shared" si="18"/>
        <v>Vigente al día</v>
      </c>
      <c r="S77" s="18"/>
      <c r="T77" s="18"/>
      <c r="U77" s="18"/>
      <c r="V77" s="18"/>
      <c r="W77" s="18"/>
      <c r="X77" s="18"/>
      <c r="Y77" s="18"/>
      <c r="Z77" s="18"/>
    </row>
    <row r="78" spans="1:26" ht="18" customHeight="1">
      <c r="A78" s="157">
        <v>75</v>
      </c>
      <c r="B78" s="77">
        <f>ROUNDUP(A78/Inputs!$B$14,0)</f>
        <v>18</v>
      </c>
      <c r="C78" s="160" t="str">
        <f>IF(A78=Inputs!$C$39,"Cambio de tasa",IF(A78=Inputs!$B$15,"Pago final","Pago normal"))</f>
        <v>Pago normal</v>
      </c>
      <c r="D78" s="149">
        <f t="shared" si="13"/>
        <v>1219709.0200504102</v>
      </c>
      <c r="E78" s="150">
        <f>IF(A78&lt;Inputs!$C$39,Inputs!$B$17,Inputs!$C$38)</f>
        <v>1.1367716673677863E-2</v>
      </c>
      <c r="F78" s="149">
        <f t="shared" si="14"/>
        <v>13865.306564262335</v>
      </c>
      <c r="G78" s="149">
        <f>IF(A78&lt;Inputs!$C$39,Inputs!$B$20,IF(A78=Inputs!$C$39,PMT(E78,Inputs!$B$15-A78+1,-D78),G77))</f>
        <v>109308.38403873703</v>
      </c>
      <c r="H78" s="149">
        <f t="shared" si="15"/>
        <v>95443.077474474689</v>
      </c>
      <c r="I78" s="149">
        <f>Inputs!$B$28</f>
        <v>48643.172307692315</v>
      </c>
      <c r="J78" s="149">
        <f>Inputs!$B$29</f>
        <v>10984.615384615387</v>
      </c>
      <c r="K78" s="149">
        <f>Inputs!$B$30</f>
        <v>3406.3846153846157</v>
      </c>
      <c r="L78" s="149">
        <f t="shared" si="19"/>
        <v>63034.172307692315</v>
      </c>
      <c r="M78" s="149">
        <f t="shared" si="16"/>
        <v>172342.55634642934</v>
      </c>
      <c r="N78" s="149">
        <f t="shared" si="17"/>
        <v>1124265.9425759355</v>
      </c>
      <c r="O78" s="149">
        <f>IF(OR($B79="",ROUNDUP(($A78+1)/Inputs!$B$14,0)&gt;$B78),SUMIF($B$4:$B78,$B78,I$4:I78),0)</f>
        <v>0</v>
      </c>
      <c r="P78" s="149">
        <f>IF(OR($B79="",ROUNDUP(($A78+1)/Inputs!$B$14,0)&gt;$B78),SUMIF($B$4:$B78,$B78,J$4:J78),0)</f>
        <v>0</v>
      </c>
      <c r="Q78" s="149">
        <f>IF(OR($B79="",ROUNDUP(($A78+1)/Inputs!$B$14,0)&gt;$B78),SUMIF($B$4:$B78,$B78,K$4:K78),0)</f>
        <v>0</v>
      </c>
      <c r="R78" s="163" t="str">
        <f t="shared" si="18"/>
        <v>Vigente al día</v>
      </c>
      <c r="S78" s="18"/>
      <c r="T78" s="18"/>
      <c r="U78" s="18"/>
      <c r="V78" s="18"/>
      <c r="W78" s="18"/>
      <c r="X78" s="18"/>
      <c r="Y78" s="18"/>
      <c r="Z78" s="18"/>
    </row>
    <row r="79" spans="1:26" ht="18" customHeight="1">
      <c r="A79" s="157">
        <v>76</v>
      </c>
      <c r="B79" s="77">
        <f>ROUNDUP(A79/Inputs!$B$14,0)</f>
        <v>18</v>
      </c>
      <c r="C79" s="160" t="str">
        <f>IF(A79=Inputs!$C$39,"Cambio de tasa",IF(A79=Inputs!$B$15,"Pago final","Pago normal"))</f>
        <v>Pago normal</v>
      </c>
      <c r="D79" s="149">
        <f t="shared" si="13"/>
        <v>1124265.9425759355</v>
      </c>
      <c r="E79" s="150">
        <f>IF(A79&lt;Inputs!$C$39,Inputs!$B$17,Inputs!$C$38)</f>
        <v>1.1367716673677863E-2</v>
      </c>
      <c r="F79" s="149">
        <f t="shared" si="14"/>
        <v>12780.336701068622</v>
      </c>
      <c r="G79" s="149">
        <f>IF(A79&lt;Inputs!$C$39,Inputs!$B$20,IF(A79=Inputs!$C$39,PMT(E79,Inputs!$B$15-A79+1,-D79),G78))</f>
        <v>109308.38403873703</v>
      </c>
      <c r="H79" s="149">
        <f t="shared" si="15"/>
        <v>96528.047337668409</v>
      </c>
      <c r="I79" s="149">
        <f>Inputs!$B$28</f>
        <v>48643.172307692315</v>
      </c>
      <c r="J79" s="149">
        <f>Inputs!$B$29</f>
        <v>10984.615384615387</v>
      </c>
      <c r="K79" s="149">
        <f>Inputs!$B$30</f>
        <v>3406.3846153846157</v>
      </c>
      <c r="L79" s="149">
        <f t="shared" si="19"/>
        <v>63034.172307692315</v>
      </c>
      <c r="M79" s="149">
        <f t="shared" si="16"/>
        <v>172342.55634642934</v>
      </c>
      <c r="N79" s="149">
        <f t="shared" si="17"/>
        <v>1027737.8952382671</v>
      </c>
      <c r="O79" s="149">
        <f>IF(OR($B80="",ROUNDUP(($A79+1)/Inputs!$B$14,0)&gt;$B79),SUMIF($B$4:$B79,$B79,I$4:I79),0)</f>
        <v>0</v>
      </c>
      <c r="P79" s="149">
        <f>IF(OR($B80="",ROUNDUP(($A79+1)/Inputs!$B$14,0)&gt;$B79),SUMIF($B$4:$B79,$B79,J$4:J79),0)</f>
        <v>0</v>
      </c>
      <c r="Q79" s="149">
        <f>IF(OR($B80="",ROUNDUP(($A79+1)/Inputs!$B$14,0)&gt;$B79),SUMIF($B$4:$B79,$B79,K$4:K79),0)</f>
        <v>0</v>
      </c>
      <c r="R79" s="163" t="str">
        <f t="shared" si="18"/>
        <v>Vigente al día</v>
      </c>
      <c r="S79" s="18"/>
      <c r="T79" s="18"/>
      <c r="U79" s="18"/>
      <c r="V79" s="18"/>
      <c r="W79" s="18"/>
      <c r="X79" s="18"/>
      <c r="Y79" s="18"/>
      <c r="Z79" s="18"/>
    </row>
    <row r="80" spans="1:26" ht="18" customHeight="1">
      <c r="A80" s="157">
        <v>77</v>
      </c>
      <c r="B80" s="77">
        <f>ROUNDUP(A80/Inputs!$B$14,0)</f>
        <v>18</v>
      </c>
      <c r="C80" s="160" t="str">
        <f>IF(A80=Inputs!$C$39,"Cambio de tasa",IF(A80=Inputs!$B$15,"Pago final","Pago normal"))</f>
        <v>Pago normal</v>
      </c>
      <c r="D80" s="149">
        <f t="shared" si="13"/>
        <v>1027737.8952382671</v>
      </c>
      <c r="E80" s="150">
        <f>IF(A80&lt;Inputs!$C$39,Inputs!$B$17,Inputs!$C$38)</f>
        <v>1.1367716673677863E-2</v>
      </c>
      <c r="F80" s="149">
        <f t="shared" si="14"/>
        <v>11683.033207870643</v>
      </c>
      <c r="G80" s="149">
        <f>IF(A80&lt;Inputs!$C$39,Inputs!$B$20,IF(A80=Inputs!$C$39,PMT(E80,Inputs!$B$15-A80+1,-D80),G79))</f>
        <v>109308.38403873703</v>
      </c>
      <c r="H80" s="149">
        <f t="shared" si="15"/>
        <v>97625.350830866388</v>
      </c>
      <c r="I80" s="149">
        <f>Inputs!$B$28</f>
        <v>48643.172307692315</v>
      </c>
      <c r="J80" s="149">
        <f>Inputs!$B$29</f>
        <v>10984.615384615387</v>
      </c>
      <c r="K80" s="149">
        <f>Inputs!$B$30</f>
        <v>3406.3846153846157</v>
      </c>
      <c r="L80" s="149">
        <f t="shared" si="19"/>
        <v>63034.172307692315</v>
      </c>
      <c r="M80" s="149">
        <f t="shared" si="16"/>
        <v>172342.55634642934</v>
      </c>
      <c r="N80" s="149">
        <f t="shared" si="17"/>
        <v>930112.54440740077</v>
      </c>
      <c r="O80" s="149">
        <f>IF(OR($B81="",ROUNDUP(($A80+1)/Inputs!$B$14,0)&gt;$B80),SUMIF($B$4:$B80,$B80,I$4:I80),0)</f>
        <v>0</v>
      </c>
      <c r="P80" s="149">
        <f>IF(OR($B81="",ROUNDUP(($A80+1)/Inputs!$B$14,0)&gt;$B80),SUMIF($B$4:$B80,$B80,J$4:J80),0)</f>
        <v>0</v>
      </c>
      <c r="Q80" s="149">
        <f>IF(OR($B81="",ROUNDUP(($A80+1)/Inputs!$B$14,0)&gt;$B80),SUMIF($B$4:$B80,$B80,K$4:K80),0)</f>
        <v>0</v>
      </c>
      <c r="R80" s="163" t="str">
        <f t="shared" si="18"/>
        <v>Vigente al día</v>
      </c>
      <c r="S80" s="18"/>
      <c r="T80" s="18"/>
      <c r="U80" s="18"/>
      <c r="V80" s="18"/>
      <c r="W80" s="18"/>
      <c r="X80" s="18"/>
      <c r="Y80" s="18"/>
      <c r="Z80" s="18"/>
    </row>
    <row r="81" spans="1:26" ht="18" customHeight="1">
      <c r="A81" s="157">
        <v>78</v>
      </c>
      <c r="B81" s="77">
        <f>ROUNDUP(A81/Inputs!$B$14,0)</f>
        <v>18</v>
      </c>
      <c r="C81" s="160" t="str">
        <f>IF(A81=Inputs!$C$39,"Cambio de tasa",IF(A81=Inputs!$B$15,"Pago final","Pago normal"))</f>
        <v>Pago normal</v>
      </c>
      <c r="D81" s="149">
        <f t="shared" si="13"/>
        <v>930112.54440740077</v>
      </c>
      <c r="E81" s="150">
        <f>IF(A81&lt;Inputs!$C$39,Inputs!$B$17,Inputs!$C$38)</f>
        <v>1.1367716673677863E-2</v>
      </c>
      <c r="F81" s="149">
        <f t="shared" si="14"/>
        <v>10573.255879456952</v>
      </c>
      <c r="G81" s="149">
        <f>IF(A81&lt;Inputs!$C$39,Inputs!$B$20,IF(A81=Inputs!$C$39,PMT(E81,Inputs!$B$15-A81+1,-D81),G80))</f>
        <v>109308.38403873703</v>
      </c>
      <c r="H81" s="149">
        <f t="shared" si="15"/>
        <v>98735.128159280081</v>
      </c>
      <c r="I81" s="149">
        <f>Inputs!$B$28</f>
        <v>48643.172307692315</v>
      </c>
      <c r="J81" s="149">
        <f>Inputs!$B$29</f>
        <v>10984.615384615387</v>
      </c>
      <c r="K81" s="149">
        <f>Inputs!$B$30</f>
        <v>3406.3846153846157</v>
      </c>
      <c r="L81" s="149">
        <f t="shared" si="19"/>
        <v>63034.172307692315</v>
      </c>
      <c r="M81" s="149">
        <f t="shared" si="16"/>
        <v>172342.55634642934</v>
      </c>
      <c r="N81" s="149">
        <f t="shared" si="17"/>
        <v>831377.41624812072</v>
      </c>
      <c r="O81" s="149">
        <f>IF(OR($B82="",ROUNDUP(($A81+1)/Inputs!$B$14,0)&gt;$B81),SUMIF($B$4:$B81,$B81,I$4:I81),0)</f>
        <v>243215.86153846158</v>
      </c>
      <c r="P81" s="149">
        <f>IF(OR($B82="",ROUNDUP(($A81+1)/Inputs!$B$14,0)&gt;$B81),SUMIF($B$4:$B81,$B81,J$4:J81),0)</f>
        <v>54923.076923076937</v>
      </c>
      <c r="Q81" s="149">
        <f>IF(OR($B82="",ROUNDUP(($A81+1)/Inputs!$B$14,0)&gt;$B81),SUMIF($B$4:$B81,$B81,K$4:K81),0)</f>
        <v>17031.923076923078</v>
      </c>
      <c r="R81" s="163" t="str">
        <f t="shared" si="18"/>
        <v>Vigente al día</v>
      </c>
      <c r="S81" s="18"/>
      <c r="T81" s="18"/>
      <c r="U81" s="18"/>
      <c r="V81" s="18"/>
      <c r="W81" s="18"/>
      <c r="X81" s="18"/>
      <c r="Y81" s="18"/>
      <c r="Z81" s="18"/>
    </row>
    <row r="82" spans="1:26" ht="18" customHeight="1">
      <c r="A82" s="157">
        <v>79</v>
      </c>
      <c r="B82" s="77">
        <f>ROUNDUP(A82/Inputs!$B$14,0)</f>
        <v>19</v>
      </c>
      <c r="C82" s="160" t="str">
        <f>IF(A82=Inputs!$C$39,"Cambio de tasa",IF(A82=Inputs!$B$15,"Pago final","Pago normal"))</f>
        <v>Pago normal</v>
      </c>
      <c r="D82" s="149">
        <f t="shared" si="13"/>
        <v>831377.41624812072</v>
      </c>
      <c r="E82" s="150">
        <f>IF(A82&lt;Inputs!$C$39,Inputs!$B$17,Inputs!$C$38)</f>
        <v>1.1367716673677863E-2</v>
      </c>
      <c r="F82" s="149">
        <f t="shared" si="14"/>
        <v>9450.8629168029838</v>
      </c>
      <c r="G82" s="149">
        <f>IF(A82&lt;Inputs!$C$39,Inputs!$B$20,IF(A82=Inputs!$C$39,PMT(E82,Inputs!$B$15-A82+1,-D82),G81))</f>
        <v>109308.38403873703</v>
      </c>
      <c r="H82" s="149">
        <f t="shared" si="15"/>
        <v>99857.521121934042</v>
      </c>
      <c r="I82" s="149">
        <f>Inputs!$B$28</f>
        <v>48643.172307692315</v>
      </c>
      <c r="J82" s="149">
        <f>Inputs!$B$29</f>
        <v>10984.615384615387</v>
      </c>
      <c r="K82" s="149">
        <f>Inputs!$B$30</f>
        <v>3406.3846153846157</v>
      </c>
      <c r="L82" s="149">
        <f t="shared" si="19"/>
        <v>63034.172307692315</v>
      </c>
      <c r="M82" s="149">
        <f t="shared" si="16"/>
        <v>172342.55634642934</v>
      </c>
      <c r="N82" s="149">
        <f t="shared" si="17"/>
        <v>731519.89512618666</v>
      </c>
      <c r="O82" s="149">
        <f>IF(OR($B83="",ROUNDUP(($A82+1)/Inputs!$B$14,0)&gt;$B82),SUMIF($B$4:$B82,$B82,I$4:I82),0)</f>
        <v>0</v>
      </c>
      <c r="P82" s="149">
        <f>IF(OR($B83="",ROUNDUP(($A82+1)/Inputs!$B$14,0)&gt;$B82),SUMIF($B$4:$B82,$B82,J$4:J82),0)</f>
        <v>0</v>
      </c>
      <c r="Q82" s="149">
        <f>IF(OR($B83="",ROUNDUP(($A82+1)/Inputs!$B$14,0)&gt;$B82),SUMIF($B$4:$B82,$B82,K$4:K82),0)</f>
        <v>0</v>
      </c>
      <c r="R82" s="163" t="str">
        <f t="shared" si="18"/>
        <v>Vigente al día</v>
      </c>
      <c r="S82" s="18"/>
      <c r="T82" s="18"/>
      <c r="U82" s="18"/>
      <c r="V82" s="18"/>
      <c r="W82" s="18"/>
      <c r="X82" s="18"/>
      <c r="Y82" s="18"/>
      <c r="Z82" s="18"/>
    </row>
    <row r="83" spans="1:26" ht="18" customHeight="1">
      <c r="A83" s="157">
        <v>80</v>
      </c>
      <c r="B83" s="77">
        <f>ROUNDUP(A83/Inputs!$B$14,0)</f>
        <v>19</v>
      </c>
      <c r="C83" s="160" t="str">
        <f>IF(A83=Inputs!$C$39,"Cambio de tasa",IF(A83=Inputs!$B$15,"Pago final","Pago normal"))</f>
        <v>Pago normal</v>
      </c>
      <c r="D83" s="149">
        <f t="shared" si="13"/>
        <v>731519.89512618666</v>
      </c>
      <c r="E83" s="150">
        <f>IF(A83&lt;Inputs!$C$39,Inputs!$B$17,Inputs!$C$38)</f>
        <v>1.1367716673677863E-2</v>
      </c>
      <c r="F83" s="149">
        <f t="shared" si="14"/>
        <v>8315.710908953035</v>
      </c>
      <c r="G83" s="149">
        <f>IF(A83&lt;Inputs!$C$39,Inputs!$B$20,IF(A83=Inputs!$C$39,PMT(E83,Inputs!$B$15-A83+1,-D83),G82))</f>
        <v>109308.38403873703</v>
      </c>
      <c r="H83" s="149">
        <f t="shared" si="15"/>
        <v>100992.673129784</v>
      </c>
      <c r="I83" s="149">
        <f>Inputs!$B$28</f>
        <v>48643.172307692315</v>
      </c>
      <c r="J83" s="149">
        <f>Inputs!$B$29</f>
        <v>10984.615384615387</v>
      </c>
      <c r="K83" s="149">
        <f>Inputs!$B$30</f>
        <v>3406.3846153846157</v>
      </c>
      <c r="L83" s="149">
        <f t="shared" si="19"/>
        <v>63034.172307692315</v>
      </c>
      <c r="M83" s="149">
        <f t="shared" si="16"/>
        <v>172342.55634642934</v>
      </c>
      <c r="N83" s="149">
        <f t="shared" si="17"/>
        <v>630527.2219964026</v>
      </c>
      <c r="O83" s="149">
        <f>IF(OR($B84="",ROUNDUP(($A83+1)/Inputs!$B$14,0)&gt;$B83),SUMIF($B$4:$B83,$B83,I$4:I83),0)</f>
        <v>0</v>
      </c>
      <c r="P83" s="149">
        <f>IF(OR($B84="",ROUNDUP(($A83+1)/Inputs!$B$14,0)&gt;$B83),SUMIF($B$4:$B83,$B83,J$4:J83),0)</f>
        <v>0</v>
      </c>
      <c r="Q83" s="149">
        <f>IF(OR($B84="",ROUNDUP(($A83+1)/Inputs!$B$14,0)&gt;$B83),SUMIF($B$4:$B83,$B83,K$4:K83),0)</f>
        <v>0</v>
      </c>
      <c r="R83" s="163" t="str">
        <f t="shared" si="18"/>
        <v>Vigente al día</v>
      </c>
      <c r="S83" s="18"/>
      <c r="T83" s="18"/>
      <c r="U83" s="18"/>
      <c r="V83" s="18"/>
      <c r="W83" s="18"/>
      <c r="X83" s="18"/>
      <c r="Y83" s="18"/>
      <c r="Z83" s="18"/>
    </row>
    <row r="84" spans="1:26" ht="18" customHeight="1">
      <c r="A84" s="157">
        <v>81</v>
      </c>
      <c r="B84" s="77">
        <f>ROUNDUP(A84/Inputs!$B$14,0)</f>
        <v>19</v>
      </c>
      <c r="C84" s="160" t="str">
        <f>IF(A84=Inputs!$C$39,"Cambio de tasa",IF(A84=Inputs!$B$15,"Pago final","Pago normal"))</f>
        <v>Pago normal</v>
      </c>
      <c r="D84" s="149">
        <f t="shared" si="13"/>
        <v>630527.2219964026</v>
      </c>
      <c r="E84" s="150">
        <f>IF(A84&lt;Inputs!$C$39,Inputs!$B$17,Inputs!$C$38)</f>
        <v>1.1367716673677863E-2</v>
      </c>
      <c r="F84" s="149">
        <f t="shared" si="14"/>
        <v>7167.6548146962896</v>
      </c>
      <c r="G84" s="149">
        <f>IF(A84&lt;Inputs!$C$39,Inputs!$B$20,IF(A84=Inputs!$C$39,PMT(E84,Inputs!$B$15-A84+1,-D84),G83))</f>
        <v>109308.38403873703</v>
      </c>
      <c r="H84" s="149">
        <f t="shared" si="15"/>
        <v>102140.72922404074</v>
      </c>
      <c r="I84" s="149">
        <f>Inputs!$B$28</f>
        <v>48643.172307692315</v>
      </c>
      <c r="J84" s="149">
        <f>Inputs!$B$29</f>
        <v>10984.615384615387</v>
      </c>
      <c r="K84" s="149">
        <f>Inputs!$B$30</f>
        <v>3406.3846153846157</v>
      </c>
      <c r="L84" s="149">
        <f t="shared" si="19"/>
        <v>63034.172307692315</v>
      </c>
      <c r="M84" s="149">
        <f t="shared" si="16"/>
        <v>172342.55634642934</v>
      </c>
      <c r="N84" s="149">
        <f t="shared" si="17"/>
        <v>528386.49277236185</v>
      </c>
      <c r="O84" s="149">
        <f>IF(OR($B85="",ROUNDUP(($A84+1)/Inputs!$B$14,0)&gt;$B84),SUMIF($B$4:$B84,$B84,I$4:I84),0)</f>
        <v>0</v>
      </c>
      <c r="P84" s="149">
        <f>IF(OR($B85="",ROUNDUP(($A84+1)/Inputs!$B$14,0)&gt;$B84),SUMIF($B$4:$B84,$B84,J$4:J84),0)</f>
        <v>0</v>
      </c>
      <c r="Q84" s="149">
        <f>IF(OR($B85="",ROUNDUP(($A84+1)/Inputs!$B$14,0)&gt;$B84),SUMIF($B$4:$B84,$B84,K$4:K84),0)</f>
        <v>0</v>
      </c>
      <c r="R84" s="163" t="str">
        <f t="shared" si="18"/>
        <v>Vigente al día</v>
      </c>
      <c r="S84" s="18"/>
      <c r="T84" s="18"/>
      <c r="U84" s="18"/>
      <c r="V84" s="18"/>
      <c r="W84" s="18"/>
      <c r="X84" s="18"/>
      <c r="Y84" s="18"/>
      <c r="Z84" s="18"/>
    </row>
    <row r="85" spans="1:26" ht="18" customHeight="1">
      <c r="A85" s="157">
        <v>82</v>
      </c>
      <c r="B85" s="77">
        <f>ROUNDUP(A85/Inputs!$B$14,0)</f>
        <v>19</v>
      </c>
      <c r="C85" s="160" t="str">
        <f>IF(A85=Inputs!$C$39,"Cambio de tasa",IF(A85=Inputs!$B$15,"Pago final","Pago normal"))</f>
        <v>Pago normal</v>
      </c>
      <c r="D85" s="149">
        <f t="shared" si="13"/>
        <v>528386.49277236185</v>
      </c>
      <c r="E85" s="150">
        <f>IF(A85&lt;Inputs!$C$39,Inputs!$B$17,Inputs!$C$38)</f>
        <v>1.1367716673677863E-2</v>
      </c>
      <c r="F85" s="149">
        <f t="shared" si="14"/>
        <v>6006.5479440345453</v>
      </c>
      <c r="G85" s="149">
        <f>IF(A85&lt;Inputs!$C$39,Inputs!$B$20,IF(A85=Inputs!$C$39,PMT(E85,Inputs!$B$15-A85+1,-D85),G84))</f>
        <v>109308.38403873703</v>
      </c>
      <c r="H85" s="149">
        <f t="shared" si="15"/>
        <v>103301.83609470248</v>
      </c>
      <c r="I85" s="149">
        <f>Inputs!$B$28</f>
        <v>48643.172307692315</v>
      </c>
      <c r="J85" s="149">
        <f>Inputs!$B$29</f>
        <v>10984.615384615387</v>
      </c>
      <c r="K85" s="149">
        <f>Inputs!$B$30</f>
        <v>3406.3846153846157</v>
      </c>
      <c r="L85" s="149">
        <f t="shared" si="19"/>
        <v>63034.172307692315</v>
      </c>
      <c r="M85" s="149">
        <f t="shared" si="16"/>
        <v>172342.55634642934</v>
      </c>
      <c r="N85" s="149">
        <f t="shared" si="17"/>
        <v>425084.65667765937</v>
      </c>
      <c r="O85" s="149">
        <f>IF(OR($B86="",ROUNDUP(($A85+1)/Inputs!$B$14,0)&gt;$B85),SUMIF($B$4:$B85,$B85,I$4:I85),0)</f>
        <v>194572.68923076926</v>
      </c>
      <c r="P85" s="149">
        <f>IF(OR($B86="",ROUNDUP(($A85+1)/Inputs!$B$14,0)&gt;$B85),SUMIF($B$4:$B85,$B85,J$4:J85),0)</f>
        <v>43938.461538461546</v>
      </c>
      <c r="Q85" s="149">
        <f>IF(OR($B86="",ROUNDUP(($A85+1)/Inputs!$B$14,0)&gt;$B85),SUMIF($B$4:$B85,$B85,K$4:K85),0)</f>
        <v>13625.538461538463</v>
      </c>
      <c r="R85" s="163" t="str">
        <f t="shared" si="18"/>
        <v>Vigente al día</v>
      </c>
      <c r="S85" s="18"/>
      <c r="T85" s="18"/>
      <c r="U85" s="18"/>
      <c r="V85" s="18"/>
      <c r="W85" s="18"/>
      <c r="X85" s="18"/>
      <c r="Y85" s="18"/>
      <c r="Z85" s="18"/>
    </row>
    <row r="86" spans="1:26" ht="18" customHeight="1">
      <c r="A86" s="157">
        <v>83</v>
      </c>
      <c r="B86" s="77">
        <f>ROUNDUP(A86/Inputs!$B$14,0)</f>
        <v>20</v>
      </c>
      <c r="C86" s="160" t="str">
        <f>IF(A86=Inputs!$C$39,"Cambio de tasa",IF(A86=Inputs!$B$15,"Pago final","Pago normal"))</f>
        <v>Pago normal</v>
      </c>
      <c r="D86" s="149">
        <f t="shared" si="13"/>
        <v>425084.65667765937</v>
      </c>
      <c r="E86" s="150">
        <f>IF(A86&lt;Inputs!$C$39,Inputs!$B$17,Inputs!$C$38)</f>
        <v>1.1367716673677863E-2</v>
      </c>
      <c r="F86" s="149">
        <f t="shared" si="14"/>
        <v>4832.2419394392582</v>
      </c>
      <c r="G86" s="149">
        <f>IF(A86&lt;Inputs!$C$39,Inputs!$B$20,IF(A86=Inputs!$C$39,PMT(E86,Inputs!$B$15-A86+1,-D86),G85))</f>
        <v>109308.38403873703</v>
      </c>
      <c r="H86" s="149">
        <f t="shared" si="15"/>
        <v>104476.14209929777</v>
      </c>
      <c r="I86" s="149">
        <f>Inputs!$B$28</f>
        <v>48643.172307692315</v>
      </c>
      <c r="J86" s="149">
        <f>Inputs!$B$29</f>
        <v>10984.615384615387</v>
      </c>
      <c r="K86" s="149">
        <f>Inputs!$B$30</f>
        <v>3406.3846153846157</v>
      </c>
      <c r="L86" s="149">
        <f t="shared" si="19"/>
        <v>63034.172307692315</v>
      </c>
      <c r="M86" s="149">
        <f t="shared" si="16"/>
        <v>172342.55634642934</v>
      </c>
      <c r="N86" s="149">
        <f t="shared" si="17"/>
        <v>320608.51457836159</v>
      </c>
      <c r="O86" s="149">
        <f>IF(OR($B87="",ROUNDUP(($A86+1)/Inputs!$B$14,0)&gt;$B86),SUMIF($B$4:$B86,$B86,I$4:I86),0)</f>
        <v>0</v>
      </c>
      <c r="P86" s="149">
        <f>IF(OR($B87="",ROUNDUP(($A86+1)/Inputs!$B$14,0)&gt;$B86),SUMIF($B$4:$B86,$B86,J$4:J86),0)</f>
        <v>0</v>
      </c>
      <c r="Q86" s="149">
        <f>IF(OR($B87="",ROUNDUP(($A86+1)/Inputs!$B$14,0)&gt;$B86),SUMIF($B$4:$B86,$B86,K$4:K86),0)</f>
        <v>0</v>
      </c>
      <c r="R86" s="163" t="str">
        <f t="shared" si="18"/>
        <v>Vigente al día</v>
      </c>
      <c r="S86" s="18"/>
      <c r="T86" s="18"/>
      <c r="U86" s="18"/>
      <c r="V86" s="18"/>
      <c r="W86" s="18"/>
      <c r="X86" s="18"/>
      <c r="Y86" s="18"/>
      <c r="Z86" s="18"/>
    </row>
    <row r="87" spans="1:26" ht="18" customHeight="1">
      <c r="A87" s="157">
        <v>84</v>
      </c>
      <c r="B87" s="77">
        <f>ROUNDUP(A87/Inputs!$B$14,0)</f>
        <v>20</v>
      </c>
      <c r="C87" s="160" t="str">
        <f>IF(A87=Inputs!$C$39,"Cambio de tasa",IF(A87=Inputs!$B$15,"Pago final","Pago normal"))</f>
        <v>Pago normal</v>
      </c>
      <c r="D87" s="149">
        <f t="shared" si="13"/>
        <v>320608.51457836159</v>
      </c>
      <c r="E87" s="150">
        <f>IF(A87&lt;Inputs!$C$39,Inputs!$B$17,Inputs!$C$38)</f>
        <v>1.1367716673677863E-2</v>
      </c>
      <c r="F87" s="149">
        <f t="shared" si="14"/>
        <v>3644.5867568955332</v>
      </c>
      <c r="G87" s="149">
        <f>IF(A87&lt;Inputs!$C$39,Inputs!$B$20,IF(A87=Inputs!$C$39,PMT(E87,Inputs!$B$15-A87+1,-D87),G86))</f>
        <v>109308.38403873703</v>
      </c>
      <c r="H87" s="149">
        <f t="shared" si="15"/>
        <v>105663.7972818415</v>
      </c>
      <c r="I87" s="149">
        <f>Inputs!$B$28</f>
        <v>48643.172307692315</v>
      </c>
      <c r="J87" s="149">
        <f>Inputs!$B$29</f>
        <v>10984.615384615387</v>
      </c>
      <c r="K87" s="149">
        <f>Inputs!$B$30</f>
        <v>3406.3846153846157</v>
      </c>
      <c r="L87" s="149">
        <f t="shared" si="19"/>
        <v>63034.172307692315</v>
      </c>
      <c r="M87" s="149">
        <f t="shared" si="16"/>
        <v>172342.55634642934</v>
      </c>
      <c r="N87" s="149">
        <f t="shared" si="17"/>
        <v>214944.71729652007</v>
      </c>
      <c r="O87" s="149">
        <f>IF(OR($B88="",ROUNDUP(($A87+1)/Inputs!$B$14,0)&gt;$B87),SUMIF($B$4:$B87,$B87,I$4:I87),0)</f>
        <v>0</v>
      </c>
      <c r="P87" s="149">
        <f>IF(OR($B88="",ROUNDUP(($A87+1)/Inputs!$B$14,0)&gt;$B87),SUMIF($B$4:$B87,$B87,J$4:J87),0)</f>
        <v>0</v>
      </c>
      <c r="Q87" s="149">
        <f>IF(OR($B88="",ROUNDUP(($A87+1)/Inputs!$B$14,0)&gt;$B87),SUMIF($B$4:$B87,$B87,K$4:K87),0)</f>
        <v>0</v>
      </c>
      <c r="R87" s="163" t="str">
        <f t="shared" si="18"/>
        <v>Vigente al día</v>
      </c>
      <c r="S87" s="18"/>
      <c r="T87" s="18"/>
      <c r="U87" s="18"/>
      <c r="V87" s="18"/>
      <c r="W87" s="18"/>
      <c r="X87" s="18"/>
      <c r="Y87" s="18"/>
      <c r="Z87" s="18"/>
    </row>
    <row r="88" spans="1:26" ht="18" customHeight="1">
      <c r="A88" s="157">
        <v>85</v>
      </c>
      <c r="B88" s="77">
        <f>ROUNDUP(A88/Inputs!$B$14,0)</f>
        <v>20</v>
      </c>
      <c r="C88" s="160" t="str">
        <f>IF(A88=Inputs!$C$39,"Cambio de tasa",IF(A88=Inputs!$B$15,"Pago final","Pago normal"))</f>
        <v>Pago normal</v>
      </c>
      <c r="D88" s="149">
        <f t="shared" si="13"/>
        <v>214944.71729652007</v>
      </c>
      <c r="E88" s="150">
        <f>IF(A88&lt;Inputs!$C$39,Inputs!$B$17,Inputs!$C$38)</f>
        <v>1.1367716673677863E-2</v>
      </c>
      <c r="F88" s="149">
        <f t="shared" si="14"/>
        <v>2443.430646730626</v>
      </c>
      <c r="G88" s="149">
        <f>IF(A88&lt;Inputs!$C$39,Inputs!$B$20,IF(A88=Inputs!$C$39,PMT(E88,Inputs!$B$15-A88+1,-D88),G87))</f>
        <v>109308.38403873703</v>
      </c>
      <c r="H88" s="149">
        <f t="shared" si="15"/>
        <v>106864.9533920064</v>
      </c>
      <c r="I88" s="149">
        <f>Inputs!$B$28</f>
        <v>48643.172307692315</v>
      </c>
      <c r="J88" s="149">
        <f>Inputs!$B$29</f>
        <v>10984.615384615387</v>
      </c>
      <c r="K88" s="149">
        <f>Inputs!$B$30</f>
        <v>3406.3846153846157</v>
      </c>
      <c r="L88" s="149">
        <f t="shared" si="19"/>
        <v>63034.172307692315</v>
      </c>
      <c r="M88" s="149">
        <f t="shared" si="16"/>
        <v>172342.55634642934</v>
      </c>
      <c r="N88" s="149">
        <f t="shared" si="17"/>
        <v>108079.76390451367</v>
      </c>
      <c r="O88" s="149">
        <f>IF(OR($B89="",ROUNDUP(($A88+1)/Inputs!$B$14,0)&gt;$B88),SUMIF($B$4:$B88,$B88,I$4:I88),0)</f>
        <v>0</v>
      </c>
      <c r="P88" s="149">
        <f>IF(OR($B89="",ROUNDUP(($A88+1)/Inputs!$B$14,0)&gt;$B88),SUMIF($B$4:$B88,$B88,J$4:J88),0)</f>
        <v>0</v>
      </c>
      <c r="Q88" s="149">
        <f>IF(OR($B89="",ROUNDUP(($A88+1)/Inputs!$B$14,0)&gt;$B88),SUMIF($B$4:$B88,$B88,K$4:K88),0)</f>
        <v>0</v>
      </c>
      <c r="R88" s="163" t="str">
        <f t="shared" si="18"/>
        <v>Vigente al día</v>
      </c>
      <c r="S88" s="18"/>
      <c r="T88" s="18"/>
      <c r="U88" s="18"/>
      <c r="V88" s="18"/>
      <c r="W88" s="18"/>
      <c r="X88" s="18"/>
      <c r="Y88" s="18"/>
      <c r="Z88" s="18"/>
    </row>
    <row r="89" spans="1:26" ht="18" customHeight="1">
      <c r="A89" s="158">
        <v>86</v>
      </c>
      <c r="B89" s="78">
        <f>ROUNDUP(A89/Inputs!$B$14,0)</f>
        <v>20</v>
      </c>
      <c r="C89" s="161" t="str">
        <f>IF(A89=Inputs!$C$39,"Cambio de tasa",IF(A89=Inputs!$B$15,"Pago final","Pago normal"))</f>
        <v>Pago final</v>
      </c>
      <c r="D89" s="151">
        <f t="shared" si="13"/>
        <v>108079.76390451367</v>
      </c>
      <c r="E89" s="152">
        <f>IF(A89&lt;Inputs!$C$39,Inputs!$B$17,Inputs!$C$38)</f>
        <v>1.1367716673677863E-2</v>
      </c>
      <c r="F89" s="151">
        <f t="shared" si="14"/>
        <v>1228.620134224507</v>
      </c>
      <c r="G89" s="151">
        <f>IF(A89&lt;Inputs!$C$39,Inputs!$B$20,IF(A89=Inputs!$C$39,PMT(E89,Inputs!$B$15-A89+1,-D89),G88))</f>
        <v>109308.38403873703</v>
      </c>
      <c r="H89" s="151">
        <f t="shared" si="15"/>
        <v>108079.76390451253</v>
      </c>
      <c r="I89" s="151">
        <f>Inputs!$B$28</f>
        <v>48643.172307692315</v>
      </c>
      <c r="J89" s="151">
        <f>Inputs!$B$29</f>
        <v>10984.615384615387</v>
      </c>
      <c r="K89" s="151">
        <f>Inputs!$B$30</f>
        <v>3406.3846153846157</v>
      </c>
      <c r="L89" s="151">
        <f t="shared" si="19"/>
        <v>63034.172307692315</v>
      </c>
      <c r="M89" s="151">
        <f t="shared" si="16"/>
        <v>172342.55634642934</v>
      </c>
      <c r="N89" s="151">
        <f t="shared" si="17"/>
        <v>1.1496013030409813E-9</v>
      </c>
      <c r="O89" s="151">
        <f>IF(OR($B90="",ROUNDUP(($A89+1)/Inputs!$B$14,0)&gt;$B89),SUMIF($B$4:$B89,$B89,I$4:I89),0)</f>
        <v>194572.68923076926</v>
      </c>
      <c r="P89" s="151">
        <f>IF(OR($B90="",ROUNDUP(($A89+1)/Inputs!$B$14,0)&gt;$B89),SUMIF($B$4:$B89,$B89,J$4:J89),0)</f>
        <v>43938.461538461546</v>
      </c>
      <c r="Q89" s="151">
        <f>IF(OR($B90="",ROUNDUP(($A89+1)/Inputs!$B$14,0)&gt;$B89),SUMIF($B$4:$B89,$B89,K$4:K89),0)</f>
        <v>13625.538461538463</v>
      </c>
      <c r="R89" s="164" t="str">
        <f t="shared" si="18"/>
        <v>Amortizado</v>
      </c>
      <c r="S89" s="18"/>
      <c r="T89" s="18"/>
      <c r="U89" s="18"/>
      <c r="V89" s="18"/>
      <c r="W89" s="18"/>
      <c r="X89" s="18"/>
      <c r="Y89" s="18"/>
      <c r="Z89" s="18"/>
    </row>
    <row r="90" spans="1:26" ht="18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8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8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8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8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</sheetData>
  <conditionalFormatting sqref="A4:R89">
    <cfRule type="expression" dxfId="71" priority="1">
      <formula>AND($C4&lt;&gt;"",$C4&lt;&gt;"Pago normal")</formula>
    </cfRule>
    <cfRule type="expression" dxfId="70" priority="2">
      <formula>AND(ISNUMBER($A4),MOD($A4,2)=0)</formula>
    </cfRule>
  </conditionalFormatting>
  <conditionalFormatting sqref="R4:R89">
    <cfRule type="containsText" dxfId="69" priority="3" operator="containsText" text="mora">
      <formula>NOT(ISERROR(SEARCH("mora",R4)))</formula>
    </cfRule>
    <cfRule type="containsText" dxfId="68" priority="4" operator="containsText" text="Vigente">
      <formula>NOT(ISERROR(SEARCH("Vigente",R4)))</formula>
    </cfRule>
    <cfRule type="containsText" dxfId="67" priority="5" operator="containsText" text="Amortiz">
      <formula>NOT(ISERROR(SEARCH("Amortiz",R4)))</formula>
    </cfRule>
    <cfRule type="containsText" dxfId="66" priority="6" operator="containsText" text="Cerrado">
      <formula>NOT(ISERROR(SEARCH("Cerrado",R4)))</formula>
    </cfRule>
    <cfRule type="containsText" dxfId="65" priority="7" operator="containsText" text="Cancel">
      <formula>NOT(ISERROR(SEARCH("Cancel",R4)))</formula>
    </cfRule>
  </conditionalFormatting>
  <conditionalFormatting sqref="W10">
    <cfRule type="expression" dxfId="64" priority="8">
      <formula>ABS(W10)&lt;0.5</formula>
    </cfRule>
    <cfRule type="expression" dxfId="63" priority="9">
      <formula>ABS(W10)&gt;=0.5</formula>
    </cfRule>
  </conditionalFormatting>
  <hyperlinks>
    <hyperlink ref="T13" location="'Casos'!A1" tooltip="Abrir Casos" display="←  Volver a Casos" xr:uid="{ED7D1C1E-A197-4C92-B4EF-4EC590FB2961}"/>
    <hyperlink ref="T14" location="'Inputs'!A1" tooltip="Abrir Inputs" display="←  Ir a Inputs (parámetros)" xr:uid="{AE7B12B1-0FC3-4C97-BBD0-80B2A992205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58"/>
  <sheetViews>
    <sheetView showGridLines="0" workbookViewId="0">
      <pane ySplit="2" topLeftCell="A27" activePane="bottomLeft" state="frozen"/>
      <selection activeCell="P1" sqref="P1"/>
      <selection pane="bottomLeft" activeCell="E38" sqref="E38"/>
    </sheetView>
  </sheetViews>
  <sheetFormatPr baseColWidth="10" defaultColWidth="8.796875" defaultRowHeight="15" customHeight="1"/>
  <cols>
    <col min="1" max="2" width="9.69921875" style="7" customWidth="1"/>
    <col min="3" max="3" width="25" style="7" customWidth="1"/>
    <col min="4" max="15" width="16.69921875" style="7" customWidth="1"/>
    <col min="16" max="24" width="20" style="7" customWidth="1"/>
    <col min="25" max="25" width="3" style="7" customWidth="1"/>
    <col min="26" max="26" width="38.296875" style="7" customWidth="1"/>
    <col min="27" max="28" width="20" style="7" customWidth="1"/>
    <col min="29" max="29" width="55" style="7" customWidth="1"/>
    <col min="30" max="32" width="10.69921875" style="7" customWidth="1"/>
    <col min="33" max="16384" width="8.796875" style="7"/>
  </cols>
  <sheetData>
    <row r="1" spans="1:32" ht="34.049999999999997" customHeight="1">
      <c r="A1" s="148" t="s">
        <v>341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3"/>
      <c r="Z1" s="187" t="s">
        <v>336</v>
      </c>
      <c r="AA1" s="186"/>
      <c r="AB1" s="186"/>
      <c r="AC1" s="186"/>
      <c r="AD1" s="143"/>
      <c r="AE1" s="143"/>
      <c r="AF1" s="143"/>
    </row>
    <row r="2" spans="1:32" ht="34.049999999999997" customHeight="1">
      <c r="A2" s="140" t="s">
        <v>76</v>
      </c>
      <c r="B2" s="141" t="s">
        <v>77</v>
      </c>
      <c r="C2" s="141" t="s">
        <v>78</v>
      </c>
      <c r="D2" s="141" t="s">
        <v>79</v>
      </c>
      <c r="E2" s="141" t="s">
        <v>80</v>
      </c>
      <c r="F2" s="141" t="s">
        <v>120</v>
      </c>
      <c r="G2" s="141" t="s">
        <v>121</v>
      </c>
      <c r="H2" s="141" t="s">
        <v>81</v>
      </c>
      <c r="I2" s="141" t="s">
        <v>122</v>
      </c>
      <c r="J2" s="141" t="s">
        <v>123</v>
      </c>
      <c r="K2" s="141" t="s">
        <v>117</v>
      </c>
      <c r="L2" s="141" t="s">
        <v>118</v>
      </c>
      <c r="M2" s="141" t="s">
        <v>124</v>
      </c>
      <c r="N2" s="141" t="s">
        <v>125</v>
      </c>
      <c r="O2" s="141" t="s">
        <v>126</v>
      </c>
      <c r="P2" s="142" t="s">
        <v>90</v>
      </c>
      <c r="Q2" s="141" t="s">
        <v>82</v>
      </c>
      <c r="R2" s="141" t="s">
        <v>83</v>
      </c>
      <c r="S2" s="141" t="s">
        <v>84</v>
      </c>
      <c r="T2" s="141" t="s">
        <v>9</v>
      </c>
      <c r="U2" s="141" t="s">
        <v>85</v>
      </c>
      <c r="V2" s="141" t="s">
        <v>87</v>
      </c>
      <c r="W2" s="141" t="s">
        <v>88</v>
      </c>
      <c r="X2" s="141" t="s">
        <v>89</v>
      </c>
      <c r="Y2" s="143"/>
      <c r="Z2" s="188" t="s">
        <v>119</v>
      </c>
      <c r="AA2" s="180">
        <f>INDEX(M4:M53,Inputs!$C$44)</f>
        <v>3000000</v>
      </c>
      <c r="AB2" s="185"/>
      <c r="AC2" s="185"/>
      <c r="AD2" s="143"/>
      <c r="AE2" s="143"/>
      <c r="AF2" s="143"/>
    </row>
    <row r="3" spans="1:32" ht="18" customHeight="1">
      <c r="A3" s="155">
        <v>0</v>
      </c>
      <c r="B3" s="156">
        <v>0</v>
      </c>
      <c r="C3" s="159" t="s">
        <v>92</v>
      </c>
      <c r="D3" s="153">
        <f>Inputs!$B$3</f>
        <v>5904400</v>
      </c>
      <c r="E3" s="153">
        <v>0</v>
      </c>
      <c r="F3" s="153">
        <v>0</v>
      </c>
      <c r="G3" s="153">
        <v>0</v>
      </c>
      <c r="H3" s="153">
        <v>0</v>
      </c>
      <c r="I3" s="153">
        <v>0</v>
      </c>
      <c r="J3" s="153">
        <f>D3</f>
        <v>5904400</v>
      </c>
      <c r="K3" s="153">
        <v>0</v>
      </c>
      <c r="L3" s="153">
        <v>0</v>
      </c>
      <c r="M3" s="153">
        <v>0</v>
      </c>
      <c r="N3" s="153">
        <v>0</v>
      </c>
      <c r="O3" s="153">
        <v>0</v>
      </c>
      <c r="P3" s="162" t="s">
        <v>93</v>
      </c>
      <c r="Q3" s="153">
        <v>0</v>
      </c>
      <c r="R3" s="153">
        <v>0</v>
      </c>
      <c r="S3" s="153">
        <v>0</v>
      </c>
      <c r="T3" s="153">
        <v>0</v>
      </c>
      <c r="U3" s="153">
        <v>0</v>
      </c>
      <c r="V3" s="153">
        <v>0</v>
      </c>
      <c r="W3" s="153">
        <v>0</v>
      </c>
      <c r="X3" s="153">
        <v>0</v>
      </c>
      <c r="Y3" s="143"/>
      <c r="Z3" s="189" t="s">
        <v>125</v>
      </c>
      <c r="AA3" s="167">
        <f>INDEX(N4:N53,Inputs!$C$44)</f>
        <v>1709819.7534167711</v>
      </c>
      <c r="AB3" s="185"/>
      <c r="AC3" s="185"/>
      <c r="AD3" s="143"/>
      <c r="AE3" s="143"/>
      <c r="AF3" s="143"/>
    </row>
    <row r="4" spans="1:32" ht="18" customHeight="1">
      <c r="A4" s="157">
        <v>1</v>
      </c>
      <c r="B4" s="77">
        <f>IF(A4&gt;Inputs!$C$44,"",ROUNDUP(A4/Inputs!$B$14,0))</f>
        <v>1</v>
      </c>
      <c r="C4" s="160" t="str">
        <f>IF(A4&gt;Inputs!$C$44,"",IF(A4&lt;=Inputs!$C$43,"Pago normal",IF(A4&lt;Inputs!$C$44,"Mora - sin pago","Evento de cierre")))</f>
        <v>Pago normal</v>
      </c>
      <c r="D4" s="149">
        <f>IF(A4&gt;Inputs!$C$44,"",J3)</f>
        <v>5904400</v>
      </c>
      <c r="E4" s="149">
        <f>IF(A4&gt;Inputs!$C$44,"",D4*Inputs!$B$17)</f>
        <v>71698.876787700196</v>
      </c>
      <c r="F4" s="149">
        <f>IF(A4&gt;Inputs!$C$44,"",IF(A4&lt;=Inputs!$C$43,MIN(Inputs!$B$20,D4+I3+E4),0))</f>
        <v>111014.82187676849</v>
      </c>
      <c r="G4" s="149">
        <f>IF(A4&gt;Inputs!$C$44,"",MIN(F4,I3+E4))</f>
        <v>71698.876787700196</v>
      </c>
      <c r="H4" s="149">
        <f>IF(A4&gt;Inputs!$C$44,"",MIN(MAX(0,F4-G4),D4))</f>
        <v>39315.945089068293</v>
      </c>
      <c r="I4" s="149">
        <f>IF(A4&gt;Inputs!$C$44,"",IF(A4=Inputs!$C$44,0,MAX(0,I3+E4-G4)))</f>
        <v>0</v>
      </c>
      <c r="J4" s="149">
        <f>IF(A4&gt;Inputs!$C$44,"",IF(A4=Inputs!$C$44,0,MAX(0,D4-H4)))</f>
        <v>5865084.0549109317</v>
      </c>
      <c r="K4" s="149">
        <f>IF(A4&gt;Inputs!$C$44,"",IF(A4&lt;=Inputs!$C$43,0,A4-Inputs!$C$43))</f>
        <v>0</v>
      </c>
      <c r="L4" s="149">
        <f>IF(A4=Inputs!$C$44,D4+I3+E4,0)</f>
        <v>0</v>
      </c>
      <c r="M4" s="149">
        <f>IF(A4=Inputs!$C$44,Inputs!$C$42,0)</f>
        <v>0</v>
      </c>
      <c r="N4" s="149">
        <f>IF(A4=Inputs!$C$44,MAX(0,L4-M4),0)</f>
        <v>0</v>
      </c>
      <c r="O4" s="149">
        <f>IF(A4=Inputs!$C$44,MAX(0,M4-L4),0)</f>
        <v>0</v>
      </c>
      <c r="P4" s="163" t="str">
        <f>IF(A4&gt;Inputs!$C$44,"",IF(A4=Inputs!$C$44,"Cerrado por evento",IF(K4&gt;0,"En mora","Vigente al día")))</f>
        <v>Vigente al día</v>
      </c>
      <c r="Q4" s="149">
        <f>IF($A4&gt;Inputs!$C$44,"",IF($A4&lt;=Inputs!$C$43,Inputs!$B$28,0))</f>
        <v>48643.172307692315</v>
      </c>
      <c r="R4" s="149">
        <f>IF($A4&gt;Inputs!$C$44,"",IF($A4&lt;=Inputs!$C$43,Inputs!$B$29,0))</f>
        <v>10984.615384615387</v>
      </c>
      <c r="S4" s="149">
        <f>IF($A4&gt;Inputs!$C$44,"",IF($A4&lt;=Inputs!$C$43,Inputs!$B$30,0))</f>
        <v>3406.3846153846157</v>
      </c>
      <c r="T4" s="149">
        <f>IF($A4&gt;Inputs!$C$44,"",SUM(Q4:S4))</f>
        <v>63034.172307692315</v>
      </c>
      <c r="U4" s="149">
        <f>IF($A4&gt;Inputs!$C$44,"",F4+T4)</f>
        <v>174048.99418446081</v>
      </c>
      <c r="V4" s="149">
        <f>IF($B4="","",IF(OR($B5="",ROUNDUP(($A4+1)/Inputs!$B$14,0)&gt;$B4),SUMIF($B$4:$B4,$B4,Q$4:Q4),0))</f>
        <v>0</v>
      </c>
      <c r="W4" s="149">
        <f>IF($B4="","",IF(OR($B5="",ROUNDUP(($A4+1)/Inputs!$B$14,0)&gt;$B4),SUMIF($B$4:$B4,$B4,R$4:R4),0))</f>
        <v>0</v>
      </c>
      <c r="X4" s="149">
        <f>IF($B4="","",IF(OR($B5="",ROUNDUP(($A4+1)/Inputs!$B$14,0)&gt;$B4),SUMIF($B$4:$B4,$B4,S$4:S4),0))</f>
        <v>0</v>
      </c>
      <c r="Y4" s="143"/>
      <c r="Z4" s="189" t="s">
        <v>126</v>
      </c>
      <c r="AA4" s="191">
        <f>INDEX(O4:O53,Inputs!$C$44)</f>
        <v>0</v>
      </c>
      <c r="AB4" s="185"/>
      <c r="AC4" s="185"/>
      <c r="AD4" s="143"/>
      <c r="AE4" s="143"/>
      <c r="AF4" s="143"/>
    </row>
    <row r="5" spans="1:32" ht="18" customHeight="1">
      <c r="A5" s="157">
        <v>2</v>
      </c>
      <c r="B5" s="77">
        <f>IF(A5&gt;Inputs!$C$44,"",ROUNDUP(A5/Inputs!$B$14,0))</f>
        <v>1</v>
      </c>
      <c r="C5" s="160" t="str">
        <f>IF(A5&gt;Inputs!$C$44,"",IF(A5&lt;=Inputs!$C$43,"Pago normal",IF(A5&lt;Inputs!$C$44,"Mora - sin pago","Evento de cierre")))</f>
        <v>Pago normal</v>
      </c>
      <c r="D5" s="149">
        <f>IF(A5&gt;Inputs!$C$44,"",J4)</f>
        <v>5865084.0549109317</v>
      </c>
      <c r="E5" s="149">
        <f>IF(A5&gt;Inputs!$C$44,"",D5*Inputs!$B$17)</f>
        <v>71221.451629727657</v>
      </c>
      <c r="F5" s="149">
        <f>IF(A5&gt;Inputs!$C$44,"",IF(A5&lt;=Inputs!$C$43,MIN(Inputs!$B$20,D5+I4+E5),0))</f>
        <v>111014.82187676849</v>
      </c>
      <c r="G5" s="149">
        <f>IF(A5&gt;Inputs!$C$44,"",MIN(F5,I4+E5))</f>
        <v>71221.451629727657</v>
      </c>
      <c r="H5" s="149">
        <f>IF(A5&gt;Inputs!$C$44,"",MIN(MAX(0,F5-G5),D5))</f>
        <v>39793.370247040832</v>
      </c>
      <c r="I5" s="149">
        <f>IF(A5&gt;Inputs!$C$44,"",IF(A5=Inputs!$C$44,0,MAX(0,I4+E5-G5)))</f>
        <v>0</v>
      </c>
      <c r="J5" s="149">
        <f>IF(A5&gt;Inputs!$C$44,"",IF(A5=Inputs!$C$44,0,MAX(0,D5-H5)))</f>
        <v>5825290.6846638909</v>
      </c>
      <c r="K5" s="149">
        <f>IF(A5&gt;Inputs!$C$44,"",IF(A5&lt;=Inputs!$C$43,0,A5-Inputs!$C$43))</f>
        <v>0</v>
      </c>
      <c r="L5" s="149">
        <f>IF(A5=Inputs!$C$44,D5+I4+E5,0)</f>
        <v>0</v>
      </c>
      <c r="M5" s="149">
        <f>IF(A5=Inputs!$C$44,Inputs!$C$42,0)</f>
        <v>0</v>
      </c>
      <c r="N5" s="149">
        <f>IF(A5=Inputs!$C$44,MAX(0,L5-M5),0)</f>
        <v>0</v>
      </c>
      <c r="O5" s="149">
        <f>IF(A5=Inputs!$C$44,MAX(0,M5-L5),0)</f>
        <v>0</v>
      </c>
      <c r="P5" s="163" t="str">
        <f>IF(A5&gt;Inputs!$C$44,"",IF(A5=Inputs!$C$44,"Cerrado por evento",IF(K5&gt;0,"En mora","Vigente al día")))</f>
        <v>Vigente al día</v>
      </c>
      <c r="Q5" s="149">
        <f>IF($A5&gt;Inputs!$C$44,"",IF($A5&lt;=Inputs!$C$43,Inputs!$B$28,0))</f>
        <v>48643.172307692315</v>
      </c>
      <c r="R5" s="149">
        <f>IF($A5&gt;Inputs!$C$44,"",IF($A5&lt;=Inputs!$C$43,Inputs!$B$29,0))</f>
        <v>10984.615384615387</v>
      </c>
      <c r="S5" s="149">
        <f>IF($A5&gt;Inputs!$C$44,"",IF($A5&lt;=Inputs!$C$43,Inputs!$B$30,0))</f>
        <v>3406.3846153846157</v>
      </c>
      <c r="T5" s="149">
        <f>IF($A5&gt;Inputs!$C$44,"",SUM(Q5:S5))</f>
        <v>63034.172307692315</v>
      </c>
      <c r="U5" s="149">
        <f>IF($A5&gt;Inputs!$C$44,"",F5+T5)</f>
        <v>174048.99418446081</v>
      </c>
      <c r="V5" s="149">
        <f>IF($B5="","",IF(OR($B6="",ROUNDUP(($A5+1)/Inputs!$B$14,0)&gt;$B5),SUMIF($B$4:$B5,$B5,Q$4:Q5),0))</f>
        <v>0</v>
      </c>
      <c r="W5" s="149">
        <f>IF($B5="","",IF(OR($B6="",ROUNDUP(($A5+1)/Inputs!$B$14,0)&gt;$B5),SUMIF($B$4:$B5,$B5,R$4:R5),0))</f>
        <v>0</v>
      </c>
      <c r="X5" s="149">
        <f>IF($B5="","",IF(OR($B6="",ROUNDUP(($A5+1)/Inputs!$B$14,0)&gt;$B5),SUMIF($B$4:$B5,$B5,S$4:S5),0))</f>
        <v>0</v>
      </c>
      <c r="Y5" s="143"/>
      <c r="Z5" s="190" t="s">
        <v>127</v>
      </c>
      <c r="AA5" s="192">
        <f>INDEX(J4:J53,Inputs!$C$44)</f>
        <v>0</v>
      </c>
      <c r="AB5" s="185"/>
      <c r="AC5" s="185"/>
      <c r="AD5" s="143"/>
      <c r="AE5" s="143"/>
      <c r="AF5" s="143"/>
    </row>
    <row r="6" spans="1:32" ht="18" customHeight="1">
      <c r="A6" s="157">
        <v>3</v>
      </c>
      <c r="B6" s="77">
        <f>IF(A6&gt;Inputs!$C$44,"",ROUNDUP(A6/Inputs!$B$14,0))</f>
        <v>1</v>
      </c>
      <c r="C6" s="160" t="str">
        <f>IF(A6&gt;Inputs!$C$44,"",IF(A6&lt;=Inputs!$C$43,"Pago normal",IF(A6&lt;Inputs!$C$44,"Mora - sin pago","Evento de cierre")))</f>
        <v>Pago normal</v>
      </c>
      <c r="D6" s="149">
        <f>IF(A6&gt;Inputs!$C$44,"",J5)</f>
        <v>5825290.6846638909</v>
      </c>
      <c r="E6" s="149">
        <f>IF(A6&gt;Inputs!$C$44,"",D6*Inputs!$B$17)</f>
        <v>70738.228956753272</v>
      </c>
      <c r="F6" s="149">
        <f>IF(A6&gt;Inputs!$C$44,"",IF(A6&lt;=Inputs!$C$43,MIN(Inputs!$B$20,D6+I5+E6),0))</f>
        <v>111014.82187676849</v>
      </c>
      <c r="G6" s="149">
        <f>IF(A6&gt;Inputs!$C$44,"",MIN(F6,I5+E6))</f>
        <v>70738.228956753272</v>
      </c>
      <c r="H6" s="149">
        <f>IF(A6&gt;Inputs!$C$44,"",MIN(MAX(0,F6-G6),D6))</f>
        <v>40276.592920015217</v>
      </c>
      <c r="I6" s="149">
        <f>IF(A6&gt;Inputs!$C$44,"",IF(A6=Inputs!$C$44,0,MAX(0,I5+E6-G6)))</f>
        <v>0</v>
      </c>
      <c r="J6" s="149">
        <f>IF(A6&gt;Inputs!$C$44,"",IF(A6=Inputs!$C$44,0,MAX(0,D6-H6)))</f>
        <v>5785014.0917438753</v>
      </c>
      <c r="K6" s="149">
        <f>IF(A6&gt;Inputs!$C$44,"",IF(A6&lt;=Inputs!$C$43,0,A6-Inputs!$C$43))</f>
        <v>0</v>
      </c>
      <c r="L6" s="149">
        <f>IF(A6=Inputs!$C$44,D6+I5+E6,0)</f>
        <v>0</v>
      </c>
      <c r="M6" s="149">
        <f>IF(A6=Inputs!$C$44,Inputs!$C$42,0)</f>
        <v>0</v>
      </c>
      <c r="N6" s="149">
        <f>IF(A6=Inputs!$C$44,MAX(0,L6-M6),0)</f>
        <v>0</v>
      </c>
      <c r="O6" s="149">
        <f>IF(A6=Inputs!$C$44,MAX(0,M6-L6),0)</f>
        <v>0</v>
      </c>
      <c r="P6" s="163" t="str">
        <f>IF(A6&gt;Inputs!$C$44,"",IF(A6=Inputs!$C$44,"Cerrado por evento",IF(K6&gt;0,"En mora","Vigente al día")))</f>
        <v>Vigente al día</v>
      </c>
      <c r="Q6" s="149">
        <f>IF($A6&gt;Inputs!$C$44,"",IF($A6&lt;=Inputs!$C$43,Inputs!$B$28,0))</f>
        <v>48643.172307692315</v>
      </c>
      <c r="R6" s="149">
        <f>IF($A6&gt;Inputs!$C$44,"",IF($A6&lt;=Inputs!$C$43,Inputs!$B$29,0))</f>
        <v>10984.615384615387</v>
      </c>
      <c r="S6" s="149">
        <f>IF($A6&gt;Inputs!$C$44,"",IF($A6&lt;=Inputs!$C$43,Inputs!$B$30,0))</f>
        <v>3406.3846153846157</v>
      </c>
      <c r="T6" s="149">
        <f>IF($A6&gt;Inputs!$C$44,"",SUM(Q6:S6))</f>
        <v>63034.172307692315</v>
      </c>
      <c r="U6" s="149">
        <f>IF($A6&gt;Inputs!$C$44,"",F6+T6)</f>
        <v>174048.99418446081</v>
      </c>
      <c r="V6" s="149">
        <f>IF($B6="","",IF(OR($B7="",ROUNDUP(($A6+1)/Inputs!$B$14,0)&gt;$B6),SUMIF($B$4:$B6,$B6,Q$4:Q6),0))</f>
        <v>0</v>
      </c>
      <c r="W6" s="149">
        <f>IF($B6="","",IF(OR($B7="",ROUNDUP(($A6+1)/Inputs!$B$14,0)&gt;$B6),SUMIF($B$4:$B6,$B6,R$4:R6),0))</f>
        <v>0</v>
      </c>
      <c r="X6" s="149">
        <f>IF($B6="","",IF(OR($B7="",ROUNDUP(($A6+1)/Inputs!$B$14,0)&gt;$B6),SUMIF($B$4:$B6,$B6,S$4:S6),0))</f>
        <v>0</v>
      </c>
      <c r="Y6" s="143"/>
      <c r="Z6" s="120"/>
      <c r="AA6" s="120"/>
      <c r="AB6" s="120"/>
      <c r="AC6" s="120"/>
      <c r="AD6" s="143"/>
      <c r="AE6" s="143"/>
      <c r="AF6" s="143"/>
    </row>
    <row r="7" spans="1:32" ht="18" customHeight="1">
      <c r="A7" s="157">
        <v>4</v>
      </c>
      <c r="B7" s="77">
        <f>IF(A7&gt;Inputs!$C$44,"",ROUNDUP(A7/Inputs!$B$14,0))</f>
        <v>1</v>
      </c>
      <c r="C7" s="160" t="str">
        <f>IF(A7&gt;Inputs!$C$44,"",IF(A7&lt;=Inputs!$C$43,"Pago normal",IF(A7&lt;Inputs!$C$44,"Mora - sin pago","Evento de cierre")))</f>
        <v>Pago normal</v>
      </c>
      <c r="D7" s="149">
        <f>IF(A7&gt;Inputs!$C$44,"",J6)</f>
        <v>5785014.0917438753</v>
      </c>
      <c r="E7" s="149">
        <f>IF(A7&gt;Inputs!$C$44,"",D7*Inputs!$B$17)</f>
        <v>70249.138367836436</v>
      </c>
      <c r="F7" s="149">
        <f>IF(A7&gt;Inputs!$C$44,"",IF(A7&lt;=Inputs!$C$43,MIN(Inputs!$B$20,D7+I6+E7),0))</f>
        <v>111014.82187676849</v>
      </c>
      <c r="G7" s="149">
        <f>IF(A7&gt;Inputs!$C$44,"",MIN(F7,I6+E7))</f>
        <v>70249.138367836436</v>
      </c>
      <c r="H7" s="149">
        <f>IF(A7&gt;Inputs!$C$44,"",MIN(MAX(0,F7-G7),D7))</f>
        <v>40765.683508932052</v>
      </c>
      <c r="I7" s="149">
        <f>IF(A7&gt;Inputs!$C$44,"",IF(A7=Inputs!$C$44,0,MAX(0,I6+E7-G7)))</f>
        <v>0</v>
      </c>
      <c r="J7" s="149">
        <f>IF(A7&gt;Inputs!$C$44,"",IF(A7=Inputs!$C$44,0,MAX(0,D7-H7)))</f>
        <v>5744248.4082349436</v>
      </c>
      <c r="K7" s="149">
        <f>IF(A7&gt;Inputs!$C$44,"",IF(A7&lt;=Inputs!$C$43,0,A7-Inputs!$C$43))</f>
        <v>0</v>
      </c>
      <c r="L7" s="149">
        <f>IF(A7=Inputs!$C$44,D7+I6+E7,0)</f>
        <v>0</v>
      </c>
      <c r="M7" s="149">
        <f>IF(A7=Inputs!$C$44,Inputs!$C$42,0)</f>
        <v>0</v>
      </c>
      <c r="N7" s="149">
        <f>IF(A7=Inputs!$C$44,MAX(0,L7-M7),0)</f>
        <v>0</v>
      </c>
      <c r="O7" s="149">
        <f>IF(A7=Inputs!$C$44,MAX(0,M7-L7),0)</f>
        <v>0</v>
      </c>
      <c r="P7" s="163" t="str">
        <f>IF(A7&gt;Inputs!$C$44,"",IF(A7=Inputs!$C$44,"Cerrado por evento",IF(K7&gt;0,"En mora","Vigente al día")))</f>
        <v>Vigente al día</v>
      </c>
      <c r="Q7" s="149">
        <f>IF($A7&gt;Inputs!$C$44,"",IF($A7&lt;=Inputs!$C$43,Inputs!$B$28,0))</f>
        <v>48643.172307692315</v>
      </c>
      <c r="R7" s="149">
        <f>IF($A7&gt;Inputs!$C$44,"",IF($A7&lt;=Inputs!$C$43,Inputs!$B$29,0))</f>
        <v>10984.615384615387</v>
      </c>
      <c r="S7" s="149">
        <f>IF($A7&gt;Inputs!$C$44,"",IF($A7&lt;=Inputs!$C$43,Inputs!$B$30,0))</f>
        <v>3406.3846153846157</v>
      </c>
      <c r="T7" s="149">
        <f>IF($A7&gt;Inputs!$C$44,"",SUM(Q7:S7))</f>
        <v>63034.172307692315</v>
      </c>
      <c r="U7" s="149">
        <f>IF($A7&gt;Inputs!$C$44,"",F7+T7)</f>
        <v>174048.99418446081</v>
      </c>
      <c r="V7" s="149">
        <f>IF($B7="","",IF(OR($B8="",ROUNDUP(($A7+1)/Inputs!$B$14,0)&gt;$B7),SUMIF($B$4:$B7,$B7,Q$4:Q7),0))</f>
        <v>194572.68923076926</v>
      </c>
      <c r="W7" s="149">
        <f>IF($B7="","",IF(OR($B8="",ROUNDUP(($A7+1)/Inputs!$B$14,0)&gt;$B7),SUMIF($B$4:$B7,$B7,R$4:R7),0))</f>
        <v>43938.461538461546</v>
      </c>
      <c r="X7" s="149">
        <f>IF($B7="","",IF(OR($B8="",ROUNDUP(($A7+1)/Inputs!$B$14,0)&gt;$B7),SUMIF($B$4:$B7,$B7,S$4:S7),0))</f>
        <v>13625.538461538463</v>
      </c>
      <c r="Y7" s="143"/>
      <c r="Z7" s="120"/>
      <c r="AA7" s="120"/>
      <c r="AB7" s="120"/>
      <c r="AC7" s="120"/>
      <c r="AD7" s="143"/>
      <c r="AE7" s="143"/>
      <c r="AF7" s="143"/>
    </row>
    <row r="8" spans="1:32" ht="25.95" customHeight="1">
      <c r="A8" s="157">
        <v>5</v>
      </c>
      <c r="B8" s="77">
        <f>IF(A8&gt;Inputs!$C$44,"",ROUNDUP(A8/Inputs!$B$14,0))</f>
        <v>2</v>
      </c>
      <c r="C8" s="160" t="str">
        <f>IF(A8&gt;Inputs!$C$44,"",IF(A8&lt;=Inputs!$C$43,"Pago normal",IF(A8&lt;Inputs!$C$44,"Mora - sin pago","Evento de cierre")))</f>
        <v>Pago normal</v>
      </c>
      <c r="D8" s="149">
        <f>IF(A8&gt;Inputs!$C$44,"",J7)</f>
        <v>5744248.4082349436</v>
      </c>
      <c r="E8" s="149">
        <f>IF(A8&gt;Inputs!$C$44,"",D8*Inputs!$B$17)</f>
        <v>69754.108607137081</v>
      </c>
      <c r="F8" s="149">
        <f>IF(A8&gt;Inputs!$C$44,"",IF(A8&lt;=Inputs!$C$43,MIN(Inputs!$B$20,D8+I7+E8),0))</f>
        <v>111014.82187676849</v>
      </c>
      <c r="G8" s="149">
        <f>IF(A8&gt;Inputs!$C$44,"",MIN(F8,I7+E8))</f>
        <v>69754.108607137081</v>
      </c>
      <c r="H8" s="149">
        <f>IF(A8&gt;Inputs!$C$44,"",MIN(MAX(0,F8-G8),D8))</f>
        <v>41260.713269631407</v>
      </c>
      <c r="I8" s="149">
        <f>IF(A8&gt;Inputs!$C$44,"",IF(A8=Inputs!$C$44,0,MAX(0,I7+E8-G8)))</f>
        <v>0</v>
      </c>
      <c r="J8" s="149">
        <f>IF(A8&gt;Inputs!$C$44,"",IF(A8=Inputs!$C$44,0,MAX(0,D8-H8)))</f>
        <v>5702987.6949653123</v>
      </c>
      <c r="K8" s="149">
        <f>IF(A8&gt;Inputs!$C$44,"",IF(A8&lt;=Inputs!$C$43,0,A8-Inputs!$C$43))</f>
        <v>0</v>
      </c>
      <c r="L8" s="149">
        <f>IF(A8=Inputs!$C$44,D8+I7+E8,0)</f>
        <v>0</v>
      </c>
      <c r="M8" s="149">
        <f>IF(A8=Inputs!$C$44,Inputs!$C$42,0)</f>
        <v>0</v>
      </c>
      <c r="N8" s="149">
        <f>IF(A8=Inputs!$C$44,MAX(0,L8-M8),0)</f>
        <v>0</v>
      </c>
      <c r="O8" s="149">
        <f>IF(A8=Inputs!$C$44,MAX(0,M8-L8),0)</f>
        <v>0</v>
      </c>
      <c r="P8" s="163" t="str">
        <f>IF(A8&gt;Inputs!$C$44,"",IF(A8=Inputs!$C$44,"Cerrado por evento",IF(K8&gt;0,"En mora","Vigente al día")))</f>
        <v>Vigente al día</v>
      </c>
      <c r="Q8" s="149">
        <f>IF($A8&gt;Inputs!$C$44,"",IF($A8&lt;=Inputs!$C$43,Inputs!$B$28,0))</f>
        <v>48643.172307692315</v>
      </c>
      <c r="R8" s="149">
        <f>IF($A8&gt;Inputs!$C$44,"",IF($A8&lt;=Inputs!$C$43,Inputs!$B$29,0))</f>
        <v>10984.615384615387</v>
      </c>
      <c r="S8" s="149">
        <f>IF($A8&gt;Inputs!$C$44,"",IF($A8&lt;=Inputs!$C$43,Inputs!$B$30,0))</f>
        <v>3406.3846153846157</v>
      </c>
      <c r="T8" s="149">
        <f>IF($A8&gt;Inputs!$C$44,"",SUM(Q8:S8))</f>
        <v>63034.172307692315</v>
      </c>
      <c r="U8" s="149">
        <f>IF($A8&gt;Inputs!$C$44,"",F8+T8)</f>
        <v>174048.99418446081</v>
      </c>
      <c r="V8" s="149">
        <f>IF($B8="","",IF(OR($B9="",ROUNDUP(($A8+1)/Inputs!$B$14,0)&gt;$B8),SUMIF($B$4:$B8,$B8,Q$4:Q8),0))</f>
        <v>0</v>
      </c>
      <c r="W8" s="149">
        <f>IF($B8="","",IF(OR($B9="",ROUNDUP(($A8+1)/Inputs!$B$14,0)&gt;$B8),SUMIF($B$4:$B8,$B8,R$4:R8),0))</f>
        <v>0</v>
      </c>
      <c r="X8" s="149">
        <f>IF($B8="","",IF(OR($B9="",ROUNDUP(($A8+1)/Inputs!$B$14,0)&gt;$B8),SUMIF($B$4:$B8,$B8,S$4:S8),0))</f>
        <v>0</v>
      </c>
      <c r="Y8" s="143"/>
      <c r="Z8" s="97" t="s">
        <v>95</v>
      </c>
      <c r="AA8" s="24"/>
      <c r="AB8" s="24"/>
      <c r="AC8" s="24"/>
      <c r="AD8" s="143"/>
      <c r="AE8" s="143"/>
      <c r="AF8" s="143"/>
    </row>
    <row r="9" spans="1:32" ht="18" customHeight="1">
      <c r="A9" s="157">
        <v>6</v>
      </c>
      <c r="B9" s="77">
        <f>IF(A9&gt;Inputs!$C$44,"",ROUNDUP(A9/Inputs!$B$14,0))</f>
        <v>2</v>
      </c>
      <c r="C9" s="160" t="str">
        <f>IF(A9&gt;Inputs!$C$44,"",IF(A9&lt;=Inputs!$C$43,"Pago normal",IF(A9&lt;Inputs!$C$44,"Mora - sin pago","Evento de cierre")))</f>
        <v>Pago normal</v>
      </c>
      <c r="D9" s="149">
        <f>IF(A9&gt;Inputs!$C$44,"",J8)</f>
        <v>5702987.6949653123</v>
      </c>
      <c r="E9" s="149">
        <f>IF(A9&gt;Inputs!$C$44,"",D9*Inputs!$B$17)</f>
        <v>69253.067553534362</v>
      </c>
      <c r="F9" s="149">
        <f>IF(A9&gt;Inputs!$C$44,"",IF(A9&lt;=Inputs!$C$43,MIN(Inputs!$B$20,D9+I8+E9),0))</f>
        <v>111014.82187676849</v>
      </c>
      <c r="G9" s="149">
        <f>IF(A9&gt;Inputs!$C$44,"",MIN(F9,I8+E9))</f>
        <v>69253.067553534362</v>
      </c>
      <c r="H9" s="149">
        <f>IF(A9&gt;Inputs!$C$44,"",MIN(MAX(0,F9-G9),D9))</f>
        <v>41761.754323234127</v>
      </c>
      <c r="I9" s="149">
        <f>IF(A9&gt;Inputs!$C$44,"",IF(A9=Inputs!$C$44,0,MAX(0,I8+E9-G9)))</f>
        <v>0</v>
      </c>
      <c r="J9" s="149">
        <f>IF(A9&gt;Inputs!$C$44,"",IF(A9=Inputs!$C$44,0,MAX(0,D9-H9)))</f>
        <v>5661225.9406420784</v>
      </c>
      <c r="K9" s="149">
        <f>IF(A9&gt;Inputs!$C$44,"",IF(A9&lt;=Inputs!$C$43,0,A9-Inputs!$C$43))</f>
        <v>0</v>
      </c>
      <c r="L9" s="149">
        <f>IF(A9=Inputs!$C$44,D9+I8+E9,0)</f>
        <v>0</v>
      </c>
      <c r="M9" s="149">
        <f>IF(A9=Inputs!$C$44,Inputs!$C$42,0)</f>
        <v>0</v>
      </c>
      <c r="N9" s="149">
        <f>IF(A9=Inputs!$C$44,MAX(0,L9-M9),0)</f>
        <v>0</v>
      </c>
      <c r="O9" s="149">
        <f>IF(A9=Inputs!$C$44,MAX(0,M9-L9),0)</f>
        <v>0</v>
      </c>
      <c r="P9" s="163" t="str">
        <f>IF(A9&gt;Inputs!$C$44,"",IF(A9=Inputs!$C$44,"Cerrado por evento",IF(K9&gt;0,"En mora","Vigente al día")))</f>
        <v>Vigente al día</v>
      </c>
      <c r="Q9" s="149">
        <f>IF($A9&gt;Inputs!$C$44,"",IF($A9&lt;=Inputs!$C$43,Inputs!$B$28,0))</f>
        <v>48643.172307692315</v>
      </c>
      <c r="R9" s="149">
        <f>IF($A9&gt;Inputs!$C$44,"",IF($A9&lt;=Inputs!$C$43,Inputs!$B$29,0))</f>
        <v>10984.615384615387</v>
      </c>
      <c r="S9" s="149">
        <f>IF($A9&gt;Inputs!$C$44,"",IF($A9&lt;=Inputs!$C$43,Inputs!$B$30,0))</f>
        <v>3406.3846153846157</v>
      </c>
      <c r="T9" s="149">
        <f>IF($A9&gt;Inputs!$C$44,"",SUM(Q9:S9))</f>
        <v>63034.172307692315</v>
      </c>
      <c r="U9" s="149">
        <f>IF($A9&gt;Inputs!$C$44,"",F9+T9)</f>
        <v>174048.99418446081</v>
      </c>
      <c r="V9" s="149">
        <f>IF($B9="","",IF(OR($B10="",ROUNDUP(($A9+1)/Inputs!$B$14,0)&gt;$B9),SUMIF($B$4:$B9,$B9,Q$4:Q9),0))</f>
        <v>0</v>
      </c>
      <c r="W9" s="149">
        <f>IF($B9="","",IF(OR($B10="",ROUNDUP(($A9+1)/Inputs!$B$14,0)&gt;$B9),SUMIF($B$4:$B9,$B9,R$4:R9),0))</f>
        <v>0</v>
      </c>
      <c r="X9" s="149">
        <f>IF($B9="","",IF(OR($B10="",ROUNDUP(($A9+1)/Inputs!$B$14,0)&gt;$B9),SUMIF($B$4:$B9,$B9,S$4:S9),0))</f>
        <v>0</v>
      </c>
      <c r="Y9" s="143"/>
      <c r="Z9" s="121" t="s">
        <v>96</v>
      </c>
      <c r="AA9" s="122" t="s">
        <v>97</v>
      </c>
      <c r="AB9" s="122" t="s">
        <v>98</v>
      </c>
      <c r="AC9" s="121" t="s">
        <v>99</v>
      </c>
      <c r="AD9" s="143"/>
      <c r="AE9" s="143"/>
      <c r="AF9" s="143"/>
    </row>
    <row r="10" spans="1:32" ht="18" customHeight="1">
      <c r="A10" s="157">
        <v>7</v>
      </c>
      <c r="B10" s="77">
        <f>IF(A10&gt;Inputs!$C$44,"",ROUNDUP(A10/Inputs!$B$14,0))</f>
        <v>2</v>
      </c>
      <c r="C10" s="160" t="str">
        <f>IF(A10&gt;Inputs!$C$44,"",IF(A10&lt;=Inputs!$C$43,"Pago normal",IF(A10&lt;Inputs!$C$44,"Mora - sin pago","Evento de cierre")))</f>
        <v>Pago normal</v>
      </c>
      <c r="D10" s="149">
        <f>IF(A10&gt;Inputs!$C$44,"",J9)</f>
        <v>5661225.9406420784</v>
      </c>
      <c r="E10" s="149">
        <f>IF(A10&gt;Inputs!$C$44,"",D10*Inputs!$B$17)</f>
        <v>68745.942210119319</v>
      </c>
      <c r="F10" s="149">
        <f>IF(A10&gt;Inputs!$C$44,"",IF(A10&lt;=Inputs!$C$43,MIN(Inputs!$B$20,D10+I9+E10),0))</f>
        <v>111014.82187676849</v>
      </c>
      <c r="G10" s="149">
        <f>IF(A10&gt;Inputs!$C$44,"",MIN(F10,I9+E10))</f>
        <v>68745.942210119319</v>
      </c>
      <c r="H10" s="149">
        <f>IF(A10&gt;Inputs!$C$44,"",MIN(MAX(0,F10-G10),D10))</f>
        <v>42268.879666649169</v>
      </c>
      <c r="I10" s="149">
        <f>IF(A10&gt;Inputs!$C$44,"",IF(A10=Inputs!$C$44,0,MAX(0,I9+E10-G10)))</f>
        <v>0</v>
      </c>
      <c r="J10" s="149">
        <f>IF(A10&gt;Inputs!$C$44,"",IF(A10=Inputs!$C$44,0,MAX(0,D10-H10)))</f>
        <v>5618957.0609754296</v>
      </c>
      <c r="K10" s="149">
        <f>IF(A10&gt;Inputs!$C$44,"",IF(A10&lt;=Inputs!$C$43,0,A10-Inputs!$C$43))</f>
        <v>0</v>
      </c>
      <c r="L10" s="149">
        <f>IF(A10=Inputs!$C$44,D10+I9+E10,0)</f>
        <v>0</v>
      </c>
      <c r="M10" s="149">
        <f>IF(A10=Inputs!$C$44,Inputs!$C$42,0)</f>
        <v>0</v>
      </c>
      <c r="N10" s="149">
        <f>IF(A10=Inputs!$C$44,MAX(0,L10-M10),0)</f>
        <v>0</v>
      </c>
      <c r="O10" s="149">
        <f>IF(A10=Inputs!$C$44,MAX(0,M10-L10),0)</f>
        <v>0</v>
      </c>
      <c r="P10" s="163" t="str">
        <f>IF(A10&gt;Inputs!$C$44,"",IF(A10=Inputs!$C$44,"Cerrado por evento",IF(K10&gt;0,"En mora","Vigente al día")))</f>
        <v>Vigente al día</v>
      </c>
      <c r="Q10" s="149">
        <f>IF($A10&gt;Inputs!$C$44,"",IF($A10&lt;=Inputs!$C$43,Inputs!$B$28,0))</f>
        <v>48643.172307692315</v>
      </c>
      <c r="R10" s="149">
        <f>IF($A10&gt;Inputs!$C$44,"",IF($A10&lt;=Inputs!$C$43,Inputs!$B$29,0))</f>
        <v>10984.615384615387</v>
      </c>
      <c r="S10" s="149">
        <f>IF($A10&gt;Inputs!$C$44,"",IF($A10&lt;=Inputs!$C$43,Inputs!$B$30,0))</f>
        <v>3406.3846153846157</v>
      </c>
      <c r="T10" s="149">
        <f>IF($A10&gt;Inputs!$C$44,"",SUM(Q10:S10))</f>
        <v>63034.172307692315</v>
      </c>
      <c r="U10" s="149">
        <f>IF($A10&gt;Inputs!$C$44,"",F10+T10)</f>
        <v>174048.99418446081</v>
      </c>
      <c r="V10" s="149">
        <f>IF($B10="","",IF(OR($B11="",ROUNDUP(($A10+1)/Inputs!$B$14,0)&gt;$B10),SUMIF($B$4:$B10,$B10,Q$4:Q10),0))</f>
        <v>0</v>
      </c>
      <c r="W10" s="149">
        <f>IF($B10="","",IF(OR($B11="",ROUNDUP(($A10+1)/Inputs!$B$14,0)&gt;$B10),SUMIF($B$4:$B10,$B10,R$4:R10),0))</f>
        <v>0</v>
      </c>
      <c r="X10" s="149">
        <f>IF($B10="","",IF(OR($B11="",ROUNDUP(($A10+1)/Inputs!$B$14,0)&gt;$B10),SUMIF($B$4:$B10,$B10,S$4:S10),0))</f>
        <v>0</v>
      </c>
      <c r="Y10" s="143"/>
      <c r="Z10" s="188" t="s">
        <v>128</v>
      </c>
      <c r="AA10" s="193">
        <f>INDEX(M4:M53,Inputs!$C$44)</f>
        <v>3000000</v>
      </c>
      <c r="AB10" s="193"/>
      <c r="AC10" s="195" t="s">
        <v>129</v>
      </c>
      <c r="AD10" s="143"/>
      <c r="AE10" s="143"/>
      <c r="AF10" s="143"/>
    </row>
    <row r="11" spans="1:32" ht="18" customHeight="1">
      <c r="A11" s="157">
        <v>8</v>
      </c>
      <c r="B11" s="77">
        <f>IF(A11&gt;Inputs!$C$44,"",ROUNDUP(A11/Inputs!$B$14,0))</f>
        <v>2</v>
      </c>
      <c r="C11" s="160" t="str">
        <f>IF(A11&gt;Inputs!$C$44,"",IF(A11&lt;=Inputs!$C$43,"Pago normal",IF(A11&lt;Inputs!$C$44,"Mora - sin pago","Evento de cierre")))</f>
        <v>Pago normal</v>
      </c>
      <c r="D11" s="149">
        <f>IF(A11&gt;Inputs!$C$44,"",J10)</f>
        <v>5618957.0609754296</v>
      </c>
      <c r="E11" s="149">
        <f>IF(A11&gt;Inputs!$C$44,"",D11*Inputs!$B$17)</f>
        <v>68232.658693559948</v>
      </c>
      <c r="F11" s="149">
        <f>IF(A11&gt;Inputs!$C$44,"",IF(A11&lt;=Inputs!$C$43,MIN(Inputs!$B$20,D11+I10+E11),0))</f>
        <v>111014.82187676849</v>
      </c>
      <c r="G11" s="149">
        <f>IF(A11&gt;Inputs!$C$44,"",MIN(F11,I10+E11))</f>
        <v>68232.658693559948</v>
      </c>
      <c r="H11" s="149">
        <f>IF(A11&gt;Inputs!$C$44,"",MIN(MAX(0,F11-G11),D11))</f>
        <v>42782.16318320854</v>
      </c>
      <c r="I11" s="149">
        <f>IF(A11&gt;Inputs!$C$44,"",IF(A11=Inputs!$C$44,0,MAX(0,I10+E11-G11)))</f>
        <v>0</v>
      </c>
      <c r="J11" s="149">
        <f>IF(A11&gt;Inputs!$C$44,"",IF(A11=Inputs!$C$44,0,MAX(0,D11-H11)))</f>
        <v>5576174.897792221</v>
      </c>
      <c r="K11" s="149">
        <f>IF(A11&gt;Inputs!$C$44,"",IF(A11&lt;=Inputs!$C$43,0,A11-Inputs!$C$43))</f>
        <v>0</v>
      </c>
      <c r="L11" s="149">
        <f>IF(A11=Inputs!$C$44,D11+I10+E11,0)</f>
        <v>0</v>
      </c>
      <c r="M11" s="149">
        <f>IF(A11=Inputs!$C$44,Inputs!$C$42,0)</f>
        <v>0</v>
      </c>
      <c r="N11" s="149">
        <f>IF(A11=Inputs!$C$44,MAX(0,L11-M11),0)</f>
        <v>0</v>
      </c>
      <c r="O11" s="149">
        <f>IF(A11=Inputs!$C$44,MAX(0,M11-L11),0)</f>
        <v>0</v>
      </c>
      <c r="P11" s="163" t="str">
        <f>IF(A11&gt;Inputs!$C$44,"",IF(A11=Inputs!$C$44,"Cerrado por evento",IF(K11&gt;0,"En mora","Vigente al día")))</f>
        <v>Vigente al día</v>
      </c>
      <c r="Q11" s="149">
        <f>IF($A11&gt;Inputs!$C$44,"",IF($A11&lt;=Inputs!$C$43,Inputs!$B$28,0))</f>
        <v>48643.172307692315</v>
      </c>
      <c r="R11" s="149">
        <f>IF($A11&gt;Inputs!$C$44,"",IF($A11&lt;=Inputs!$C$43,Inputs!$B$29,0))</f>
        <v>10984.615384615387</v>
      </c>
      <c r="S11" s="149">
        <f>IF($A11&gt;Inputs!$C$44,"",IF($A11&lt;=Inputs!$C$43,Inputs!$B$30,0))</f>
        <v>3406.3846153846157</v>
      </c>
      <c r="T11" s="149">
        <f>IF($A11&gt;Inputs!$C$44,"",SUM(Q11:S11))</f>
        <v>63034.172307692315</v>
      </c>
      <c r="U11" s="149">
        <f>IF($A11&gt;Inputs!$C$44,"",F11+T11)</f>
        <v>174048.99418446081</v>
      </c>
      <c r="V11" s="149">
        <f>IF($B11="","",IF(OR($B12="",ROUNDUP(($A11+1)/Inputs!$B$14,0)&gt;$B11),SUMIF($B$4:$B11,$B11,Q$4:Q11),0))</f>
        <v>194572.68923076926</v>
      </c>
      <c r="W11" s="149">
        <f>IF($B11="","",IF(OR($B12="",ROUNDUP(($A11+1)/Inputs!$B$14,0)&gt;$B11),SUMIF($B$4:$B11,$B11,R$4:R11),0))</f>
        <v>43938.461538461546</v>
      </c>
      <c r="X11" s="149">
        <f>IF($B11="","",IF(OR($B12="",ROUNDUP(($A11+1)/Inputs!$B$14,0)&gt;$B11),SUMIF($B$4:$B11,$B11,S$4:S11),0))</f>
        <v>13625.538461538463</v>
      </c>
      <c r="Y11" s="143"/>
      <c r="Z11" s="189" t="s">
        <v>125</v>
      </c>
      <c r="AA11" s="194">
        <f>INDEX(N4:N53,Inputs!$C$44)</f>
        <v>1709819.7534167711</v>
      </c>
      <c r="AB11" s="194"/>
      <c r="AC11" s="196" t="s">
        <v>130</v>
      </c>
      <c r="AD11" s="143"/>
      <c r="AE11" s="143"/>
      <c r="AF11" s="143"/>
    </row>
    <row r="12" spans="1:32" ht="18" customHeight="1">
      <c r="A12" s="157">
        <v>9</v>
      </c>
      <c r="B12" s="77">
        <f>IF(A12&gt;Inputs!$C$44,"",ROUNDUP(A12/Inputs!$B$14,0))</f>
        <v>3</v>
      </c>
      <c r="C12" s="160" t="str">
        <f>IF(A12&gt;Inputs!$C$44,"",IF(A12&lt;=Inputs!$C$43,"Pago normal",IF(A12&lt;Inputs!$C$44,"Mora - sin pago","Evento de cierre")))</f>
        <v>Pago normal</v>
      </c>
      <c r="D12" s="149">
        <f>IF(A12&gt;Inputs!$C$44,"",J11)</f>
        <v>5576174.897792221</v>
      </c>
      <c r="E12" s="149">
        <f>IF(A12&gt;Inputs!$C$44,"",D12*Inputs!$B$17)</f>
        <v>67713.142223337039</v>
      </c>
      <c r="F12" s="149">
        <f>IF(A12&gt;Inputs!$C$44,"",IF(A12&lt;=Inputs!$C$43,MIN(Inputs!$B$20,D12+I11+E12),0))</f>
        <v>111014.82187676849</v>
      </c>
      <c r="G12" s="149">
        <f>IF(A12&gt;Inputs!$C$44,"",MIN(F12,I11+E12))</f>
        <v>67713.142223337039</v>
      </c>
      <c r="H12" s="149">
        <f>IF(A12&gt;Inputs!$C$44,"",MIN(MAX(0,F12-G12),D12))</f>
        <v>43301.679653431449</v>
      </c>
      <c r="I12" s="149">
        <f>IF(A12&gt;Inputs!$C$44,"",IF(A12=Inputs!$C$44,0,MAX(0,I11+E12-G12)))</f>
        <v>0</v>
      </c>
      <c r="J12" s="149">
        <f>IF(A12&gt;Inputs!$C$44,"",IF(A12=Inputs!$C$44,0,MAX(0,D12-H12)))</f>
        <v>5532873.2181387898</v>
      </c>
      <c r="K12" s="149">
        <f>IF(A12&gt;Inputs!$C$44,"",IF(A12&lt;=Inputs!$C$43,0,A12-Inputs!$C$43))</f>
        <v>0</v>
      </c>
      <c r="L12" s="149">
        <f>IF(A12=Inputs!$C$44,D12+I11+E12,0)</f>
        <v>0</v>
      </c>
      <c r="M12" s="149">
        <f>IF(A12=Inputs!$C$44,Inputs!$C$42,0)</f>
        <v>0</v>
      </c>
      <c r="N12" s="149">
        <f>IF(A12=Inputs!$C$44,MAX(0,L12-M12),0)</f>
        <v>0</v>
      </c>
      <c r="O12" s="149">
        <f>IF(A12=Inputs!$C$44,MAX(0,M12-L12),0)</f>
        <v>0</v>
      </c>
      <c r="P12" s="163" t="str">
        <f>IF(A12&gt;Inputs!$C$44,"",IF(A12=Inputs!$C$44,"Cerrado por evento",IF(K12&gt;0,"En mora","Vigente al día")))</f>
        <v>Vigente al día</v>
      </c>
      <c r="Q12" s="149">
        <f>IF($A12&gt;Inputs!$C$44,"",IF($A12&lt;=Inputs!$C$43,Inputs!$B$28,0))</f>
        <v>48643.172307692315</v>
      </c>
      <c r="R12" s="149">
        <f>IF($A12&gt;Inputs!$C$44,"",IF($A12&lt;=Inputs!$C$43,Inputs!$B$29,0))</f>
        <v>10984.615384615387</v>
      </c>
      <c r="S12" s="149">
        <f>IF($A12&gt;Inputs!$C$44,"",IF($A12&lt;=Inputs!$C$43,Inputs!$B$30,0))</f>
        <v>3406.3846153846157</v>
      </c>
      <c r="T12" s="149">
        <f>IF($A12&gt;Inputs!$C$44,"",SUM(Q12:S12))</f>
        <v>63034.172307692315</v>
      </c>
      <c r="U12" s="149">
        <f>IF($A12&gt;Inputs!$C$44,"",F12+T12)</f>
        <v>174048.99418446081</v>
      </c>
      <c r="V12" s="149">
        <f>IF($B12="","",IF(OR($B13="",ROUNDUP(($A12+1)/Inputs!$B$14,0)&gt;$B12),SUMIF($B$4:$B12,$B12,Q$4:Q12),0))</f>
        <v>0</v>
      </c>
      <c r="W12" s="149">
        <f>IF($B12="","",IF(OR($B13="",ROUNDUP(($A12+1)/Inputs!$B$14,0)&gt;$B12),SUMIF($B$4:$B12,$B12,R$4:R12),0))</f>
        <v>0</v>
      </c>
      <c r="X12" s="149">
        <f>IF($B12="","",IF(OR($B13="",ROUNDUP(($A12+1)/Inputs!$B$14,0)&gt;$B12),SUMIF($B$4:$B12,$B12,S$4:S12),0))</f>
        <v>0</v>
      </c>
      <c r="Y12" s="143"/>
      <c r="Z12" s="189" t="s">
        <v>104</v>
      </c>
      <c r="AA12" s="194"/>
      <c r="AB12" s="194">
        <f>INDEX(D4:D53,Inputs!$C$44)</f>
        <v>4491646.196595652</v>
      </c>
      <c r="AC12" s="196" t="s">
        <v>131</v>
      </c>
      <c r="AD12" s="143"/>
      <c r="AE12" s="143"/>
      <c r="AF12" s="143"/>
    </row>
    <row r="13" spans="1:32" ht="18" customHeight="1">
      <c r="A13" s="157">
        <v>10</v>
      </c>
      <c r="B13" s="77">
        <f>IF(A13&gt;Inputs!$C$44,"",ROUNDUP(A13/Inputs!$B$14,0))</f>
        <v>3</v>
      </c>
      <c r="C13" s="160" t="str">
        <f>IF(A13&gt;Inputs!$C$44,"",IF(A13&lt;=Inputs!$C$43,"Pago normal",IF(A13&lt;Inputs!$C$44,"Mora - sin pago","Evento de cierre")))</f>
        <v>Pago normal</v>
      </c>
      <c r="D13" s="149">
        <f>IF(A13&gt;Inputs!$C$44,"",J12)</f>
        <v>5532873.2181387898</v>
      </c>
      <c r="E13" s="149">
        <f>IF(A13&gt;Inputs!$C$44,"",D13*Inputs!$B$17)</f>
        <v>67187.317110849428</v>
      </c>
      <c r="F13" s="149">
        <f>IF(A13&gt;Inputs!$C$44,"",IF(A13&lt;=Inputs!$C$43,MIN(Inputs!$B$20,D13+I12+E13),0))</f>
        <v>111014.82187676849</v>
      </c>
      <c r="G13" s="149">
        <f>IF(A13&gt;Inputs!$C$44,"",MIN(F13,I12+E13))</f>
        <v>67187.317110849428</v>
      </c>
      <c r="H13" s="149">
        <f>IF(A13&gt;Inputs!$C$44,"",MIN(MAX(0,F13-G13),D13))</f>
        <v>43827.50476591906</v>
      </c>
      <c r="I13" s="149">
        <f>IF(A13&gt;Inputs!$C$44,"",IF(A13=Inputs!$C$44,0,MAX(0,I12+E13-G13)))</f>
        <v>0</v>
      </c>
      <c r="J13" s="149">
        <f>IF(A13&gt;Inputs!$C$44,"",IF(A13=Inputs!$C$44,0,MAX(0,D13-H13)))</f>
        <v>5489045.7133728703</v>
      </c>
      <c r="K13" s="149">
        <f>IF(A13&gt;Inputs!$C$44,"",IF(A13&lt;=Inputs!$C$43,0,A13-Inputs!$C$43))</f>
        <v>0</v>
      </c>
      <c r="L13" s="149">
        <f>IF(A13=Inputs!$C$44,D13+I12+E13,0)</f>
        <v>0</v>
      </c>
      <c r="M13" s="149">
        <f>IF(A13=Inputs!$C$44,Inputs!$C$42,0)</f>
        <v>0</v>
      </c>
      <c r="N13" s="149">
        <f>IF(A13=Inputs!$C$44,MAX(0,L13-M13),0)</f>
        <v>0</v>
      </c>
      <c r="O13" s="149">
        <f>IF(A13=Inputs!$C$44,MAX(0,M13-L13),0)</f>
        <v>0</v>
      </c>
      <c r="P13" s="163" t="str">
        <f>IF(A13&gt;Inputs!$C$44,"",IF(A13=Inputs!$C$44,"Cerrado por evento",IF(K13&gt;0,"En mora","Vigente al día")))</f>
        <v>Vigente al día</v>
      </c>
      <c r="Q13" s="149">
        <f>IF($A13&gt;Inputs!$C$44,"",IF($A13&lt;=Inputs!$C$43,Inputs!$B$28,0))</f>
        <v>48643.172307692315</v>
      </c>
      <c r="R13" s="149">
        <f>IF($A13&gt;Inputs!$C$44,"",IF($A13&lt;=Inputs!$C$43,Inputs!$B$29,0))</f>
        <v>10984.615384615387</v>
      </c>
      <c r="S13" s="149">
        <f>IF($A13&gt;Inputs!$C$44,"",IF($A13&lt;=Inputs!$C$43,Inputs!$B$30,0))</f>
        <v>3406.3846153846157</v>
      </c>
      <c r="T13" s="149">
        <f>IF($A13&gt;Inputs!$C$44,"",SUM(Q13:S13))</f>
        <v>63034.172307692315</v>
      </c>
      <c r="U13" s="149">
        <f>IF($A13&gt;Inputs!$C$44,"",F13+T13)</f>
        <v>174048.99418446081</v>
      </c>
      <c r="V13" s="149">
        <f>IF($B13="","",IF(OR($B14="",ROUNDUP(($A13+1)/Inputs!$B$14,0)&gt;$B13),SUMIF($B$4:$B13,$B13,Q$4:Q13),0))</f>
        <v>0</v>
      </c>
      <c r="W13" s="149">
        <f>IF($B13="","",IF(OR($B14="",ROUNDUP(($A13+1)/Inputs!$B$14,0)&gt;$B13),SUMIF($B$4:$B13,$B13,R$4:R13),0))</f>
        <v>0</v>
      </c>
      <c r="X13" s="149">
        <f>IF($B13="","",IF(OR($B14="",ROUNDUP(($A13+1)/Inputs!$B$14,0)&gt;$B13),SUMIF($B$4:$B13,$B13,S$4:S13),0))</f>
        <v>0</v>
      </c>
      <c r="Y13" s="143"/>
      <c r="Z13" s="197" t="s">
        <v>132</v>
      </c>
      <c r="AA13" s="198"/>
      <c r="AB13" s="198">
        <f>INDEX(L4:L53,Inputs!$C$44)-INDEX(D4:D53,Inputs!$C$44)</f>
        <v>218173.55682111904</v>
      </c>
      <c r="AC13" s="199" t="s">
        <v>133</v>
      </c>
      <c r="AD13" s="143"/>
      <c r="AE13" s="143"/>
      <c r="AF13" s="143"/>
    </row>
    <row r="14" spans="1:32" ht="18" customHeight="1">
      <c r="A14" s="157">
        <v>11</v>
      </c>
      <c r="B14" s="77">
        <f>IF(A14&gt;Inputs!$C$44,"",ROUNDUP(A14/Inputs!$B$14,0))</f>
        <v>3</v>
      </c>
      <c r="C14" s="160" t="str">
        <f>IF(A14&gt;Inputs!$C$44,"",IF(A14&lt;=Inputs!$C$43,"Pago normal",IF(A14&lt;Inputs!$C$44,"Mora - sin pago","Evento de cierre")))</f>
        <v>Pago normal</v>
      </c>
      <c r="D14" s="149">
        <f>IF(A14&gt;Inputs!$C$44,"",J13)</f>
        <v>5489045.7133728703</v>
      </c>
      <c r="E14" s="149">
        <f>IF(A14&gt;Inputs!$C$44,"",D14*Inputs!$B$17)</f>
        <v>66655.106748386854</v>
      </c>
      <c r="F14" s="149">
        <f>IF(A14&gt;Inputs!$C$44,"",IF(A14&lt;=Inputs!$C$43,MIN(Inputs!$B$20,D14+I13+E14),0))</f>
        <v>111014.82187676849</v>
      </c>
      <c r="G14" s="149">
        <f>IF(A14&gt;Inputs!$C$44,"",MIN(F14,I13+E14))</f>
        <v>66655.106748386854</v>
      </c>
      <c r="H14" s="149">
        <f>IF(A14&gt;Inputs!$C$44,"",MIN(MAX(0,F14-G14),D14))</f>
        <v>44359.715128381635</v>
      </c>
      <c r="I14" s="149">
        <f>IF(A14&gt;Inputs!$C$44,"",IF(A14=Inputs!$C$44,0,MAX(0,I13+E14-G14)))</f>
        <v>0</v>
      </c>
      <c r="J14" s="149">
        <f>IF(A14&gt;Inputs!$C$44,"",IF(A14=Inputs!$C$44,0,MAX(0,D14-H14)))</f>
        <v>5444685.9982444886</v>
      </c>
      <c r="K14" s="149">
        <f>IF(A14&gt;Inputs!$C$44,"",IF(A14&lt;=Inputs!$C$43,0,A14-Inputs!$C$43))</f>
        <v>0</v>
      </c>
      <c r="L14" s="149">
        <f>IF(A14=Inputs!$C$44,D14+I13+E14,0)</f>
        <v>0</v>
      </c>
      <c r="M14" s="149">
        <f>IF(A14=Inputs!$C$44,Inputs!$C$42,0)</f>
        <v>0</v>
      </c>
      <c r="N14" s="149">
        <f>IF(A14=Inputs!$C$44,MAX(0,L14-M14),0)</f>
        <v>0</v>
      </c>
      <c r="O14" s="149">
        <f>IF(A14=Inputs!$C$44,MAX(0,M14-L14),0)</f>
        <v>0</v>
      </c>
      <c r="P14" s="163" t="str">
        <f>IF(A14&gt;Inputs!$C$44,"",IF(A14=Inputs!$C$44,"Cerrado por evento",IF(K14&gt;0,"En mora","Vigente al día")))</f>
        <v>Vigente al día</v>
      </c>
      <c r="Q14" s="149">
        <f>IF($A14&gt;Inputs!$C$44,"",IF($A14&lt;=Inputs!$C$43,Inputs!$B$28,0))</f>
        <v>48643.172307692315</v>
      </c>
      <c r="R14" s="149">
        <f>IF($A14&gt;Inputs!$C$44,"",IF($A14&lt;=Inputs!$C$43,Inputs!$B$29,0))</f>
        <v>10984.615384615387</v>
      </c>
      <c r="S14" s="149">
        <f>IF($A14&gt;Inputs!$C$44,"",IF($A14&lt;=Inputs!$C$43,Inputs!$B$30,0))</f>
        <v>3406.3846153846157</v>
      </c>
      <c r="T14" s="149">
        <f>IF($A14&gt;Inputs!$C$44,"",SUM(Q14:S14))</f>
        <v>63034.172307692315</v>
      </c>
      <c r="U14" s="149">
        <f>IF($A14&gt;Inputs!$C$44,"",F14+T14)</f>
        <v>174048.99418446081</v>
      </c>
      <c r="V14" s="149">
        <f>IF($B14="","",IF(OR($B15="",ROUNDUP(($A14+1)/Inputs!$B$14,0)&gt;$B14),SUMIF($B$4:$B14,$B14,Q$4:Q14),0))</f>
        <v>0</v>
      </c>
      <c r="W14" s="149">
        <f>IF($B14="","",IF(OR($B15="",ROUNDUP(($A14+1)/Inputs!$B$14,0)&gt;$B14),SUMIF($B$4:$B14,$B14,R$4:R14),0))</f>
        <v>0</v>
      </c>
      <c r="X14" s="149">
        <f>IF($B14="","",IF(OR($B15="",ROUNDUP(($A14+1)/Inputs!$B$14,0)&gt;$B14),SUMIF($B$4:$B14,$B14,S$4:S14),0))</f>
        <v>0</v>
      </c>
      <c r="Y14" s="143"/>
      <c r="Z14" s="200" t="s">
        <v>108</v>
      </c>
      <c r="AA14" s="201">
        <f>SUM(AA10:AA13)</f>
        <v>4709819.7534167711</v>
      </c>
      <c r="AB14" s="201">
        <f>SUM(AB10:AB13)</f>
        <v>4709819.7534167711</v>
      </c>
      <c r="AC14" s="178">
        <f>AA14-AB14</f>
        <v>0</v>
      </c>
      <c r="AD14" s="143"/>
      <c r="AE14" s="143"/>
      <c r="AF14" s="143"/>
    </row>
    <row r="15" spans="1:32" ht="18" customHeight="1">
      <c r="A15" s="157">
        <v>12</v>
      </c>
      <c r="B15" s="77">
        <f>IF(A15&gt;Inputs!$C$44,"",ROUNDUP(A15/Inputs!$B$14,0))</f>
        <v>3</v>
      </c>
      <c r="C15" s="160" t="str">
        <f>IF(A15&gt;Inputs!$C$44,"",IF(A15&lt;=Inputs!$C$43,"Pago normal",IF(A15&lt;Inputs!$C$44,"Mora - sin pago","Evento de cierre")))</f>
        <v>Pago normal</v>
      </c>
      <c r="D15" s="149">
        <f>IF(A15&gt;Inputs!$C$44,"",J14)</f>
        <v>5444685.9982444886</v>
      </c>
      <c r="E15" s="149">
        <f>IF(A15&gt;Inputs!$C$44,"",D15*Inputs!$B$17)</f>
        <v>66116.433597968979</v>
      </c>
      <c r="F15" s="149">
        <f>IF(A15&gt;Inputs!$C$44,"",IF(A15&lt;=Inputs!$C$43,MIN(Inputs!$B$20,D15+I14+E15),0))</f>
        <v>111014.82187676849</v>
      </c>
      <c r="G15" s="149">
        <f>IF(A15&gt;Inputs!$C$44,"",MIN(F15,I14+E15))</f>
        <v>66116.433597968979</v>
      </c>
      <c r="H15" s="149">
        <f>IF(A15&gt;Inputs!$C$44,"",MIN(MAX(0,F15-G15),D15))</f>
        <v>44898.38827879951</v>
      </c>
      <c r="I15" s="149">
        <f>IF(A15&gt;Inputs!$C$44,"",IF(A15=Inputs!$C$44,0,MAX(0,I14+E15-G15)))</f>
        <v>0</v>
      </c>
      <c r="J15" s="149">
        <f>IF(A15&gt;Inputs!$C$44,"",IF(A15=Inputs!$C$44,0,MAX(0,D15-H15)))</f>
        <v>5399787.6099656895</v>
      </c>
      <c r="K15" s="149">
        <f>IF(A15&gt;Inputs!$C$44,"",IF(A15&lt;=Inputs!$C$43,0,A15-Inputs!$C$43))</f>
        <v>0</v>
      </c>
      <c r="L15" s="149">
        <f>IF(A15=Inputs!$C$44,D15+I14+E15,0)</f>
        <v>0</v>
      </c>
      <c r="M15" s="149">
        <f>IF(A15=Inputs!$C$44,Inputs!$C$42,0)</f>
        <v>0</v>
      </c>
      <c r="N15" s="149">
        <f>IF(A15=Inputs!$C$44,MAX(0,L15-M15),0)</f>
        <v>0</v>
      </c>
      <c r="O15" s="149">
        <f>IF(A15=Inputs!$C$44,MAX(0,M15-L15),0)</f>
        <v>0</v>
      </c>
      <c r="P15" s="163" t="str">
        <f>IF(A15&gt;Inputs!$C$44,"",IF(A15=Inputs!$C$44,"Cerrado por evento",IF(K15&gt;0,"En mora","Vigente al día")))</f>
        <v>Vigente al día</v>
      </c>
      <c r="Q15" s="149">
        <f>IF($A15&gt;Inputs!$C$44,"",IF($A15&lt;=Inputs!$C$43,Inputs!$B$28,0))</f>
        <v>48643.172307692315</v>
      </c>
      <c r="R15" s="149">
        <f>IF($A15&gt;Inputs!$C$44,"",IF($A15&lt;=Inputs!$C$43,Inputs!$B$29,0))</f>
        <v>10984.615384615387</v>
      </c>
      <c r="S15" s="149">
        <f>IF($A15&gt;Inputs!$C$44,"",IF($A15&lt;=Inputs!$C$43,Inputs!$B$30,0))</f>
        <v>3406.3846153846157</v>
      </c>
      <c r="T15" s="149">
        <f>IF($A15&gt;Inputs!$C$44,"",SUM(Q15:S15))</f>
        <v>63034.172307692315</v>
      </c>
      <c r="U15" s="149">
        <f>IF($A15&gt;Inputs!$C$44,"",F15+T15)</f>
        <v>174048.99418446081</v>
      </c>
      <c r="V15" s="149">
        <f>IF($B15="","",IF(OR($B16="",ROUNDUP(($A15+1)/Inputs!$B$14,0)&gt;$B15),SUMIF($B$4:$B15,$B15,Q$4:Q15),0))</f>
        <v>0</v>
      </c>
      <c r="W15" s="149">
        <f>IF($B15="","",IF(OR($B16="",ROUNDUP(($A15+1)/Inputs!$B$14,0)&gt;$B15),SUMIF($B$4:$B15,$B15,R$4:R15),0))</f>
        <v>0</v>
      </c>
      <c r="X15" s="149">
        <f>IF($B15="","",IF(OR($B16="",ROUNDUP(($A15+1)/Inputs!$B$14,0)&gt;$B15),SUMIF($B$4:$B15,$B15,S$4:S15),0))</f>
        <v>0</v>
      </c>
      <c r="Y15" s="143"/>
      <c r="Z15" s="143"/>
      <c r="AA15" s="143"/>
      <c r="AB15" s="143"/>
      <c r="AC15" s="143"/>
      <c r="AD15" s="143"/>
      <c r="AE15" s="143"/>
      <c r="AF15" s="143"/>
    </row>
    <row r="16" spans="1:32" ht="18" customHeight="1">
      <c r="A16" s="157">
        <v>13</v>
      </c>
      <c r="B16" s="77">
        <f>IF(A16&gt;Inputs!$C$44,"",ROUNDUP(A16/Inputs!$B$14,0))</f>
        <v>3</v>
      </c>
      <c r="C16" s="160" t="str">
        <f>IF(A16&gt;Inputs!$C$44,"",IF(A16&lt;=Inputs!$C$43,"Pago normal",IF(A16&lt;Inputs!$C$44,"Mora - sin pago","Evento de cierre")))</f>
        <v>Pago normal</v>
      </c>
      <c r="D16" s="149">
        <f>IF(A16&gt;Inputs!$C$44,"",J15)</f>
        <v>5399787.6099656895</v>
      </c>
      <c r="E16" s="149">
        <f>IF(A16&gt;Inputs!$C$44,"",D16*Inputs!$B$17)</f>
        <v>65571.219180048793</v>
      </c>
      <c r="F16" s="149">
        <f>IF(A16&gt;Inputs!$C$44,"",IF(A16&lt;=Inputs!$C$43,MIN(Inputs!$B$20,D16+I15+E16),0))</f>
        <v>111014.82187676849</v>
      </c>
      <c r="G16" s="149">
        <f>IF(A16&gt;Inputs!$C$44,"",MIN(F16,I15+E16))</f>
        <v>65571.219180048793</v>
      </c>
      <c r="H16" s="149">
        <f>IF(A16&gt;Inputs!$C$44,"",MIN(MAX(0,F16-G16),D16))</f>
        <v>45443.602696719696</v>
      </c>
      <c r="I16" s="149">
        <f>IF(A16&gt;Inputs!$C$44,"",IF(A16=Inputs!$C$44,0,MAX(0,I15+E16-G16)))</f>
        <v>0</v>
      </c>
      <c r="J16" s="149">
        <f>IF(A16&gt;Inputs!$C$44,"",IF(A16=Inputs!$C$44,0,MAX(0,D16-H16)))</f>
        <v>5354344.0072689699</v>
      </c>
      <c r="K16" s="149">
        <f>IF(A16&gt;Inputs!$C$44,"",IF(A16&lt;=Inputs!$C$43,0,A16-Inputs!$C$43))</f>
        <v>0</v>
      </c>
      <c r="L16" s="149">
        <f>IF(A16=Inputs!$C$44,D16+I15+E16,0)</f>
        <v>0</v>
      </c>
      <c r="M16" s="149">
        <f>IF(A16=Inputs!$C$44,Inputs!$C$42,0)</f>
        <v>0</v>
      </c>
      <c r="N16" s="149">
        <f>IF(A16=Inputs!$C$44,MAX(0,L16-M16),0)</f>
        <v>0</v>
      </c>
      <c r="O16" s="149">
        <f>IF(A16=Inputs!$C$44,MAX(0,M16-L16),0)</f>
        <v>0</v>
      </c>
      <c r="P16" s="163" t="str">
        <f>IF(A16&gt;Inputs!$C$44,"",IF(A16=Inputs!$C$44,"Cerrado por evento",IF(K16&gt;0,"En mora","Vigente al día")))</f>
        <v>Vigente al día</v>
      </c>
      <c r="Q16" s="149">
        <f>IF($A16&gt;Inputs!$C$44,"",IF($A16&lt;=Inputs!$C$43,Inputs!$B$28,0))</f>
        <v>48643.172307692315</v>
      </c>
      <c r="R16" s="149">
        <f>IF($A16&gt;Inputs!$C$44,"",IF($A16&lt;=Inputs!$C$43,Inputs!$B$29,0))</f>
        <v>10984.615384615387</v>
      </c>
      <c r="S16" s="149">
        <f>IF($A16&gt;Inputs!$C$44,"",IF($A16&lt;=Inputs!$C$43,Inputs!$B$30,0))</f>
        <v>3406.3846153846157</v>
      </c>
      <c r="T16" s="149">
        <f>IF($A16&gt;Inputs!$C$44,"",SUM(Q16:S16))</f>
        <v>63034.172307692315</v>
      </c>
      <c r="U16" s="149">
        <f>IF($A16&gt;Inputs!$C$44,"",F16+T16)</f>
        <v>174048.99418446081</v>
      </c>
      <c r="V16" s="149">
        <f>IF($B16="","",IF(OR($B17="",ROUNDUP(($A16+1)/Inputs!$B$14,0)&gt;$B16),SUMIF($B$4:$B16,$B16,Q$4:Q16),0))</f>
        <v>243215.86153846158</v>
      </c>
      <c r="W16" s="149">
        <f>IF($B16="","",IF(OR($B17="",ROUNDUP(($A16+1)/Inputs!$B$14,0)&gt;$B16),SUMIF($B$4:$B16,$B16,R$4:R16),0))</f>
        <v>54923.076923076937</v>
      </c>
      <c r="X16" s="149">
        <f>IF($B16="","",IF(OR($B17="",ROUNDUP(($A16+1)/Inputs!$B$14,0)&gt;$B16),SUMIF($B$4:$B16,$B16,S$4:S16),0))</f>
        <v>17031.923076923078</v>
      </c>
      <c r="Y16" s="143"/>
      <c r="Z16" s="143"/>
      <c r="AA16" s="143"/>
      <c r="AB16" s="143"/>
      <c r="AC16" s="143"/>
      <c r="AD16" s="143"/>
      <c r="AE16" s="143"/>
      <c r="AF16" s="143"/>
    </row>
    <row r="17" spans="1:32" ht="18" customHeight="1">
      <c r="A17" s="157">
        <v>14</v>
      </c>
      <c r="B17" s="77">
        <f>IF(A17&gt;Inputs!$C$44,"",ROUNDUP(A17/Inputs!$B$14,0))</f>
        <v>4</v>
      </c>
      <c r="C17" s="160" t="str">
        <f>IF(A17&gt;Inputs!$C$44,"",IF(A17&lt;=Inputs!$C$43,"Pago normal",IF(A17&lt;Inputs!$C$44,"Mora - sin pago","Evento de cierre")))</f>
        <v>Pago normal</v>
      </c>
      <c r="D17" s="149">
        <f>IF(A17&gt;Inputs!$C$44,"",J16)</f>
        <v>5354344.0072689699</v>
      </c>
      <c r="E17" s="149">
        <f>IF(A17&gt;Inputs!$C$44,"",D17*Inputs!$B$17)</f>
        <v>65019.384062078927</v>
      </c>
      <c r="F17" s="149">
        <f>IF(A17&gt;Inputs!$C$44,"",IF(A17&lt;=Inputs!$C$43,MIN(Inputs!$B$20,D17+I16+E17),0))</f>
        <v>111014.82187676849</v>
      </c>
      <c r="G17" s="149">
        <f>IF(A17&gt;Inputs!$C$44,"",MIN(F17,I16+E17))</f>
        <v>65019.384062078927</v>
      </c>
      <c r="H17" s="149">
        <f>IF(A17&gt;Inputs!$C$44,"",MIN(MAX(0,F17-G17),D17))</f>
        <v>45995.437814689561</v>
      </c>
      <c r="I17" s="149">
        <f>IF(A17&gt;Inputs!$C$44,"",IF(A17=Inputs!$C$44,0,MAX(0,I16+E17-G17)))</f>
        <v>0</v>
      </c>
      <c r="J17" s="149">
        <f>IF(A17&gt;Inputs!$C$44,"",IF(A17=Inputs!$C$44,0,MAX(0,D17-H17)))</f>
        <v>5308348.5694542807</v>
      </c>
      <c r="K17" s="149">
        <f>IF(A17&gt;Inputs!$C$44,"",IF(A17&lt;=Inputs!$C$43,0,A17-Inputs!$C$43))</f>
        <v>0</v>
      </c>
      <c r="L17" s="149">
        <f>IF(A17=Inputs!$C$44,D17+I16+E17,0)</f>
        <v>0</v>
      </c>
      <c r="M17" s="149">
        <f>IF(A17=Inputs!$C$44,Inputs!$C$42,0)</f>
        <v>0</v>
      </c>
      <c r="N17" s="149">
        <f>IF(A17=Inputs!$C$44,MAX(0,L17-M17),0)</f>
        <v>0</v>
      </c>
      <c r="O17" s="149">
        <f>IF(A17=Inputs!$C$44,MAX(0,M17-L17),0)</f>
        <v>0</v>
      </c>
      <c r="P17" s="163" t="str">
        <f>IF(A17&gt;Inputs!$C$44,"",IF(A17=Inputs!$C$44,"Cerrado por evento",IF(K17&gt;0,"En mora","Vigente al día")))</f>
        <v>Vigente al día</v>
      </c>
      <c r="Q17" s="149">
        <f>IF($A17&gt;Inputs!$C$44,"",IF($A17&lt;=Inputs!$C$43,Inputs!$B$28,0))</f>
        <v>48643.172307692315</v>
      </c>
      <c r="R17" s="149">
        <f>IF($A17&gt;Inputs!$C$44,"",IF($A17&lt;=Inputs!$C$43,Inputs!$B$29,0))</f>
        <v>10984.615384615387</v>
      </c>
      <c r="S17" s="149">
        <f>IF($A17&gt;Inputs!$C$44,"",IF($A17&lt;=Inputs!$C$43,Inputs!$B$30,0))</f>
        <v>3406.3846153846157</v>
      </c>
      <c r="T17" s="149">
        <f>IF($A17&gt;Inputs!$C$44,"",SUM(Q17:S17))</f>
        <v>63034.172307692315</v>
      </c>
      <c r="U17" s="149">
        <f>IF($A17&gt;Inputs!$C$44,"",F17+T17)</f>
        <v>174048.99418446081</v>
      </c>
      <c r="V17" s="149">
        <f>IF($B17="","",IF(OR($B18="",ROUNDUP(($A17+1)/Inputs!$B$14,0)&gt;$B17),SUMIF($B$4:$B17,$B17,Q$4:Q17),0))</f>
        <v>0</v>
      </c>
      <c r="W17" s="149">
        <f>IF($B17="","",IF(OR($B18="",ROUNDUP(($A17+1)/Inputs!$B$14,0)&gt;$B17),SUMIF($B$4:$B17,$B17,R$4:R17),0))</f>
        <v>0</v>
      </c>
      <c r="X17" s="149">
        <f>IF($B17="","",IF(OR($B18="",ROUNDUP(($A17+1)/Inputs!$B$14,0)&gt;$B17),SUMIF($B$4:$B17,$B17,S$4:S17),0))</f>
        <v>0</v>
      </c>
      <c r="Y17" s="143"/>
      <c r="Z17" s="202" t="s">
        <v>337</v>
      </c>
      <c r="AA17" s="143"/>
      <c r="AB17" s="143"/>
      <c r="AC17" s="143"/>
      <c r="AD17" s="143"/>
      <c r="AE17" s="143"/>
      <c r="AF17" s="143"/>
    </row>
    <row r="18" spans="1:32" ht="18" customHeight="1">
      <c r="A18" s="157">
        <v>15</v>
      </c>
      <c r="B18" s="77">
        <f>IF(A18&gt;Inputs!$C$44,"",ROUNDUP(A18/Inputs!$B$14,0))</f>
        <v>4</v>
      </c>
      <c r="C18" s="160" t="str">
        <f>IF(A18&gt;Inputs!$C$44,"",IF(A18&lt;=Inputs!$C$43,"Pago normal",IF(A18&lt;Inputs!$C$44,"Mora - sin pago","Evento de cierre")))</f>
        <v>Pago normal</v>
      </c>
      <c r="D18" s="149">
        <f>IF(A18&gt;Inputs!$C$44,"",J17)</f>
        <v>5308348.5694542807</v>
      </c>
      <c r="E18" s="149">
        <f>IF(A18&gt;Inputs!$C$44,"",D18*Inputs!$B$17)</f>
        <v>64460.847846939076</v>
      </c>
      <c r="F18" s="149">
        <f>IF(A18&gt;Inputs!$C$44,"",IF(A18&lt;=Inputs!$C$43,MIN(Inputs!$B$20,D18+I17+E18),0))</f>
        <v>111014.82187676849</v>
      </c>
      <c r="G18" s="149">
        <f>IF(A18&gt;Inputs!$C$44,"",MIN(F18,I17+E18))</f>
        <v>64460.847846939076</v>
      </c>
      <c r="H18" s="149">
        <f>IF(A18&gt;Inputs!$C$44,"",MIN(MAX(0,F18-G18),D18))</f>
        <v>46553.974029829413</v>
      </c>
      <c r="I18" s="149">
        <f>IF(A18&gt;Inputs!$C$44,"",IF(A18=Inputs!$C$44,0,MAX(0,I17+E18-G18)))</f>
        <v>0</v>
      </c>
      <c r="J18" s="149">
        <f>IF(A18&gt;Inputs!$C$44,"",IF(A18=Inputs!$C$44,0,MAX(0,D18-H18)))</f>
        <v>5261794.5954244509</v>
      </c>
      <c r="K18" s="149">
        <f>IF(A18&gt;Inputs!$C$44,"",IF(A18&lt;=Inputs!$C$43,0,A18-Inputs!$C$43))</f>
        <v>0</v>
      </c>
      <c r="L18" s="149">
        <f>IF(A18=Inputs!$C$44,D18+I17+E18,0)</f>
        <v>0</v>
      </c>
      <c r="M18" s="149">
        <f>IF(A18=Inputs!$C$44,Inputs!$C$42,0)</f>
        <v>0</v>
      </c>
      <c r="N18" s="149">
        <f>IF(A18=Inputs!$C$44,MAX(0,L18-M18),0)</f>
        <v>0</v>
      </c>
      <c r="O18" s="149">
        <f>IF(A18=Inputs!$C$44,MAX(0,M18-L18),0)</f>
        <v>0</v>
      </c>
      <c r="P18" s="163" t="str">
        <f>IF(A18&gt;Inputs!$C$44,"",IF(A18=Inputs!$C$44,"Cerrado por evento",IF(K18&gt;0,"En mora","Vigente al día")))</f>
        <v>Vigente al día</v>
      </c>
      <c r="Q18" s="149">
        <f>IF($A18&gt;Inputs!$C$44,"",IF($A18&lt;=Inputs!$C$43,Inputs!$B$28,0))</f>
        <v>48643.172307692315</v>
      </c>
      <c r="R18" s="149">
        <f>IF($A18&gt;Inputs!$C$44,"",IF($A18&lt;=Inputs!$C$43,Inputs!$B$29,0))</f>
        <v>10984.615384615387</v>
      </c>
      <c r="S18" s="149">
        <f>IF($A18&gt;Inputs!$C$44,"",IF($A18&lt;=Inputs!$C$43,Inputs!$B$30,0))</f>
        <v>3406.3846153846157</v>
      </c>
      <c r="T18" s="149">
        <f>IF($A18&gt;Inputs!$C$44,"",SUM(Q18:S18))</f>
        <v>63034.172307692315</v>
      </c>
      <c r="U18" s="149">
        <f>IF($A18&gt;Inputs!$C$44,"",F18+T18)</f>
        <v>174048.99418446081</v>
      </c>
      <c r="V18" s="149">
        <f>IF($B18="","",IF(OR($B19="",ROUNDUP(($A18+1)/Inputs!$B$14,0)&gt;$B18),SUMIF($B$4:$B18,$B18,Q$4:Q18),0))</f>
        <v>0</v>
      </c>
      <c r="W18" s="149">
        <f>IF($B18="","",IF(OR($B19="",ROUNDUP(($A18+1)/Inputs!$B$14,0)&gt;$B18),SUMIF($B$4:$B18,$B18,R$4:R18),0))</f>
        <v>0</v>
      </c>
      <c r="X18" s="149">
        <f>IF($B18="","",IF(OR($B19="",ROUNDUP(($A18+1)/Inputs!$B$14,0)&gt;$B18),SUMIF($B$4:$B18,$B18,S$4:S18),0))</f>
        <v>0</v>
      </c>
      <c r="Y18" s="143"/>
      <c r="Z18" s="202" t="s">
        <v>338</v>
      </c>
      <c r="AA18" s="143"/>
      <c r="AB18" s="143"/>
      <c r="AC18" s="143"/>
      <c r="AD18" s="143"/>
      <c r="AE18" s="143"/>
      <c r="AF18" s="143"/>
    </row>
    <row r="19" spans="1:32" ht="18" customHeight="1">
      <c r="A19" s="157">
        <v>16</v>
      </c>
      <c r="B19" s="77">
        <f>IF(A19&gt;Inputs!$C$44,"",ROUNDUP(A19/Inputs!$B$14,0))</f>
        <v>4</v>
      </c>
      <c r="C19" s="160" t="str">
        <f>IF(A19&gt;Inputs!$C$44,"",IF(A19&lt;=Inputs!$C$43,"Pago normal",IF(A19&lt;Inputs!$C$44,"Mora - sin pago","Evento de cierre")))</f>
        <v>Pago normal</v>
      </c>
      <c r="D19" s="149">
        <f>IF(A19&gt;Inputs!$C$44,"",J18)</f>
        <v>5261794.5954244509</v>
      </c>
      <c r="E19" s="149">
        <f>IF(A19&gt;Inputs!$C$44,"",D19*Inputs!$B$17)</f>
        <v>63895.529161222905</v>
      </c>
      <c r="F19" s="149">
        <f>IF(A19&gt;Inputs!$C$44,"",IF(A19&lt;=Inputs!$C$43,MIN(Inputs!$B$20,D19+I18+E19),0))</f>
        <v>111014.82187676849</v>
      </c>
      <c r="G19" s="149">
        <f>IF(A19&gt;Inputs!$C$44,"",MIN(F19,I18+E19))</f>
        <v>63895.529161222905</v>
      </c>
      <c r="H19" s="149">
        <f>IF(A19&gt;Inputs!$C$44,"",MIN(MAX(0,F19-G19),D19))</f>
        <v>47119.292715545584</v>
      </c>
      <c r="I19" s="149">
        <f>IF(A19&gt;Inputs!$C$44,"",IF(A19=Inputs!$C$44,0,MAX(0,I18+E19-G19)))</f>
        <v>0</v>
      </c>
      <c r="J19" s="149">
        <f>IF(A19&gt;Inputs!$C$44,"",IF(A19=Inputs!$C$44,0,MAX(0,D19-H19)))</f>
        <v>5214675.3027089052</v>
      </c>
      <c r="K19" s="149">
        <f>IF(A19&gt;Inputs!$C$44,"",IF(A19&lt;=Inputs!$C$43,0,A19-Inputs!$C$43))</f>
        <v>0</v>
      </c>
      <c r="L19" s="149">
        <f>IF(A19=Inputs!$C$44,D19+I18+E19,0)</f>
        <v>0</v>
      </c>
      <c r="M19" s="149">
        <f>IF(A19=Inputs!$C$44,Inputs!$C$42,0)</f>
        <v>0</v>
      </c>
      <c r="N19" s="149">
        <f>IF(A19=Inputs!$C$44,MAX(0,L19-M19),0)</f>
        <v>0</v>
      </c>
      <c r="O19" s="149">
        <f>IF(A19=Inputs!$C$44,MAX(0,M19-L19),0)</f>
        <v>0</v>
      </c>
      <c r="P19" s="163" t="str">
        <f>IF(A19&gt;Inputs!$C$44,"",IF(A19=Inputs!$C$44,"Cerrado por evento",IF(K19&gt;0,"En mora","Vigente al día")))</f>
        <v>Vigente al día</v>
      </c>
      <c r="Q19" s="149">
        <f>IF($A19&gt;Inputs!$C$44,"",IF($A19&lt;=Inputs!$C$43,Inputs!$B$28,0))</f>
        <v>48643.172307692315</v>
      </c>
      <c r="R19" s="149">
        <f>IF($A19&gt;Inputs!$C$44,"",IF($A19&lt;=Inputs!$C$43,Inputs!$B$29,0))</f>
        <v>10984.615384615387</v>
      </c>
      <c r="S19" s="149">
        <f>IF($A19&gt;Inputs!$C$44,"",IF($A19&lt;=Inputs!$C$43,Inputs!$B$30,0))</f>
        <v>3406.3846153846157</v>
      </c>
      <c r="T19" s="149">
        <f>IF($A19&gt;Inputs!$C$44,"",SUM(Q19:S19))</f>
        <v>63034.172307692315</v>
      </c>
      <c r="U19" s="149">
        <f>IF($A19&gt;Inputs!$C$44,"",F19+T19)</f>
        <v>174048.99418446081</v>
      </c>
      <c r="V19" s="149">
        <f>IF($B19="","",IF(OR($B20="",ROUNDUP(($A19+1)/Inputs!$B$14,0)&gt;$B19),SUMIF($B$4:$B19,$B19,Q$4:Q19),0))</f>
        <v>0</v>
      </c>
      <c r="W19" s="149">
        <f>IF($B19="","",IF(OR($B20="",ROUNDUP(($A19+1)/Inputs!$B$14,0)&gt;$B19),SUMIF($B$4:$B19,$B19,R$4:R19),0))</f>
        <v>0</v>
      </c>
      <c r="X19" s="149">
        <f>IF($B19="","",IF(OR($B20="",ROUNDUP(($A19+1)/Inputs!$B$14,0)&gt;$B19),SUMIF($B$4:$B19,$B19,S$4:S19),0))</f>
        <v>0</v>
      </c>
      <c r="Y19" s="143"/>
      <c r="Z19" s="143"/>
      <c r="AA19" s="143"/>
      <c r="AB19" s="143"/>
      <c r="AC19" s="143"/>
      <c r="AD19" s="143"/>
      <c r="AE19" s="143"/>
      <c r="AF19" s="143"/>
    </row>
    <row r="20" spans="1:32" ht="18" customHeight="1">
      <c r="A20" s="157">
        <v>17</v>
      </c>
      <c r="B20" s="77">
        <f>IF(A20&gt;Inputs!$C$44,"",ROUNDUP(A20/Inputs!$B$14,0))</f>
        <v>4</v>
      </c>
      <c r="C20" s="160" t="str">
        <f>IF(A20&gt;Inputs!$C$44,"",IF(A20&lt;=Inputs!$C$43,"Pago normal",IF(A20&lt;Inputs!$C$44,"Mora - sin pago","Evento de cierre")))</f>
        <v>Pago normal</v>
      </c>
      <c r="D20" s="149">
        <f>IF(A20&gt;Inputs!$C$44,"",J19)</f>
        <v>5214675.3027089052</v>
      </c>
      <c r="E20" s="149">
        <f>IF(A20&gt;Inputs!$C$44,"",D20*Inputs!$B$17)</f>
        <v>63323.345643382738</v>
      </c>
      <c r="F20" s="149">
        <f>IF(A20&gt;Inputs!$C$44,"",IF(A20&lt;=Inputs!$C$43,MIN(Inputs!$B$20,D20+I19+E20),0))</f>
        <v>111014.82187676849</v>
      </c>
      <c r="G20" s="149">
        <f>IF(A20&gt;Inputs!$C$44,"",MIN(F20,I19+E20))</f>
        <v>63323.345643382738</v>
      </c>
      <c r="H20" s="149">
        <f>IF(A20&gt;Inputs!$C$44,"",MIN(MAX(0,F20-G20),D20))</f>
        <v>47691.476233385751</v>
      </c>
      <c r="I20" s="149">
        <f>IF(A20&gt;Inputs!$C$44,"",IF(A20=Inputs!$C$44,0,MAX(0,I19+E20-G20)))</f>
        <v>0</v>
      </c>
      <c r="J20" s="149">
        <f>IF(A20&gt;Inputs!$C$44,"",IF(A20=Inputs!$C$44,0,MAX(0,D20-H20)))</f>
        <v>5166983.8264755197</v>
      </c>
      <c r="K20" s="149">
        <f>IF(A20&gt;Inputs!$C$44,"",IF(A20&lt;=Inputs!$C$43,0,A20-Inputs!$C$43))</f>
        <v>0</v>
      </c>
      <c r="L20" s="149">
        <f>IF(A20=Inputs!$C$44,D20+I19+E20,0)</f>
        <v>0</v>
      </c>
      <c r="M20" s="149">
        <f>IF(A20=Inputs!$C$44,Inputs!$C$42,0)</f>
        <v>0</v>
      </c>
      <c r="N20" s="149">
        <f>IF(A20=Inputs!$C$44,MAX(0,L20-M20),0)</f>
        <v>0</v>
      </c>
      <c r="O20" s="149">
        <f>IF(A20=Inputs!$C$44,MAX(0,M20-L20),0)</f>
        <v>0</v>
      </c>
      <c r="P20" s="163" t="str">
        <f>IF(A20&gt;Inputs!$C$44,"",IF(A20=Inputs!$C$44,"Cerrado por evento",IF(K20&gt;0,"En mora","Vigente al día")))</f>
        <v>Vigente al día</v>
      </c>
      <c r="Q20" s="149">
        <f>IF($A20&gt;Inputs!$C$44,"",IF($A20&lt;=Inputs!$C$43,Inputs!$B$28,0))</f>
        <v>48643.172307692315</v>
      </c>
      <c r="R20" s="149">
        <f>IF($A20&gt;Inputs!$C$44,"",IF($A20&lt;=Inputs!$C$43,Inputs!$B$29,0))</f>
        <v>10984.615384615387</v>
      </c>
      <c r="S20" s="149">
        <f>IF($A20&gt;Inputs!$C$44,"",IF($A20&lt;=Inputs!$C$43,Inputs!$B$30,0))</f>
        <v>3406.3846153846157</v>
      </c>
      <c r="T20" s="149">
        <f>IF($A20&gt;Inputs!$C$44,"",SUM(Q20:S20))</f>
        <v>63034.172307692315</v>
      </c>
      <c r="U20" s="149">
        <f>IF($A20&gt;Inputs!$C$44,"",F20+T20)</f>
        <v>174048.99418446081</v>
      </c>
      <c r="V20" s="149">
        <f>IF($B20="","",IF(OR($B21="",ROUNDUP(($A20+1)/Inputs!$B$14,0)&gt;$B20),SUMIF($B$4:$B20,$B20,Q$4:Q20),0))</f>
        <v>194572.68923076926</v>
      </c>
      <c r="W20" s="149">
        <f>IF($B20="","",IF(OR($B21="",ROUNDUP(($A20+1)/Inputs!$B$14,0)&gt;$B20),SUMIF($B$4:$B20,$B20,R$4:R20),0))</f>
        <v>43938.461538461546</v>
      </c>
      <c r="X20" s="149">
        <f>IF($B20="","",IF(OR($B21="",ROUNDUP(($A20+1)/Inputs!$B$14,0)&gt;$B20),SUMIF($B$4:$B20,$B20,S$4:S20),0))</f>
        <v>13625.538461538463</v>
      </c>
      <c r="Y20" s="143"/>
      <c r="Z20" s="143"/>
      <c r="AA20" s="143"/>
      <c r="AB20" s="143"/>
      <c r="AC20" s="143"/>
      <c r="AD20" s="143"/>
      <c r="AE20" s="143"/>
      <c r="AF20" s="143"/>
    </row>
    <row r="21" spans="1:32" ht="18" customHeight="1">
      <c r="A21" s="157">
        <v>18</v>
      </c>
      <c r="B21" s="77">
        <f>IF(A21&gt;Inputs!$C$44,"",ROUNDUP(A21/Inputs!$B$14,0))</f>
        <v>5</v>
      </c>
      <c r="C21" s="160" t="str">
        <f>IF(A21&gt;Inputs!$C$44,"",IF(A21&lt;=Inputs!$C$43,"Pago normal",IF(A21&lt;Inputs!$C$44,"Mora - sin pago","Evento de cierre")))</f>
        <v>Pago normal</v>
      </c>
      <c r="D21" s="149">
        <f>IF(A21&gt;Inputs!$C$44,"",J20)</f>
        <v>5166983.8264755197</v>
      </c>
      <c r="E21" s="149">
        <f>IF(A21&gt;Inputs!$C$44,"",D21*Inputs!$B$17)</f>
        <v>62744.213931730235</v>
      </c>
      <c r="F21" s="149">
        <f>IF(A21&gt;Inputs!$C$44,"",IF(A21&lt;=Inputs!$C$43,MIN(Inputs!$B$20,D21+I20+E21),0))</f>
        <v>111014.82187676849</v>
      </c>
      <c r="G21" s="149">
        <f>IF(A21&gt;Inputs!$C$44,"",MIN(F21,I20+E21))</f>
        <v>62744.213931730235</v>
      </c>
      <c r="H21" s="149">
        <f>IF(A21&gt;Inputs!$C$44,"",MIN(MAX(0,F21-G21),D21))</f>
        <v>48270.607945038253</v>
      </c>
      <c r="I21" s="149">
        <f>IF(A21&gt;Inputs!$C$44,"",IF(A21=Inputs!$C$44,0,MAX(0,I20+E21-G21)))</f>
        <v>0</v>
      </c>
      <c r="J21" s="149">
        <f>IF(A21&gt;Inputs!$C$44,"",IF(A21=Inputs!$C$44,0,MAX(0,D21-H21)))</f>
        <v>5118713.2185304817</v>
      </c>
      <c r="K21" s="149">
        <f>IF(A21&gt;Inputs!$C$44,"",IF(A21&lt;=Inputs!$C$43,0,A21-Inputs!$C$43))</f>
        <v>0</v>
      </c>
      <c r="L21" s="149">
        <f>IF(A21=Inputs!$C$44,D21+I20+E21,0)</f>
        <v>0</v>
      </c>
      <c r="M21" s="149">
        <f>IF(A21=Inputs!$C$44,Inputs!$C$42,0)</f>
        <v>0</v>
      </c>
      <c r="N21" s="149">
        <f>IF(A21=Inputs!$C$44,MAX(0,L21-M21),0)</f>
        <v>0</v>
      </c>
      <c r="O21" s="149">
        <f>IF(A21=Inputs!$C$44,MAX(0,M21-L21),0)</f>
        <v>0</v>
      </c>
      <c r="P21" s="163" t="str">
        <f>IF(A21&gt;Inputs!$C$44,"",IF(A21=Inputs!$C$44,"Cerrado por evento",IF(K21&gt;0,"En mora","Vigente al día")))</f>
        <v>Vigente al día</v>
      </c>
      <c r="Q21" s="149">
        <f>IF($A21&gt;Inputs!$C$44,"",IF($A21&lt;=Inputs!$C$43,Inputs!$B$28,0))</f>
        <v>48643.172307692315</v>
      </c>
      <c r="R21" s="149">
        <f>IF($A21&gt;Inputs!$C$44,"",IF($A21&lt;=Inputs!$C$43,Inputs!$B$29,0))</f>
        <v>10984.615384615387</v>
      </c>
      <c r="S21" s="149">
        <f>IF($A21&gt;Inputs!$C$44,"",IF($A21&lt;=Inputs!$C$43,Inputs!$B$30,0))</f>
        <v>3406.3846153846157</v>
      </c>
      <c r="T21" s="149">
        <f>IF($A21&gt;Inputs!$C$44,"",SUM(Q21:S21))</f>
        <v>63034.172307692315</v>
      </c>
      <c r="U21" s="149">
        <f>IF($A21&gt;Inputs!$C$44,"",F21+T21)</f>
        <v>174048.99418446081</v>
      </c>
      <c r="V21" s="149">
        <f>IF($B21="","",IF(OR($B22="",ROUNDUP(($A21+1)/Inputs!$B$14,0)&gt;$B21),SUMIF($B$4:$B21,$B21,Q$4:Q21),0))</f>
        <v>0</v>
      </c>
      <c r="W21" s="149">
        <f>IF($B21="","",IF(OR($B22="",ROUNDUP(($A21+1)/Inputs!$B$14,0)&gt;$B21),SUMIF($B$4:$B21,$B21,R$4:R21),0))</f>
        <v>0</v>
      </c>
      <c r="X21" s="149">
        <f>IF($B21="","",IF(OR($B22="",ROUNDUP(($A21+1)/Inputs!$B$14,0)&gt;$B21),SUMIF($B$4:$B21,$B21,S$4:S21),0))</f>
        <v>0</v>
      </c>
      <c r="Y21" s="143"/>
      <c r="Z21" s="143"/>
      <c r="AA21" s="143"/>
      <c r="AB21" s="143"/>
      <c r="AC21" s="143"/>
      <c r="AD21" s="143"/>
      <c r="AE21" s="143"/>
      <c r="AF21" s="143"/>
    </row>
    <row r="22" spans="1:32" ht="18" customHeight="1">
      <c r="A22" s="157">
        <v>19</v>
      </c>
      <c r="B22" s="77">
        <f>IF(A22&gt;Inputs!$C$44,"",ROUNDUP(A22/Inputs!$B$14,0))</f>
        <v>5</v>
      </c>
      <c r="C22" s="160" t="str">
        <f>IF(A22&gt;Inputs!$C$44,"",IF(A22&lt;=Inputs!$C$43,"Pago normal",IF(A22&lt;Inputs!$C$44,"Mora - sin pago","Evento de cierre")))</f>
        <v>Pago normal</v>
      </c>
      <c r="D22" s="149">
        <f>IF(A22&gt;Inputs!$C$44,"",J21)</f>
        <v>5118713.2185304817</v>
      </c>
      <c r="E22" s="149">
        <f>IF(A22&gt;Inputs!$C$44,"",D22*Inputs!$B$17)</f>
        <v>62158.049652291396</v>
      </c>
      <c r="F22" s="149">
        <f>IF(A22&gt;Inputs!$C$44,"",IF(A22&lt;=Inputs!$C$43,MIN(Inputs!$B$20,D22+I21+E22),0))</f>
        <v>111014.82187676849</v>
      </c>
      <c r="G22" s="149">
        <f>IF(A22&gt;Inputs!$C$44,"",MIN(F22,I21+E22))</f>
        <v>62158.049652291396</v>
      </c>
      <c r="H22" s="149">
        <f>IF(A22&gt;Inputs!$C$44,"",MIN(MAX(0,F22-G22),D22))</f>
        <v>48856.772224477092</v>
      </c>
      <c r="I22" s="149">
        <f>IF(A22&gt;Inputs!$C$44,"",IF(A22=Inputs!$C$44,0,MAX(0,I21+E22-G22)))</f>
        <v>0</v>
      </c>
      <c r="J22" s="149">
        <f>IF(A22&gt;Inputs!$C$44,"",IF(A22=Inputs!$C$44,0,MAX(0,D22-H22)))</f>
        <v>5069856.4463060042</v>
      </c>
      <c r="K22" s="149">
        <f>IF(A22&gt;Inputs!$C$44,"",IF(A22&lt;=Inputs!$C$43,0,A22-Inputs!$C$43))</f>
        <v>0</v>
      </c>
      <c r="L22" s="149">
        <f>IF(A22=Inputs!$C$44,D22+I21+E22,0)</f>
        <v>0</v>
      </c>
      <c r="M22" s="149">
        <f>IF(A22=Inputs!$C$44,Inputs!$C$42,0)</f>
        <v>0</v>
      </c>
      <c r="N22" s="149">
        <f>IF(A22=Inputs!$C$44,MAX(0,L22-M22),0)</f>
        <v>0</v>
      </c>
      <c r="O22" s="149">
        <f>IF(A22=Inputs!$C$44,MAX(0,M22-L22),0)</f>
        <v>0</v>
      </c>
      <c r="P22" s="163" t="str">
        <f>IF(A22&gt;Inputs!$C$44,"",IF(A22=Inputs!$C$44,"Cerrado por evento",IF(K22&gt;0,"En mora","Vigente al día")))</f>
        <v>Vigente al día</v>
      </c>
      <c r="Q22" s="149">
        <f>IF($A22&gt;Inputs!$C$44,"",IF($A22&lt;=Inputs!$C$43,Inputs!$B$28,0))</f>
        <v>48643.172307692315</v>
      </c>
      <c r="R22" s="149">
        <f>IF($A22&gt;Inputs!$C$44,"",IF($A22&lt;=Inputs!$C$43,Inputs!$B$29,0))</f>
        <v>10984.615384615387</v>
      </c>
      <c r="S22" s="149">
        <f>IF($A22&gt;Inputs!$C$44,"",IF($A22&lt;=Inputs!$C$43,Inputs!$B$30,0))</f>
        <v>3406.3846153846157</v>
      </c>
      <c r="T22" s="149">
        <f>IF($A22&gt;Inputs!$C$44,"",SUM(Q22:S22))</f>
        <v>63034.172307692315</v>
      </c>
      <c r="U22" s="149">
        <f>IF($A22&gt;Inputs!$C$44,"",F22+T22)</f>
        <v>174048.99418446081</v>
      </c>
      <c r="V22" s="149">
        <f>IF($B22="","",IF(OR($B23="",ROUNDUP(($A22+1)/Inputs!$B$14,0)&gt;$B22),SUMIF($B$4:$B22,$B22,Q$4:Q22),0))</f>
        <v>0</v>
      </c>
      <c r="W22" s="149">
        <f>IF($B22="","",IF(OR($B23="",ROUNDUP(($A22+1)/Inputs!$B$14,0)&gt;$B22),SUMIF($B$4:$B22,$B22,R$4:R22),0))</f>
        <v>0</v>
      </c>
      <c r="X22" s="149">
        <f>IF($B22="","",IF(OR($B23="",ROUNDUP(($A22+1)/Inputs!$B$14,0)&gt;$B22),SUMIF($B$4:$B22,$B22,S$4:S22),0))</f>
        <v>0</v>
      </c>
      <c r="Y22" s="143"/>
      <c r="Z22" s="143"/>
      <c r="AA22" s="143"/>
      <c r="AB22" s="143"/>
      <c r="AC22" s="143"/>
      <c r="AD22" s="143"/>
      <c r="AE22" s="143"/>
      <c r="AF22" s="143"/>
    </row>
    <row r="23" spans="1:32" ht="18" customHeight="1">
      <c r="A23" s="157">
        <v>20</v>
      </c>
      <c r="B23" s="77">
        <f>IF(A23&gt;Inputs!$C$44,"",ROUNDUP(A23/Inputs!$B$14,0))</f>
        <v>5</v>
      </c>
      <c r="C23" s="160" t="str">
        <f>IF(A23&gt;Inputs!$C$44,"",IF(A23&lt;=Inputs!$C$43,"Pago normal",IF(A23&lt;Inputs!$C$44,"Mora - sin pago","Evento de cierre")))</f>
        <v>Pago normal</v>
      </c>
      <c r="D23" s="149">
        <f>IF(A23&gt;Inputs!$C$44,"",J22)</f>
        <v>5069856.4463060042</v>
      </c>
      <c r="E23" s="149">
        <f>IF(A23&gt;Inputs!$C$44,"",D23*Inputs!$B$17)</f>
        <v>61564.767406514089</v>
      </c>
      <c r="F23" s="149">
        <f>IF(A23&gt;Inputs!$C$44,"",IF(A23&lt;=Inputs!$C$43,MIN(Inputs!$B$20,D23+I22+E23),0))</f>
        <v>111014.82187676849</v>
      </c>
      <c r="G23" s="149">
        <f>IF(A23&gt;Inputs!$C$44,"",MIN(F23,I22+E23))</f>
        <v>61564.767406514089</v>
      </c>
      <c r="H23" s="149">
        <f>IF(A23&gt;Inputs!$C$44,"",MIN(MAX(0,F23-G23),D23))</f>
        <v>49450.054470254399</v>
      </c>
      <c r="I23" s="149">
        <f>IF(A23&gt;Inputs!$C$44,"",IF(A23=Inputs!$C$44,0,MAX(0,I22+E23-G23)))</f>
        <v>0</v>
      </c>
      <c r="J23" s="149">
        <f>IF(A23&gt;Inputs!$C$44,"",IF(A23=Inputs!$C$44,0,MAX(0,D23-H23)))</f>
        <v>5020406.3918357501</v>
      </c>
      <c r="K23" s="149">
        <f>IF(A23&gt;Inputs!$C$44,"",IF(A23&lt;=Inputs!$C$43,0,A23-Inputs!$C$43))</f>
        <v>0</v>
      </c>
      <c r="L23" s="149">
        <f>IF(A23=Inputs!$C$44,D23+I22+E23,0)</f>
        <v>0</v>
      </c>
      <c r="M23" s="149">
        <f>IF(A23=Inputs!$C$44,Inputs!$C$42,0)</f>
        <v>0</v>
      </c>
      <c r="N23" s="149">
        <f>IF(A23=Inputs!$C$44,MAX(0,L23-M23),0)</f>
        <v>0</v>
      </c>
      <c r="O23" s="149">
        <f>IF(A23=Inputs!$C$44,MAX(0,M23-L23),0)</f>
        <v>0</v>
      </c>
      <c r="P23" s="163" t="str">
        <f>IF(A23&gt;Inputs!$C$44,"",IF(A23=Inputs!$C$44,"Cerrado por evento",IF(K23&gt;0,"En mora","Vigente al día")))</f>
        <v>Vigente al día</v>
      </c>
      <c r="Q23" s="149">
        <f>IF($A23&gt;Inputs!$C$44,"",IF($A23&lt;=Inputs!$C$43,Inputs!$B$28,0))</f>
        <v>48643.172307692315</v>
      </c>
      <c r="R23" s="149">
        <f>IF($A23&gt;Inputs!$C$44,"",IF($A23&lt;=Inputs!$C$43,Inputs!$B$29,0))</f>
        <v>10984.615384615387</v>
      </c>
      <c r="S23" s="149">
        <f>IF($A23&gt;Inputs!$C$44,"",IF($A23&lt;=Inputs!$C$43,Inputs!$B$30,0))</f>
        <v>3406.3846153846157</v>
      </c>
      <c r="T23" s="149">
        <f>IF($A23&gt;Inputs!$C$44,"",SUM(Q23:S23))</f>
        <v>63034.172307692315</v>
      </c>
      <c r="U23" s="149">
        <f>IF($A23&gt;Inputs!$C$44,"",F23+T23)</f>
        <v>174048.99418446081</v>
      </c>
      <c r="V23" s="149">
        <f>IF($B23="","",IF(OR($B24="",ROUNDUP(($A23+1)/Inputs!$B$14,0)&gt;$B23),SUMIF($B$4:$B23,$B23,Q$4:Q23),0))</f>
        <v>0</v>
      </c>
      <c r="W23" s="149">
        <f>IF($B23="","",IF(OR($B24="",ROUNDUP(($A23+1)/Inputs!$B$14,0)&gt;$B23),SUMIF($B$4:$B23,$B23,R$4:R23),0))</f>
        <v>0</v>
      </c>
      <c r="X23" s="149">
        <f>IF($B23="","",IF(OR($B24="",ROUNDUP(($A23+1)/Inputs!$B$14,0)&gt;$B23),SUMIF($B$4:$B23,$B23,S$4:S23),0))</f>
        <v>0</v>
      </c>
      <c r="Y23" s="143"/>
      <c r="Z23" s="143"/>
      <c r="AA23" s="143"/>
      <c r="AB23" s="143"/>
      <c r="AC23" s="143"/>
      <c r="AD23" s="143"/>
      <c r="AE23" s="143"/>
      <c r="AF23" s="143"/>
    </row>
    <row r="24" spans="1:32" ht="18" customHeight="1">
      <c r="A24" s="157">
        <v>21</v>
      </c>
      <c r="B24" s="77">
        <f>IF(A24&gt;Inputs!$C$44,"",ROUNDUP(A24/Inputs!$B$14,0))</f>
        <v>5</v>
      </c>
      <c r="C24" s="160" t="str">
        <f>IF(A24&gt;Inputs!$C$44,"",IF(A24&lt;=Inputs!$C$43,"Pago normal",IF(A24&lt;Inputs!$C$44,"Mora - sin pago","Evento de cierre")))</f>
        <v>Pago normal</v>
      </c>
      <c r="D24" s="149">
        <f>IF(A24&gt;Inputs!$C$44,"",J23)</f>
        <v>5020406.3918357501</v>
      </c>
      <c r="E24" s="149">
        <f>IF(A24&gt;Inputs!$C$44,"",D24*Inputs!$B$17)</f>
        <v>60964.280758826295</v>
      </c>
      <c r="F24" s="149">
        <f>IF(A24&gt;Inputs!$C$44,"",IF(A24&lt;=Inputs!$C$43,MIN(Inputs!$B$20,D24+I23+E24),0))</f>
        <v>111014.82187676849</v>
      </c>
      <c r="G24" s="149">
        <f>IF(A24&gt;Inputs!$C$44,"",MIN(F24,I23+E24))</f>
        <v>60964.280758826295</v>
      </c>
      <c r="H24" s="149">
        <f>IF(A24&gt;Inputs!$C$44,"",MIN(MAX(0,F24-G24),D24))</f>
        <v>50050.541117942194</v>
      </c>
      <c r="I24" s="149">
        <f>IF(A24&gt;Inputs!$C$44,"",IF(A24=Inputs!$C$44,0,MAX(0,I23+E24-G24)))</f>
        <v>0</v>
      </c>
      <c r="J24" s="149">
        <f>IF(A24&gt;Inputs!$C$44,"",IF(A24=Inputs!$C$44,0,MAX(0,D24-H24)))</f>
        <v>4970355.8507178081</v>
      </c>
      <c r="K24" s="149">
        <f>IF(A24&gt;Inputs!$C$44,"",IF(A24&lt;=Inputs!$C$43,0,A24-Inputs!$C$43))</f>
        <v>0</v>
      </c>
      <c r="L24" s="149">
        <f>IF(A24=Inputs!$C$44,D24+I23+E24,0)</f>
        <v>0</v>
      </c>
      <c r="M24" s="149">
        <f>IF(A24=Inputs!$C$44,Inputs!$C$42,0)</f>
        <v>0</v>
      </c>
      <c r="N24" s="149">
        <f>IF(A24=Inputs!$C$44,MAX(0,L24-M24),0)</f>
        <v>0</v>
      </c>
      <c r="O24" s="149">
        <f>IF(A24=Inputs!$C$44,MAX(0,M24-L24),0)</f>
        <v>0</v>
      </c>
      <c r="P24" s="163" t="str">
        <f>IF(A24&gt;Inputs!$C$44,"",IF(A24=Inputs!$C$44,"Cerrado por evento",IF(K24&gt;0,"En mora","Vigente al día")))</f>
        <v>Vigente al día</v>
      </c>
      <c r="Q24" s="149">
        <f>IF($A24&gt;Inputs!$C$44,"",IF($A24&lt;=Inputs!$C$43,Inputs!$B$28,0))</f>
        <v>48643.172307692315</v>
      </c>
      <c r="R24" s="149">
        <f>IF($A24&gt;Inputs!$C$44,"",IF($A24&lt;=Inputs!$C$43,Inputs!$B$29,0))</f>
        <v>10984.615384615387</v>
      </c>
      <c r="S24" s="149">
        <f>IF($A24&gt;Inputs!$C$44,"",IF($A24&lt;=Inputs!$C$43,Inputs!$B$30,0))</f>
        <v>3406.3846153846157</v>
      </c>
      <c r="T24" s="149">
        <f>IF($A24&gt;Inputs!$C$44,"",SUM(Q24:S24))</f>
        <v>63034.172307692315</v>
      </c>
      <c r="U24" s="149">
        <f>IF($A24&gt;Inputs!$C$44,"",F24+T24)</f>
        <v>174048.99418446081</v>
      </c>
      <c r="V24" s="149">
        <f>IF($B24="","",IF(OR($B25="",ROUNDUP(($A24+1)/Inputs!$B$14,0)&gt;$B24),SUMIF($B$4:$B24,$B24,Q$4:Q24),0))</f>
        <v>194572.68923076926</v>
      </c>
      <c r="W24" s="149">
        <f>IF($B24="","",IF(OR($B25="",ROUNDUP(($A24+1)/Inputs!$B$14,0)&gt;$B24),SUMIF($B$4:$B24,$B24,R$4:R24),0))</f>
        <v>43938.461538461546</v>
      </c>
      <c r="X24" s="149">
        <f>IF($B24="","",IF(OR($B25="",ROUNDUP(($A24+1)/Inputs!$B$14,0)&gt;$B24),SUMIF($B$4:$B24,$B24,S$4:S24),0))</f>
        <v>13625.538461538463</v>
      </c>
      <c r="Y24" s="143"/>
      <c r="Z24" s="143"/>
      <c r="AA24" s="143"/>
      <c r="AB24" s="143"/>
      <c r="AC24" s="143"/>
      <c r="AD24" s="143"/>
      <c r="AE24" s="143"/>
      <c r="AF24" s="143"/>
    </row>
    <row r="25" spans="1:32" ht="18" customHeight="1">
      <c r="A25" s="157">
        <v>22</v>
      </c>
      <c r="B25" s="77">
        <f>IF(A25&gt;Inputs!$C$44,"",ROUNDUP(A25/Inputs!$B$14,0))</f>
        <v>6</v>
      </c>
      <c r="C25" s="160" t="str">
        <f>IF(A25&gt;Inputs!$C$44,"",IF(A25&lt;=Inputs!$C$43,"Pago normal",IF(A25&lt;Inputs!$C$44,"Mora - sin pago","Evento de cierre")))</f>
        <v>Pago normal</v>
      </c>
      <c r="D25" s="149">
        <f>IF(A25&gt;Inputs!$C$44,"",J24)</f>
        <v>4970355.8507178081</v>
      </c>
      <c r="E25" s="149">
        <f>IF(A25&gt;Inputs!$C$44,"",D25*Inputs!$B$17)</f>
        <v>60356.502224043244</v>
      </c>
      <c r="F25" s="149">
        <f>IF(A25&gt;Inputs!$C$44,"",IF(A25&lt;=Inputs!$C$43,MIN(Inputs!$B$20,D25+I24+E25),0))</f>
        <v>111014.82187676849</v>
      </c>
      <c r="G25" s="149">
        <f>IF(A25&gt;Inputs!$C$44,"",MIN(F25,I24+E25))</f>
        <v>60356.502224043244</v>
      </c>
      <c r="H25" s="149">
        <f>IF(A25&gt;Inputs!$C$44,"",MIN(MAX(0,F25-G25),D25))</f>
        <v>50658.319652725244</v>
      </c>
      <c r="I25" s="149">
        <f>IF(A25&gt;Inputs!$C$44,"",IF(A25=Inputs!$C$44,0,MAX(0,I24+E25-G25)))</f>
        <v>0</v>
      </c>
      <c r="J25" s="149">
        <f>IF(A25&gt;Inputs!$C$44,"",IF(A25=Inputs!$C$44,0,MAX(0,D25-H25)))</f>
        <v>4919697.5310650831</v>
      </c>
      <c r="K25" s="149">
        <f>IF(A25&gt;Inputs!$C$44,"",IF(A25&lt;=Inputs!$C$43,0,A25-Inputs!$C$43))</f>
        <v>0</v>
      </c>
      <c r="L25" s="149">
        <f>IF(A25=Inputs!$C$44,D25+I24+E25,0)</f>
        <v>0</v>
      </c>
      <c r="M25" s="149">
        <f>IF(A25=Inputs!$C$44,Inputs!$C$42,0)</f>
        <v>0</v>
      </c>
      <c r="N25" s="149">
        <f>IF(A25=Inputs!$C$44,MAX(0,L25-M25),0)</f>
        <v>0</v>
      </c>
      <c r="O25" s="149">
        <f>IF(A25=Inputs!$C$44,MAX(0,M25-L25),0)</f>
        <v>0</v>
      </c>
      <c r="P25" s="163" t="str">
        <f>IF(A25&gt;Inputs!$C$44,"",IF(A25=Inputs!$C$44,"Cerrado por evento",IF(K25&gt;0,"En mora","Vigente al día")))</f>
        <v>Vigente al día</v>
      </c>
      <c r="Q25" s="149">
        <f>IF($A25&gt;Inputs!$C$44,"",IF($A25&lt;=Inputs!$C$43,Inputs!$B$28,0))</f>
        <v>48643.172307692315</v>
      </c>
      <c r="R25" s="149">
        <f>IF($A25&gt;Inputs!$C$44,"",IF($A25&lt;=Inputs!$C$43,Inputs!$B$29,0))</f>
        <v>10984.615384615387</v>
      </c>
      <c r="S25" s="149">
        <f>IF($A25&gt;Inputs!$C$44,"",IF($A25&lt;=Inputs!$C$43,Inputs!$B$30,0))</f>
        <v>3406.3846153846157</v>
      </c>
      <c r="T25" s="149">
        <f>IF($A25&gt;Inputs!$C$44,"",SUM(Q25:S25))</f>
        <v>63034.172307692315</v>
      </c>
      <c r="U25" s="149">
        <f>IF($A25&gt;Inputs!$C$44,"",F25+T25)</f>
        <v>174048.99418446081</v>
      </c>
      <c r="V25" s="149">
        <f>IF($B25="","",IF(OR($B26="",ROUNDUP(($A25+1)/Inputs!$B$14,0)&gt;$B25),SUMIF($B$4:$B25,$B25,Q$4:Q25),0))</f>
        <v>0</v>
      </c>
      <c r="W25" s="149">
        <f>IF($B25="","",IF(OR($B26="",ROUNDUP(($A25+1)/Inputs!$B$14,0)&gt;$B25),SUMIF($B$4:$B25,$B25,R$4:R25),0))</f>
        <v>0</v>
      </c>
      <c r="X25" s="149">
        <f>IF($B25="","",IF(OR($B26="",ROUNDUP(($A25+1)/Inputs!$B$14,0)&gt;$B25),SUMIF($B$4:$B25,$B25,S$4:S25),0))</f>
        <v>0</v>
      </c>
      <c r="Y25" s="143"/>
      <c r="Z25" s="143"/>
      <c r="AA25" s="143"/>
      <c r="AB25" s="143"/>
      <c r="AC25" s="143"/>
      <c r="AD25" s="143"/>
      <c r="AE25" s="143"/>
      <c r="AF25" s="143"/>
    </row>
    <row r="26" spans="1:32" ht="18" customHeight="1">
      <c r="A26" s="157">
        <v>23</v>
      </c>
      <c r="B26" s="77">
        <f>IF(A26&gt;Inputs!$C$44,"",ROUNDUP(A26/Inputs!$B$14,0))</f>
        <v>6</v>
      </c>
      <c r="C26" s="160" t="str">
        <f>IF(A26&gt;Inputs!$C$44,"",IF(A26&lt;=Inputs!$C$43,"Pago normal",IF(A26&lt;Inputs!$C$44,"Mora - sin pago","Evento de cierre")))</f>
        <v>Pago normal</v>
      </c>
      <c r="D26" s="149">
        <f>IF(A26&gt;Inputs!$C$44,"",J25)</f>
        <v>4919697.5310650831</v>
      </c>
      <c r="E26" s="149">
        <f>IF(A26&gt;Inputs!$C$44,"",D26*Inputs!$B$17)</f>
        <v>59741.343254621679</v>
      </c>
      <c r="F26" s="149">
        <f>IF(A26&gt;Inputs!$C$44,"",IF(A26&lt;=Inputs!$C$43,MIN(Inputs!$B$20,D26+I25+E26),0))</f>
        <v>111014.82187676849</v>
      </c>
      <c r="G26" s="149">
        <f>IF(A26&gt;Inputs!$C$44,"",MIN(F26,I25+E26))</f>
        <v>59741.343254621679</v>
      </c>
      <c r="H26" s="149">
        <f>IF(A26&gt;Inputs!$C$44,"",MIN(MAX(0,F26-G26),D26))</f>
        <v>51273.478622146809</v>
      </c>
      <c r="I26" s="149">
        <f>IF(A26&gt;Inputs!$C$44,"",IF(A26=Inputs!$C$44,0,MAX(0,I25+E26-G26)))</f>
        <v>0</v>
      </c>
      <c r="J26" s="149">
        <f>IF(A26&gt;Inputs!$C$44,"",IF(A26=Inputs!$C$44,0,MAX(0,D26-H26)))</f>
        <v>4868424.0524429362</v>
      </c>
      <c r="K26" s="149">
        <f>IF(A26&gt;Inputs!$C$44,"",IF(A26&lt;=Inputs!$C$43,0,A26-Inputs!$C$43))</f>
        <v>0</v>
      </c>
      <c r="L26" s="149">
        <f>IF(A26=Inputs!$C$44,D26+I25+E26,0)</f>
        <v>0</v>
      </c>
      <c r="M26" s="149">
        <f>IF(A26=Inputs!$C$44,Inputs!$C$42,0)</f>
        <v>0</v>
      </c>
      <c r="N26" s="149">
        <f>IF(A26=Inputs!$C$44,MAX(0,L26-M26),0)</f>
        <v>0</v>
      </c>
      <c r="O26" s="149">
        <f>IF(A26=Inputs!$C$44,MAX(0,M26-L26),0)</f>
        <v>0</v>
      </c>
      <c r="P26" s="163" t="str">
        <f>IF(A26&gt;Inputs!$C$44,"",IF(A26=Inputs!$C$44,"Cerrado por evento",IF(K26&gt;0,"En mora","Vigente al día")))</f>
        <v>Vigente al día</v>
      </c>
      <c r="Q26" s="149">
        <f>IF($A26&gt;Inputs!$C$44,"",IF($A26&lt;=Inputs!$C$43,Inputs!$B$28,0))</f>
        <v>48643.172307692315</v>
      </c>
      <c r="R26" s="149">
        <f>IF($A26&gt;Inputs!$C$44,"",IF($A26&lt;=Inputs!$C$43,Inputs!$B$29,0))</f>
        <v>10984.615384615387</v>
      </c>
      <c r="S26" s="149">
        <f>IF($A26&gt;Inputs!$C$44,"",IF($A26&lt;=Inputs!$C$43,Inputs!$B$30,0))</f>
        <v>3406.3846153846157</v>
      </c>
      <c r="T26" s="149">
        <f>IF($A26&gt;Inputs!$C$44,"",SUM(Q26:S26))</f>
        <v>63034.172307692315</v>
      </c>
      <c r="U26" s="149">
        <f>IF($A26&gt;Inputs!$C$44,"",F26+T26)</f>
        <v>174048.99418446081</v>
      </c>
      <c r="V26" s="149">
        <f>IF($B26="","",IF(OR($B27="",ROUNDUP(($A26+1)/Inputs!$B$14,0)&gt;$B26),SUMIF($B$4:$B26,$B26,Q$4:Q26),0))</f>
        <v>0</v>
      </c>
      <c r="W26" s="149">
        <f>IF($B26="","",IF(OR($B27="",ROUNDUP(($A26+1)/Inputs!$B$14,0)&gt;$B26),SUMIF($B$4:$B26,$B26,R$4:R26),0))</f>
        <v>0</v>
      </c>
      <c r="X26" s="149">
        <f>IF($B26="","",IF(OR($B27="",ROUNDUP(($A26+1)/Inputs!$B$14,0)&gt;$B26),SUMIF($B$4:$B26,$B26,S$4:S26),0))</f>
        <v>0</v>
      </c>
      <c r="Y26" s="143"/>
      <c r="Z26" s="143"/>
      <c r="AA26" s="143"/>
      <c r="AB26" s="143"/>
      <c r="AC26" s="143"/>
      <c r="AD26" s="143"/>
      <c r="AE26" s="143"/>
      <c r="AF26" s="143"/>
    </row>
    <row r="27" spans="1:32" ht="18" customHeight="1">
      <c r="A27" s="157">
        <v>24</v>
      </c>
      <c r="B27" s="77">
        <f>IF(A27&gt;Inputs!$C$44,"",ROUNDUP(A27/Inputs!$B$14,0))</f>
        <v>6</v>
      </c>
      <c r="C27" s="160" t="str">
        <f>IF(A27&gt;Inputs!$C$44,"",IF(A27&lt;=Inputs!$C$43,"Pago normal",IF(A27&lt;Inputs!$C$44,"Mora - sin pago","Evento de cierre")))</f>
        <v>Pago normal</v>
      </c>
      <c r="D27" s="149">
        <f>IF(A27&gt;Inputs!$C$44,"",J26)</f>
        <v>4868424.0524429362</v>
      </c>
      <c r="E27" s="149">
        <f>IF(A27&gt;Inputs!$C$44,"",D27*Inputs!$B$17)</f>
        <v>59118.714227759323</v>
      </c>
      <c r="F27" s="149">
        <f>IF(A27&gt;Inputs!$C$44,"",IF(A27&lt;=Inputs!$C$43,MIN(Inputs!$B$20,D27+I26+E27),0))</f>
        <v>111014.82187676849</v>
      </c>
      <c r="G27" s="149">
        <f>IF(A27&gt;Inputs!$C$44,"",MIN(F27,I26+E27))</f>
        <v>59118.714227759323</v>
      </c>
      <c r="H27" s="149">
        <f>IF(A27&gt;Inputs!$C$44,"",MIN(MAX(0,F27-G27),D27))</f>
        <v>51896.107649009165</v>
      </c>
      <c r="I27" s="149">
        <f>IF(A27&gt;Inputs!$C$44,"",IF(A27=Inputs!$C$44,0,MAX(0,I26+E27-G27)))</f>
        <v>0</v>
      </c>
      <c r="J27" s="149">
        <f>IF(A27&gt;Inputs!$C$44,"",IF(A27=Inputs!$C$44,0,MAX(0,D27-H27)))</f>
        <v>4816527.9447939275</v>
      </c>
      <c r="K27" s="149">
        <f>IF(A27&gt;Inputs!$C$44,"",IF(A27&lt;=Inputs!$C$43,0,A27-Inputs!$C$43))</f>
        <v>0</v>
      </c>
      <c r="L27" s="149">
        <f>IF(A27=Inputs!$C$44,D27+I26+E27,0)</f>
        <v>0</v>
      </c>
      <c r="M27" s="149">
        <f>IF(A27=Inputs!$C$44,Inputs!$C$42,0)</f>
        <v>0</v>
      </c>
      <c r="N27" s="149">
        <f>IF(A27=Inputs!$C$44,MAX(0,L27-M27),0)</f>
        <v>0</v>
      </c>
      <c r="O27" s="149">
        <f>IF(A27=Inputs!$C$44,MAX(0,M27-L27),0)</f>
        <v>0</v>
      </c>
      <c r="P27" s="163" t="str">
        <f>IF(A27&gt;Inputs!$C$44,"",IF(A27=Inputs!$C$44,"Cerrado por evento",IF(K27&gt;0,"En mora","Vigente al día")))</f>
        <v>Vigente al día</v>
      </c>
      <c r="Q27" s="149">
        <f>IF($A27&gt;Inputs!$C$44,"",IF($A27&lt;=Inputs!$C$43,Inputs!$B$28,0))</f>
        <v>48643.172307692315</v>
      </c>
      <c r="R27" s="149">
        <f>IF($A27&gt;Inputs!$C$44,"",IF($A27&lt;=Inputs!$C$43,Inputs!$B$29,0))</f>
        <v>10984.615384615387</v>
      </c>
      <c r="S27" s="149">
        <f>IF($A27&gt;Inputs!$C$44,"",IF($A27&lt;=Inputs!$C$43,Inputs!$B$30,0))</f>
        <v>3406.3846153846157</v>
      </c>
      <c r="T27" s="149">
        <f>IF($A27&gt;Inputs!$C$44,"",SUM(Q27:S27))</f>
        <v>63034.172307692315</v>
      </c>
      <c r="U27" s="149">
        <f>IF($A27&gt;Inputs!$C$44,"",F27+T27)</f>
        <v>174048.99418446081</v>
      </c>
      <c r="V27" s="149">
        <f>IF($B27="","",IF(OR($B28="",ROUNDUP(($A27+1)/Inputs!$B$14,0)&gt;$B27),SUMIF($B$4:$B27,$B27,Q$4:Q27),0))</f>
        <v>0</v>
      </c>
      <c r="W27" s="149">
        <f>IF($B27="","",IF(OR($B28="",ROUNDUP(($A27+1)/Inputs!$B$14,0)&gt;$B27),SUMIF($B$4:$B27,$B27,R$4:R27),0))</f>
        <v>0</v>
      </c>
      <c r="X27" s="149">
        <f>IF($B27="","",IF(OR($B28="",ROUNDUP(($A27+1)/Inputs!$B$14,0)&gt;$B27),SUMIF($B$4:$B27,$B27,S$4:S27),0))</f>
        <v>0</v>
      </c>
      <c r="Y27" s="143"/>
      <c r="Z27" s="143"/>
      <c r="AA27" s="143"/>
      <c r="AB27" s="143"/>
      <c r="AC27" s="143"/>
      <c r="AD27" s="143"/>
      <c r="AE27" s="143"/>
      <c r="AF27" s="143"/>
    </row>
    <row r="28" spans="1:32" ht="18" customHeight="1">
      <c r="A28" s="157">
        <v>25</v>
      </c>
      <c r="B28" s="77">
        <f>IF(A28&gt;Inputs!$C$44,"",ROUNDUP(A28/Inputs!$B$14,0))</f>
        <v>6</v>
      </c>
      <c r="C28" s="160" t="str">
        <f>IF(A28&gt;Inputs!$C$44,"",IF(A28&lt;=Inputs!$C$43,"Pago normal",IF(A28&lt;Inputs!$C$44,"Mora - sin pago","Evento de cierre")))</f>
        <v>Pago normal</v>
      </c>
      <c r="D28" s="149">
        <f>IF(A28&gt;Inputs!$C$44,"",J27)</f>
        <v>4816527.9447939275</v>
      </c>
      <c r="E28" s="149">
        <f>IF(A28&gt;Inputs!$C$44,"",D28*Inputs!$B$17)</f>
        <v>58488.52443233769</v>
      </c>
      <c r="F28" s="149">
        <f>IF(A28&gt;Inputs!$C$44,"",IF(A28&lt;=Inputs!$C$43,MIN(Inputs!$B$20,D28+I27+E28),0))</f>
        <v>111014.82187676849</v>
      </c>
      <c r="G28" s="149">
        <f>IF(A28&gt;Inputs!$C$44,"",MIN(F28,I27+E28))</f>
        <v>58488.52443233769</v>
      </c>
      <c r="H28" s="149">
        <f>IF(A28&gt;Inputs!$C$44,"",MIN(MAX(0,F28-G28),D28))</f>
        <v>52526.297444430798</v>
      </c>
      <c r="I28" s="149">
        <f>IF(A28&gt;Inputs!$C$44,"",IF(A28=Inputs!$C$44,0,MAX(0,I27+E28-G28)))</f>
        <v>0</v>
      </c>
      <c r="J28" s="149">
        <f>IF(A28&gt;Inputs!$C$44,"",IF(A28=Inputs!$C$44,0,MAX(0,D28-H28)))</f>
        <v>4764001.6473494964</v>
      </c>
      <c r="K28" s="149">
        <f>IF(A28&gt;Inputs!$C$44,"",IF(A28&lt;=Inputs!$C$43,0,A28-Inputs!$C$43))</f>
        <v>0</v>
      </c>
      <c r="L28" s="149">
        <f>IF(A28=Inputs!$C$44,D28+I27+E28,0)</f>
        <v>0</v>
      </c>
      <c r="M28" s="149">
        <f>IF(A28=Inputs!$C$44,Inputs!$C$42,0)</f>
        <v>0</v>
      </c>
      <c r="N28" s="149">
        <f>IF(A28=Inputs!$C$44,MAX(0,L28-M28),0)</f>
        <v>0</v>
      </c>
      <c r="O28" s="149">
        <f>IF(A28=Inputs!$C$44,MAX(0,M28-L28),0)</f>
        <v>0</v>
      </c>
      <c r="P28" s="163" t="str">
        <f>IF(A28&gt;Inputs!$C$44,"",IF(A28=Inputs!$C$44,"Cerrado por evento",IF(K28&gt;0,"En mora","Vigente al día")))</f>
        <v>Vigente al día</v>
      </c>
      <c r="Q28" s="149">
        <f>IF($A28&gt;Inputs!$C$44,"",IF($A28&lt;=Inputs!$C$43,Inputs!$B$28,0))</f>
        <v>48643.172307692315</v>
      </c>
      <c r="R28" s="149">
        <f>IF($A28&gt;Inputs!$C$44,"",IF($A28&lt;=Inputs!$C$43,Inputs!$B$29,0))</f>
        <v>10984.615384615387</v>
      </c>
      <c r="S28" s="149">
        <f>IF($A28&gt;Inputs!$C$44,"",IF($A28&lt;=Inputs!$C$43,Inputs!$B$30,0))</f>
        <v>3406.3846153846157</v>
      </c>
      <c r="T28" s="149">
        <f>IF($A28&gt;Inputs!$C$44,"",SUM(Q28:S28))</f>
        <v>63034.172307692315</v>
      </c>
      <c r="U28" s="149">
        <f>IF($A28&gt;Inputs!$C$44,"",F28+T28)</f>
        <v>174048.99418446081</v>
      </c>
      <c r="V28" s="149">
        <f>IF($B28="","",IF(OR($B29="",ROUNDUP(($A28+1)/Inputs!$B$14,0)&gt;$B28),SUMIF($B$4:$B28,$B28,Q$4:Q28),0))</f>
        <v>0</v>
      </c>
      <c r="W28" s="149">
        <f>IF($B28="","",IF(OR($B29="",ROUNDUP(($A28+1)/Inputs!$B$14,0)&gt;$B28),SUMIF($B$4:$B28,$B28,R$4:R28),0))</f>
        <v>0</v>
      </c>
      <c r="X28" s="149">
        <f>IF($B28="","",IF(OR($B29="",ROUNDUP(($A28+1)/Inputs!$B$14,0)&gt;$B28),SUMIF($B$4:$B28,$B28,S$4:S28),0))</f>
        <v>0</v>
      </c>
      <c r="Y28" s="143"/>
      <c r="Z28" s="143"/>
      <c r="AA28" s="143"/>
      <c r="AB28" s="143"/>
      <c r="AC28" s="143"/>
      <c r="AD28" s="143"/>
      <c r="AE28" s="143"/>
      <c r="AF28" s="143"/>
    </row>
    <row r="29" spans="1:32" ht="18" customHeight="1">
      <c r="A29" s="157">
        <v>26</v>
      </c>
      <c r="B29" s="77">
        <f>IF(A29&gt;Inputs!$C$44,"",ROUNDUP(A29/Inputs!$B$14,0))</f>
        <v>6</v>
      </c>
      <c r="C29" s="160" t="str">
        <f>IF(A29&gt;Inputs!$C$44,"",IF(A29&lt;=Inputs!$C$43,"Pago normal",IF(A29&lt;Inputs!$C$44,"Mora - sin pago","Evento de cierre")))</f>
        <v>Pago normal</v>
      </c>
      <c r="D29" s="149">
        <f>IF(A29&gt;Inputs!$C$44,"",J28)</f>
        <v>4764001.6473494964</v>
      </c>
      <c r="E29" s="149">
        <f>IF(A29&gt;Inputs!$C$44,"",D29*Inputs!$B$17)</f>
        <v>57850.682055706304</v>
      </c>
      <c r="F29" s="149">
        <f>IF(A29&gt;Inputs!$C$44,"",IF(A29&lt;=Inputs!$C$43,MIN(Inputs!$B$20,D29+I28+E29),0))</f>
        <v>111014.82187676849</v>
      </c>
      <c r="G29" s="149">
        <f>IF(A29&gt;Inputs!$C$44,"",MIN(F29,I28+E29))</f>
        <v>57850.682055706304</v>
      </c>
      <c r="H29" s="149">
        <f>IF(A29&gt;Inputs!$C$44,"",MIN(MAX(0,F29-G29),D29))</f>
        <v>53164.139821062185</v>
      </c>
      <c r="I29" s="149">
        <f>IF(A29&gt;Inputs!$C$44,"",IF(A29=Inputs!$C$44,0,MAX(0,I28+E29-G29)))</f>
        <v>0</v>
      </c>
      <c r="J29" s="149">
        <f>IF(A29&gt;Inputs!$C$44,"",IF(A29=Inputs!$C$44,0,MAX(0,D29-H29)))</f>
        <v>4710837.5075284345</v>
      </c>
      <c r="K29" s="149">
        <f>IF(A29&gt;Inputs!$C$44,"",IF(A29&lt;=Inputs!$C$43,0,A29-Inputs!$C$43))</f>
        <v>0</v>
      </c>
      <c r="L29" s="149">
        <f>IF(A29=Inputs!$C$44,D29+I28+E29,0)</f>
        <v>0</v>
      </c>
      <c r="M29" s="149">
        <f>IF(A29=Inputs!$C$44,Inputs!$C$42,0)</f>
        <v>0</v>
      </c>
      <c r="N29" s="149">
        <f>IF(A29=Inputs!$C$44,MAX(0,L29-M29),0)</f>
        <v>0</v>
      </c>
      <c r="O29" s="149">
        <f>IF(A29=Inputs!$C$44,MAX(0,M29-L29),0)</f>
        <v>0</v>
      </c>
      <c r="P29" s="163" t="str">
        <f>IF(A29&gt;Inputs!$C$44,"",IF(A29=Inputs!$C$44,"Cerrado por evento",IF(K29&gt;0,"En mora","Vigente al día")))</f>
        <v>Vigente al día</v>
      </c>
      <c r="Q29" s="149">
        <f>IF($A29&gt;Inputs!$C$44,"",IF($A29&lt;=Inputs!$C$43,Inputs!$B$28,0))</f>
        <v>48643.172307692315</v>
      </c>
      <c r="R29" s="149">
        <f>IF($A29&gt;Inputs!$C$44,"",IF($A29&lt;=Inputs!$C$43,Inputs!$B$29,0))</f>
        <v>10984.615384615387</v>
      </c>
      <c r="S29" s="149">
        <f>IF($A29&gt;Inputs!$C$44,"",IF($A29&lt;=Inputs!$C$43,Inputs!$B$30,0))</f>
        <v>3406.3846153846157</v>
      </c>
      <c r="T29" s="149">
        <f>IF($A29&gt;Inputs!$C$44,"",SUM(Q29:S29))</f>
        <v>63034.172307692315</v>
      </c>
      <c r="U29" s="149">
        <f>IF($A29&gt;Inputs!$C$44,"",F29+T29)</f>
        <v>174048.99418446081</v>
      </c>
      <c r="V29" s="149">
        <f>IF($B29="","",IF(OR($B30="",ROUNDUP(($A29+1)/Inputs!$B$14,0)&gt;$B29),SUMIF($B$4:$B29,$B29,Q$4:Q29),0))</f>
        <v>243215.86153846158</v>
      </c>
      <c r="W29" s="149">
        <f>IF($B29="","",IF(OR($B30="",ROUNDUP(($A29+1)/Inputs!$B$14,0)&gt;$B29),SUMIF($B$4:$B29,$B29,R$4:R29),0))</f>
        <v>54923.076923076937</v>
      </c>
      <c r="X29" s="149">
        <f>IF($B29="","",IF(OR($B30="",ROUNDUP(($A29+1)/Inputs!$B$14,0)&gt;$B29),SUMIF($B$4:$B29,$B29,S$4:S29),0))</f>
        <v>17031.923076923078</v>
      </c>
      <c r="Y29" s="143"/>
      <c r="Z29" s="143"/>
      <c r="AA29" s="143"/>
      <c r="AB29" s="143"/>
      <c r="AC29" s="143"/>
      <c r="AD29" s="143"/>
      <c r="AE29" s="143"/>
      <c r="AF29" s="143"/>
    </row>
    <row r="30" spans="1:32" ht="18" customHeight="1">
      <c r="A30" s="157">
        <v>27</v>
      </c>
      <c r="B30" s="77">
        <f>IF(A30&gt;Inputs!$C$44,"",ROUNDUP(A30/Inputs!$B$14,0))</f>
        <v>7</v>
      </c>
      <c r="C30" s="160" t="str">
        <f>IF(A30&gt;Inputs!$C$44,"",IF(A30&lt;=Inputs!$C$43,"Pago normal",IF(A30&lt;Inputs!$C$44,"Mora - sin pago","Evento de cierre")))</f>
        <v>Pago normal</v>
      </c>
      <c r="D30" s="149">
        <f>IF(A30&gt;Inputs!$C$44,"",J29)</f>
        <v>4710837.5075284345</v>
      </c>
      <c r="E30" s="149">
        <f>IF(A30&gt;Inputs!$C$44,"",D30*Inputs!$B$17)</f>
        <v>57205.09417030654</v>
      </c>
      <c r="F30" s="149">
        <f>IF(A30&gt;Inputs!$C$44,"",IF(A30&lt;=Inputs!$C$43,MIN(Inputs!$B$20,D30+I29+E30),0))</f>
        <v>111014.82187676849</v>
      </c>
      <c r="G30" s="149">
        <f>IF(A30&gt;Inputs!$C$44,"",MIN(F30,I29+E30))</f>
        <v>57205.09417030654</v>
      </c>
      <c r="H30" s="149">
        <f>IF(A30&gt;Inputs!$C$44,"",MIN(MAX(0,F30-G30),D30))</f>
        <v>53809.727706461948</v>
      </c>
      <c r="I30" s="149">
        <f>IF(A30&gt;Inputs!$C$44,"",IF(A30=Inputs!$C$44,0,MAX(0,I29+E30-G30)))</f>
        <v>0</v>
      </c>
      <c r="J30" s="149">
        <f>IF(A30&gt;Inputs!$C$44,"",IF(A30=Inputs!$C$44,0,MAX(0,D30-H30)))</f>
        <v>4657027.7798219724</v>
      </c>
      <c r="K30" s="149">
        <f>IF(A30&gt;Inputs!$C$44,"",IF(A30&lt;=Inputs!$C$43,0,A30-Inputs!$C$43))</f>
        <v>0</v>
      </c>
      <c r="L30" s="149">
        <f>IF(A30=Inputs!$C$44,D30+I29+E30,0)</f>
        <v>0</v>
      </c>
      <c r="M30" s="149">
        <f>IF(A30=Inputs!$C$44,Inputs!$C$42,0)</f>
        <v>0</v>
      </c>
      <c r="N30" s="149">
        <f>IF(A30=Inputs!$C$44,MAX(0,L30-M30),0)</f>
        <v>0</v>
      </c>
      <c r="O30" s="149">
        <f>IF(A30=Inputs!$C$44,MAX(0,M30-L30),0)</f>
        <v>0</v>
      </c>
      <c r="P30" s="163" t="str">
        <f>IF(A30&gt;Inputs!$C$44,"",IF(A30=Inputs!$C$44,"Cerrado por evento",IF(K30&gt;0,"En mora","Vigente al día")))</f>
        <v>Vigente al día</v>
      </c>
      <c r="Q30" s="149">
        <f>IF($A30&gt;Inputs!$C$44,"",IF($A30&lt;=Inputs!$C$43,Inputs!$B$28,0))</f>
        <v>48643.172307692315</v>
      </c>
      <c r="R30" s="149">
        <f>IF($A30&gt;Inputs!$C$44,"",IF($A30&lt;=Inputs!$C$43,Inputs!$B$29,0))</f>
        <v>10984.615384615387</v>
      </c>
      <c r="S30" s="149">
        <f>IF($A30&gt;Inputs!$C$44,"",IF($A30&lt;=Inputs!$C$43,Inputs!$B$30,0))</f>
        <v>3406.3846153846157</v>
      </c>
      <c r="T30" s="149">
        <f>IF($A30&gt;Inputs!$C$44,"",SUM(Q30:S30))</f>
        <v>63034.172307692315</v>
      </c>
      <c r="U30" s="149">
        <f>IF($A30&gt;Inputs!$C$44,"",F30+T30)</f>
        <v>174048.99418446081</v>
      </c>
      <c r="V30" s="149">
        <f>IF($B30="","",IF(OR($B31="",ROUNDUP(($A30+1)/Inputs!$B$14,0)&gt;$B30),SUMIF($B$4:$B30,$B30,Q$4:Q30),0))</f>
        <v>0</v>
      </c>
      <c r="W30" s="149">
        <f>IF($B30="","",IF(OR($B31="",ROUNDUP(($A30+1)/Inputs!$B$14,0)&gt;$B30),SUMIF($B$4:$B30,$B30,R$4:R30),0))</f>
        <v>0</v>
      </c>
      <c r="X30" s="149">
        <f>IF($B30="","",IF(OR($B31="",ROUNDUP(($A30+1)/Inputs!$B$14,0)&gt;$B30),SUMIF($B$4:$B30,$B30,S$4:S30),0))</f>
        <v>0</v>
      </c>
      <c r="Y30" s="143"/>
      <c r="Z30" s="143"/>
      <c r="AA30" s="143"/>
      <c r="AB30" s="143"/>
      <c r="AC30" s="143"/>
      <c r="AD30" s="143"/>
      <c r="AE30" s="143"/>
      <c r="AF30" s="143"/>
    </row>
    <row r="31" spans="1:32" ht="18" customHeight="1">
      <c r="A31" s="157">
        <v>28</v>
      </c>
      <c r="B31" s="77">
        <f>IF(A31&gt;Inputs!$C$44,"",ROUNDUP(A31/Inputs!$B$14,0))</f>
        <v>7</v>
      </c>
      <c r="C31" s="160" t="str">
        <f>IF(A31&gt;Inputs!$C$44,"",IF(A31&lt;=Inputs!$C$43,"Pago normal",IF(A31&lt;Inputs!$C$44,"Mora - sin pago","Evento de cierre")))</f>
        <v>Pago normal</v>
      </c>
      <c r="D31" s="149">
        <f>IF(A31&gt;Inputs!$C$44,"",J30)</f>
        <v>4657027.7798219724</v>
      </c>
      <c r="E31" s="149">
        <f>IF(A31&gt;Inputs!$C$44,"",D31*Inputs!$B$17)</f>
        <v>56551.666720132882</v>
      </c>
      <c r="F31" s="149">
        <f>IF(A31&gt;Inputs!$C$44,"",IF(A31&lt;=Inputs!$C$43,MIN(Inputs!$B$20,D31+I30+E31),0))</f>
        <v>111014.82187676849</v>
      </c>
      <c r="G31" s="149">
        <f>IF(A31&gt;Inputs!$C$44,"",MIN(F31,I30+E31))</f>
        <v>56551.666720132882</v>
      </c>
      <c r="H31" s="149">
        <f>IF(A31&gt;Inputs!$C$44,"",MIN(MAX(0,F31-G31),D31))</f>
        <v>54463.155156635607</v>
      </c>
      <c r="I31" s="149">
        <f>IF(A31&gt;Inputs!$C$44,"",IF(A31=Inputs!$C$44,0,MAX(0,I30+E31-G31)))</f>
        <v>0</v>
      </c>
      <c r="J31" s="149">
        <f>IF(A31&gt;Inputs!$C$44,"",IF(A31=Inputs!$C$44,0,MAX(0,D31-H31)))</f>
        <v>4602564.6246653367</v>
      </c>
      <c r="K31" s="149">
        <f>IF(A31&gt;Inputs!$C$44,"",IF(A31&lt;=Inputs!$C$43,0,A31-Inputs!$C$43))</f>
        <v>0</v>
      </c>
      <c r="L31" s="149">
        <f>IF(A31=Inputs!$C$44,D31+I30+E31,0)</f>
        <v>0</v>
      </c>
      <c r="M31" s="149">
        <f>IF(A31=Inputs!$C$44,Inputs!$C$42,0)</f>
        <v>0</v>
      </c>
      <c r="N31" s="149">
        <f>IF(A31=Inputs!$C$44,MAX(0,L31-M31),0)</f>
        <v>0</v>
      </c>
      <c r="O31" s="149">
        <f>IF(A31=Inputs!$C$44,MAX(0,M31-L31),0)</f>
        <v>0</v>
      </c>
      <c r="P31" s="163" t="str">
        <f>IF(A31&gt;Inputs!$C$44,"",IF(A31=Inputs!$C$44,"Cerrado por evento",IF(K31&gt;0,"En mora","Vigente al día")))</f>
        <v>Vigente al día</v>
      </c>
      <c r="Q31" s="149">
        <f>IF($A31&gt;Inputs!$C$44,"",IF($A31&lt;=Inputs!$C$43,Inputs!$B$28,0))</f>
        <v>48643.172307692315</v>
      </c>
      <c r="R31" s="149">
        <f>IF($A31&gt;Inputs!$C$44,"",IF($A31&lt;=Inputs!$C$43,Inputs!$B$29,0))</f>
        <v>10984.615384615387</v>
      </c>
      <c r="S31" s="149">
        <f>IF($A31&gt;Inputs!$C$44,"",IF($A31&lt;=Inputs!$C$43,Inputs!$B$30,0))</f>
        <v>3406.3846153846157</v>
      </c>
      <c r="T31" s="149">
        <f>IF($A31&gt;Inputs!$C$44,"",SUM(Q31:S31))</f>
        <v>63034.172307692315</v>
      </c>
      <c r="U31" s="149">
        <f>IF($A31&gt;Inputs!$C$44,"",F31+T31)</f>
        <v>174048.99418446081</v>
      </c>
      <c r="V31" s="149">
        <f>IF($B31="","",IF(OR($B32="",ROUNDUP(($A31+1)/Inputs!$B$14,0)&gt;$B31),SUMIF($B$4:$B31,$B31,Q$4:Q31),0))</f>
        <v>0</v>
      </c>
      <c r="W31" s="149">
        <f>IF($B31="","",IF(OR($B32="",ROUNDUP(($A31+1)/Inputs!$B$14,0)&gt;$B31),SUMIF($B$4:$B31,$B31,R$4:R31),0))</f>
        <v>0</v>
      </c>
      <c r="X31" s="149">
        <f>IF($B31="","",IF(OR($B32="",ROUNDUP(($A31+1)/Inputs!$B$14,0)&gt;$B31),SUMIF($B$4:$B31,$B31,S$4:S31),0))</f>
        <v>0</v>
      </c>
      <c r="Y31" s="143"/>
      <c r="Z31" s="143"/>
      <c r="AA31" s="143"/>
      <c r="AB31" s="143"/>
      <c r="AC31" s="143"/>
      <c r="AD31" s="143"/>
      <c r="AE31" s="143"/>
      <c r="AF31" s="143"/>
    </row>
    <row r="32" spans="1:32" ht="18" customHeight="1">
      <c r="A32" s="157">
        <v>29</v>
      </c>
      <c r="B32" s="77">
        <f>IF(A32&gt;Inputs!$C$44,"",ROUNDUP(A32/Inputs!$B$14,0))</f>
        <v>7</v>
      </c>
      <c r="C32" s="160" t="str">
        <f>IF(A32&gt;Inputs!$C$44,"",IF(A32&lt;=Inputs!$C$43,"Pago normal",IF(A32&lt;Inputs!$C$44,"Mora - sin pago","Evento de cierre")))</f>
        <v>Pago normal</v>
      </c>
      <c r="D32" s="149">
        <f>IF(A32&gt;Inputs!$C$44,"",J31)</f>
        <v>4602564.6246653367</v>
      </c>
      <c r="E32" s="149">
        <f>IF(A32&gt;Inputs!$C$44,"",D32*Inputs!$B$17)</f>
        <v>55890.304507029941</v>
      </c>
      <c r="F32" s="149">
        <f>IF(A32&gt;Inputs!$C$44,"",IF(A32&lt;=Inputs!$C$43,MIN(Inputs!$B$20,D32+I31+E32),0))</f>
        <v>111014.82187676849</v>
      </c>
      <c r="G32" s="149">
        <f>IF(A32&gt;Inputs!$C$44,"",MIN(F32,I31+E32))</f>
        <v>55890.304507029941</v>
      </c>
      <c r="H32" s="149">
        <f>IF(A32&gt;Inputs!$C$44,"",MIN(MAX(0,F32-G32),D32))</f>
        <v>55124.517369738547</v>
      </c>
      <c r="I32" s="149">
        <f>IF(A32&gt;Inputs!$C$44,"",IF(A32=Inputs!$C$44,0,MAX(0,I31+E32-G32)))</f>
        <v>0</v>
      </c>
      <c r="J32" s="149">
        <f>IF(A32&gt;Inputs!$C$44,"",IF(A32=Inputs!$C$44,0,MAX(0,D32-H32)))</f>
        <v>4547440.1072955979</v>
      </c>
      <c r="K32" s="149">
        <f>IF(A32&gt;Inputs!$C$44,"",IF(A32&lt;=Inputs!$C$43,0,A32-Inputs!$C$43))</f>
        <v>0</v>
      </c>
      <c r="L32" s="149">
        <f>IF(A32=Inputs!$C$44,D32+I31+E32,0)</f>
        <v>0</v>
      </c>
      <c r="M32" s="149">
        <f>IF(A32=Inputs!$C$44,Inputs!$C$42,0)</f>
        <v>0</v>
      </c>
      <c r="N32" s="149">
        <f>IF(A32=Inputs!$C$44,MAX(0,L32-M32),0)</f>
        <v>0</v>
      </c>
      <c r="O32" s="149">
        <f>IF(A32=Inputs!$C$44,MAX(0,M32-L32),0)</f>
        <v>0</v>
      </c>
      <c r="P32" s="163" t="str">
        <f>IF(A32&gt;Inputs!$C$44,"",IF(A32=Inputs!$C$44,"Cerrado por evento",IF(K32&gt;0,"En mora","Vigente al día")))</f>
        <v>Vigente al día</v>
      </c>
      <c r="Q32" s="149">
        <f>IF($A32&gt;Inputs!$C$44,"",IF($A32&lt;=Inputs!$C$43,Inputs!$B$28,0))</f>
        <v>48643.172307692315</v>
      </c>
      <c r="R32" s="149">
        <f>IF($A32&gt;Inputs!$C$44,"",IF($A32&lt;=Inputs!$C$43,Inputs!$B$29,0))</f>
        <v>10984.615384615387</v>
      </c>
      <c r="S32" s="149">
        <f>IF($A32&gt;Inputs!$C$44,"",IF($A32&lt;=Inputs!$C$43,Inputs!$B$30,0))</f>
        <v>3406.3846153846157</v>
      </c>
      <c r="T32" s="149">
        <f>IF($A32&gt;Inputs!$C$44,"",SUM(Q32:S32))</f>
        <v>63034.172307692315</v>
      </c>
      <c r="U32" s="149">
        <f>IF($A32&gt;Inputs!$C$44,"",F32+T32)</f>
        <v>174048.99418446081</v>
      </c>
      <c r="V32" s="149">
        <f>IF($B32="","",IF(OR($B33="",ROUNDUP(($A32+1)/Inputs!$B$14,0)&gt;$B32),SUMIF($B$4:$B32,$B32,Q$4:Q32),0))</f>
        <v>0</v>
      </c>
      <c r="W32" s="149">
        <f>IF($B32="","",IF(OR($B33="",ROUNDUP(($A32+1)/Inputs!$B$14,0)&gt;$B32),SUMIF($B$4:$B32,$B32,R$4:R32),0))</f>
        <v>0</v>
      </c>
      <c r="X32" s="149">
        <f>IF($B32="","",IF(OR($B33="",ROUNDUP(($A32+1)/Inputs!$B$14,0)&gt;$B32),SUMIF($B$4:$B32,$B32,S$4:S32),0))</f>
        <v>0</v>
      </c>
      <c r="Y32" s="143"/>
      <c r="Z32" s="143"/>
      <c r="AA32" s="143"/>
      <c r="AB32" s="143"/>
      <c r="AC32" s="143"/>
      <c r="AD32" s="143"/>
      <c r="AE32" s="143"/>
      <c r="AF32" s="143"/>
    </row>
    <row r="33" spans="1:32" ht="18" customHeight="1">
      <c r="A33" s="157">
        <v>30</v>
      </c>
      <c r="B33" s="77">
        <f>IF(A33&gt;Inputs!$C$44,"",ROUNDUP(A33/Inputs!$B$14,0))</f>
        <v>7</v>
      </c>
      <c r="C33" s="160" t="str">
        <f>IF(A33&gt;Inputs!$C$44,"",IF(A33&lt;=Inputs!$C$43,"Pago normal",IF(A33&lt;Inputs!$C$44,"Mora - sin pago","Evento de cierre")))</f>
        <v>Pago normal</v>
      </c>
      <c r="D33" s="149">
        <f>IF(A33&gt;Inputs!$C$44,"",J32)</f>
        <v>4547440.1072955979</v>
      </c>
      <c r="E33" s="149">
        <f>IF(A33&gt;Inputs!$C$44,"",D33*Inputs!$B$17)</f>
        <v>55220.91117682292</v>
      </c>
      <c r="F33" s="149">
        <f>IF(A33&gt;Inputs!$C$44,"",IF(A33&lt;=Inputs!$C$43,MIN(Inputs!$B$20,D33+I32+E33),0))</f>
        <v>111014.82187676849</v>
      </c>
      <c r="G33" s="149">
        <f>IF(A33&gt;Inputs!$C$44,"",MIN(F33,I32+E33))</f>
        <v>55220.91117682292</v>
      </c>
      <c r="H33" s="149">
        <f>IF(A33&gt;Inputs!$C$44,"",MIN(MAX(0,F33-G33),D33))</f>
        <v>55793.910699945569</v>
      </c>
      <c r="I33" s="149">
        <f>IF(A33&gt;Inputs!$C$44,"",IF(A33=Inputs!$C$44,0,MAX(0,I32+E33-G33)))</f>
        <v>0</v>
      </c>
      <c r="J33" s="149">
        <f>IF(A33&gt;Inputs!$C$44,"",IF(A33=Inputs!$C$44,0,MAX(0,D33-H33)))</f>
        <v>4491646.196595652</v>
      </c>
      <c r="K33" s="149">
        <f>IF(A33&gt;Inputs!$C$44,"",IF(A33&lt;=Inputs!$C$43,0,A33-Inputs!$C$43))</f>
        <v>0</v>
      </c>
      <c r="L33" s="149">
        <f>IF(A33=Inputs!$C$44,D33+I32+E33,0)</f>
        <v>0</v>
      </c>
      <c r="M33" s="149">
        <f>IF(A33=Inputs!$C$44,Inputs!$C$42,0)</f>
        <v>0</v>
      </c>
      <c r="N33" s="149">
        <f>IF(A33=Inputs!$C$44,MAX(0,L33-M33),0)</f>
        <v>0</v>
      </c>
      <c r="O33" s="149">
        <f>IF(A33=Inputs!$C$44,MAX(0,M33-L33),0)</f>
        <v>0</v>
      </c>
      <c r="P33" s="163" t="str">
        <f>IF(A33&gt;Inputs!$C$44,"",IF(A33=Inputs!$C$44,"Cerrado por evento",IF(K33&gt;0,"En mora","Vigente al día")))</f>
        <v>Vigente al día</v>
      </c>
      <c r="Q33" s="149">
        <f>IF($A33&gt;Inputs!$C$44,"",IF($A33&lt;=Inputs!$C$43,Inputs!$B$28,0))</f>
        <v>48643.172307692315</v>
      </c>
      <c r="R33" s="149">
        <f>IF($A33&gt;Inputs!$C$44,"",IF($A33&lt;=Inputs!$C$43,Inputs!$B$29,0))</f>
        <v>10984.615384615387</v>
      </c>
      <c r="S33" s="149">
        <f>IF($A33&gt;Inputs!$C$44,"",IF($A33&lt;=Inputs!$C$43,Inputs!$B$30,0))</f>
        <v>3406.3846153846157</v>
      </c>
      <c r="T33" s="149">
        <f>IF($A33&gt;Inputs!$C$44,"",SUM(Q33:S33))</f>
        <v>63034.172307692315</v>
      </c>
      <c r="U33" s="149">
        <f>IF($A33&gt;Inputs!$C$44,"",F33+T33)</f>
        <v>174048.99418446081</v>
      </c>
      <c r="V33" s="149">
        <f>IF($B33="","",IF(OR($B34="",ROUNDUP(($A33+1)/Inputs!$B$14,0)&gt;$B33),SUMIF($B$4:$B33,$B33,Q$4:Q33),0))</f>
        <v>194572.68923076926</v>
      </c>
      <c r="W33" s="149">
        <f>IF($B33="","",IF(OR($B34="",ROUNDUP(($A33+1)/Inputs!$B$14,0)&gt;$B33),SUMIF($B$4:$B33,$B33,R$4:R33),0))</f>
        <v>43938.461538461546</v>
      </c>
      <c r="X33" s="149">
        <f>IF($B33="","",IF(OR($B34="",ROUNDUP(($A33+1)/Inputs!$B$14,0)&gt;$B33),SUMIF($B$4:$B33,$B33,S$4:S33),0))</f>
        <v>13625.538461538463</v>
      </c>
      <c r="Y33" s="143"/>
      <c r="Z33" s="143"/>
      <c r="AA33" s="143"/>
      <c r="AB33" s="143"/>
      <c r="AC33" s="143"/>
      <c r="AD33" s="143"/>
      <c r="AE33" s="143"/>
      <c r="AF33" s="143"/>
    </row>
    <row r="34" spans="1:32" ht="18" customHeight="1">
      <c r="A34" s="157">
        <v>31</v>
      </c>
      <c r="B34" s="77">
        <f>IF(A34&gt;Inputs!$C$44,"",ROUNDUP(A34/Inputs!$B$14,0))</f>
        <v>8</v>
      </c>
      <c r="C34" s="160" t="str">
        <f>IF(A34&gt;Inputs!$C$44,"",IF(A34&lt;=Inputs!$C$43,"Pago normal",IF(A34&lt;Inputs!$C$44,"Mora - sin pago","Evento de cierre")))</f>
        <v>Mora - sin pago</v>
      </c>
      <c r="D34" s="149">
        <f>IF(A34&gt;Inputs!$C$44,"",J33)</f>
        <v>4491646.196595652</v>
      </c>
      <c r="E34" s="149">
        <f>IF(A34&gt;Inputs!$C$44,"",D34*Inputs!$B$17)</f>
        <v>54543.389205279767</v>
      </c>
      <c r="F34" s="149">
        <f>IF(A34&gt;Inputs!$C$44,"",IF(A34&lt;=Inputs!$C$43,MIN(Inputs!$B$20,D34+I33+E34),0))</f>
        <v>0</v>
      </c>
      <c r="G34" s="149">
        <f>IF(A34&gt;Inputs!$C$44,"",MIN(F34,I33+E34))</f>
        <v>0</v>
      </c>
      <c r="H34" s="149">
        <f>IF(A34&gt;Inputs!$C$44,"",MIN(MAX(0,F34-G34),D34))</f>
        <v>0</v>
      </c>
      <c r="I34" s="149">
        <f>IF(A34&gt;Inputs!$C$44,"",IF(A34=Inputs!$C$44,0,MAX(0,I33+E34-G34)))</f>
        <v>54543.389205279767</v>
      </c>
      <c r="J34" s="149">
        <f>IF(A34&gt;Inputs!$C$44,"",IF(A34=Inputs!$C$44,0,MAX(0,D34-H34)))</f>
        <v>4491646.196595652</v>
      </c>
      <c r="K34" s="149">
        <f>IF(A34&gt;Inputs!$C$44,"",IF(A34&lt;=Inputs!$C$43,0,A34-Inputs!$C$43))</f>
        <v>1</v>
      </c>
      <c r="L34" s="149">
        <f>IF(A34=Inputs!$C$44,D34+I33+E34,0)</f>
        <v>0</v>
      </c>
      <c r="M34" s="149">
        <f>IF(A34=Inputs!$C$44,Inputs!$C$42,0)</f>
        <v>0</v>
      </c>
      <c r="N34" s="149">
        <f>IF(A34=Inputs!$C$44,MAX(0,L34-M34),0)</f>
        <v>0</v>
      </c>
      <c r="O34" s="149">
        <f>IF(A34=Inputs!$C$44,MAX(0,M34-L34),0)</f>
        <v>0</v>
      </c>
      <c r="P34" s="163" t="str">
        <f>IF(A34&gt;Inputs!$C$44,"",IF(A34=Inputs!$C$44,"Cerrado por evento",IF(K34&gt;0,"En mora","Vigente al día")))</f>
        <v>En mora</v>
      </c>
      <c r="Q34" s="149">
        <f>IF($A34&gt;Inputs!$C$44,"",IF($A34&lt;=Inputs!$C$43,Inputs!$B$28,0))</f>
        <v>0</v>
      </c>
      <c r="R34" s="149">
        <f>IF($A34&gt;Inputs!$C$44,"",IF($A34&lt;=Inputs!$C$43,Inputs!$B$29,0))</f>
        <v>0</v>
      </c>
      <c r="S34" s="149">
        <f>IF($A34&gt;Inputs!$C$44,"",IF($A34&lt;=Inputs!$C$43,Inputs!$B$30,0))</f>
        <v>0</v>
      </c>
      <c r="T34" s="149">
        <f>IF($A34&gt;Inputs!$C$44,"",SUM(Q34:S34))</f>
        <v>0</v>
      </c>
      <c r="U34" s="149">
        <f>IF($A34&gt;Inputs!$C$44,"",F34+T34)</f>
        <v>0</v>
      </c>
      <c r="V34" s="149">
        <f>IF($B34="","",IF(OR($B35="",ROUNDUP(($A34+1)/Inputs!$B$14,0)&gt;$B34),SUMIF($B$4:$B34,$B34,Q$4:Q34),0))</f>
        <v>0</v>
      </c>
      <c r="W34" s="149">
        <f>IF($B34="","",IF(OR($B35="",ROUNDUP(($A34+1)/Inputs!$B$14,0)&gt;$B34),SUMIF($B$4:$B34,$B34,R$4:R34),0))</f>
        <v>0</v>
      </c>
      <c r="X34" s="149">
        <f>IF($B34="","",IF(OR($B35="",ROUNDUP(($A34+1)/Inputs!$B$14,0)&gt;$B34),SUMIF($B$4:$B34,$B34,S$4:S34),0))</f>
        <v>0</v>
      </c>
      <c r="Y34" s="143"/>
      <c r="Z34" s="143"/>
      <c r="AA34" s="143"/>
      <c r="AB34" s="143"/>
      <c r="AC34" s="143"/>
      <c r="AD34" s="143"/>
      <c r="AE34" s="143"/>
      <c r="AF34" s="143"/>
    </row>
    <row r="35" spans="1:32" ht="18" customHeight="1">
      <c r="A35" s="157">
        <v>32</v>
      </c>
      <c r="B35" s="77">
        <f>IF(A35&gt;Inputs!$C$44,"",ROUNDUP(A35/Inputs!$B$14,0))</f>
        <v>8</v>
      </c>
      <c r="C35" s="160" t="str">
        <f>IF(A35&gt;Inputs!$C$44,"",IF(A35&lt;=Inputs!$C$43,"Pago normal",IF(A35&lt;Inputs!$C$44,"Mora - sin pago","Evento de cierre")))</f>
        <v>Mora - sin pago</v>
      </c>
      <c r="D35" s="149">
        <f>IF(A35&gt;Inputs!$C$44,"",J34)</f>
        <v>4491646.196595652</v>
      </c>
      <c r="E35" s="149">
        <f>IF(A35&gt;Inputs!$C$44,"",D35*Inputs!$B$17)</f>
        <v>54543.389205279767</v>
      </c>
      <c r="F35" s="149">
        <f>IF(A35&gt;Inputs!$C$44,"",IF(A35&lt;=Inputs!$C$43,MIN(Inputs!$B$20,D35+I34+E35),0))</f>
        <v>0</v>
      </c>
      <c r="G35" s="149">
        <f>IF(A35&gt;Inputs!$C$44,"",MIN(F35,I34+E35))</f>
        <v>0</v>
      </c>
      <c r="H35" s="149">
        <f>IF(A35&gt;Inputs!$C$44,"",MIN(MAX(0,F35-G35),D35))</f>
        <v>0</v>
      </c>
      <c r="I35" s="149">
        <f>IF(A35&gt;Inputs!$C$44,"",IF(A35=Inputs!$C$44,0,MAX(0,I34+E35-G35)))</f>
        <v>109086.77841055953</v>
      </c>
      <c r="J35" s="149">
        <f>IF(A35&gt;Inputs!$C$44,"",IF(A35=Inputs!$C$44,0,MAX(0,D35-H35)))</f>
        <v>4491646.196595652</v>
      </c>
      <c r="K35" s="149">
        <f>IF(A35&gt;Inputs!$C$44,"",IF(A35&lt;=Inputs!$C$43,0,A35-Inputs!$C$43))</f>
        <v>2</v>
      </c>
      <c r="L35" s="149">
        <f>IF(A35=Inputs!$C$44,D35+I34+E35,0)</f>
        <v>0</v>
      </c>
      <c r="M35" s="149">
        <f>IF(A35=Inputs!$C$44,Inputs!$C$42,0)</f>
        <v>0</v>
      </c>
      <c r="N35" s="149">
        <f>IF(A35=Inputs!$C$44,MAX(0,L35-M35),0)</f>
        <v>0</v>
      </c>
      <c r="O35" s="149">
        <f>IF(A35=Inputs!$C$44,MAX(0,M35-L35),0)</f>
        <v>0</v>
      </c>
      <c r="P35" s="163" t="str">
        <f>IF(A35&gt;Inputs!$C$44,"",IF(A35=Inputs!$C$44,"Cerrado por evento",IF(K35&gt;0,"En mora","Vigente al día")))</f>
        <v>En mora</v>
      </c>
      <c r="Q35" s="149">
        <f>IF($A35&gt;Inputs!$C$44,"",IF($A35&lt;=Inputs!$C$43,Inputs!$B$28,0))</f>
        <v>0</v>
      </c>
      <c r="R35" s="149">
        <f>IF($A35&gt;Inputs!$C$44,"",IF($A35&lt;=Inputs!$C$43,Inputs!$B$29,0))</f>
        <v>0</v>
      </c>
      <c r="S35" s="149">
        <f>IF($A35&gt;Inputs!$C$44,"",IF($A35&lt;=Inputs!$C$43,Inputs!$B$30,0))</f>
        <v>0</v>
      </c>
      <c r="T35" s="149">
        <f>IF($A35&gt;Inputs!$C$44,"",SUM(Q35:S35))</f>
        <v>0</v>
      </c>
      <c r="U35" s="149">
        <f>IF($A35&gt;Inputs!$C$44,"",F35+T35)</f>
        <v>0</v>
      </c>
      <c r="V35" s="149">
        <f>IF($B35="","",IF(OR($B36="",ROUNDUP(($A35+1)/Inputs!$B$14,0)&gt;$B35),SUMIF($B$4:$B35,$B35,Q$4:Q35),0))</f>
        <v>0</v>
      </c>
      <c r="W35" s="149">
        <f>IF($B35="","",IF(OR($B36="",ROUNDUP(($A35+1)/Inputs!$B$14,0)&gt;$B35),SUMIF($B$4:$B35,$B35,R$4:R35),0))</f>
        <v>0</v>
      </c>
      <c r="X35" s="149">
        <f>IF($B35="","",IF(OR($B36="",ROUNDUP(($A35+1)/Inputs!$B$14,0)&gt;$B35),SUMIF($B$4:$B35,$B35,S$4:S35),0))</f>
        <v>0</v>
      </c>
      <c r="Y35" s="143"/>
      <c r="Z35" s="143"/>
      <c r="AA35" s="143"/>
      <c r="AB35" s="143"/>
      <c r="AC35" s="143"/>
      <c r="AD35" s="143"/>
      <c r="AE35" s="143"/>
      <c r="AF35" s="143"/>
    </row>
    <row r="36" spans="1:32" ht="18" customHeight="1">
      <c r="A36" s="157">
        <v>33</v>
      </c>
      <c r="B36" s="77">
        <f>IF(A36&gt;Inputs!$C$44,"",ROUNDUP(A36/Inputs!$B$14,0))</f>
        <v>8</v>
      </c>
      <c r="C36" s="160" t="str">
        <f>IF(A36&gt;Inputs!$C$44,"",IF(A36&lt;=Inputs!$C$43,"Pago normal",IF(A36&lt;Inputs!$C$44,"Mora - sin pago","Evento de cierre")))</f>
        <v>Mora - sin pago</v>
      </c>
      <c r="D36" s="149">
        <f>IF(A36&gt;Inputs!$C$44,"",J35)</f>
        <v>4491646.196595652</v>
      </c>
      <c r="E36" s="149">
        <f>IF(A36&gt;Inputs!$C$44,"",D36*Inputs!$B$17)</f>
        <v>54543.389205279767</v>
      </c>
      <c r="F36" s="149">
        <f>IF(A36&gt;Inputs!$C$44,"",IF(A36&lt;=Inputs!$C$43,MIN(Inputs!$B$20,D36+I35+E36),0))</f>
        <v>0</v>
      </c>
      <c r="G36" s="149">
        <f>IF(A36&gt;Inputs!$C$44,"",MIN(F36,I35+E36))</f>
        <v>0</v>
      </c>
      <c r="H36" s="149">
        <f>IF(A36&gt;Inputs!$C$44,"",MIN(MAX(0,F36-G36),D36))</f>
        <v>0</v>
      </c>
      <c r="I36" s="149">
        <f>IF(A36&gt;Inputs!$C$44,"",IF(A36=Inputs!$C$44,0,MAX(0,I35+E36-G36)))</f>
        <v>163630.16761583931</v>
      </c>
      <c r="J36" s="149">
        <f>IF(A36&gt;Inputs!$C$44,"",IF(A36=Inputs!$C$44,0,MAX(0,D36-H36)))</f>
        <v>4491646.196595652</v>
      </c>
      <c r="K36" s="149">
        <f>IF(A36&gt;Inputs!$C$44,"",IF(A36&lt;=Inputs!$C$43,0,A36-Inputs!$C$43))</f>
        <v>3</v>
      </c>
      <c r="L36" s="149">
        <f>IF(A36=Inputs!$C$44,D36+I35+E36,0)</f>
        <v>0</v>
      </c>
      <c r="M36" s="149">
        <f>IF(A36=Inputs!$C$44,Inputs!$C$42,0)</f>
        <v>0</v>
      </c>
      <c r="N36" s="149">
        <f>IF(A36=Inputs!$C$44,MAX(0,L36-M36),0)</f>
        <v>0</v>
      </c>
      <c r="O36" s="149">
        <f>IF(A36=Inputs!$C$44,MAX(0,M36-L36),0)</f>
        <v>0</v>
      </c>
      <c r="P36" s="163" t="str">
        <f>IF(A36&gt;Inputs!$C$44,"",IF(A36=Inputs!$C$44,"Cerrado por evento",IF(K36&gt;0,"En mora","Vigente al día")))</f>
        <v>En mora</v>
      </c>
      <c r="Q36" s="149">
        <f>IF($A36&gt;Inputs!$C$44,"",IF($A36&lt;=Inputs!$C$43,Inputs!$B$28,0))</f>
        <v>0</v>
      </c>
      <c r="R36" s="149">
        <f>IF($A36&gt;Inputs!$C$44,"",IF($A36&lt;=Inputs!$C$43,Inputs!$B$29,0))</f>
        <v>0</v>
      </c>
      <c r="S36" s="149">
        <f>IF($A36&gt;Inputs!$C$44,"",IF($A36&lt;=Inputs!$C$43,Inputs!$B$30,0))</f>
        <v>0</v>
      </c>
      <c r="T36" s="149">
        <f>IF($A36&gt;Inputs!$C$44,"",SUM(Q36:S36))</f>
        <v>0</v>
      </c>
      <c r="U36" s="149">
        <f>IF($A36&gt;Inputs!$C$44,"",F36+T36)</f>
        <v>0</v>
      </c>
      <c r="V36" s="149">
        <f>IF($B36="","",IF(OR($B37="",ROUNDUP(($A36+1)/Inputs!$B$14,0)&gt;$B36),SUMIF($B$4:$B36,$B36,Q$4:Q36),0))</f>
        <v>0</v>
      </c>
      <c r="W36" s="149">
        <f>IF($B36="","",IF(OR($B37="",ROUNDUP(($A36+1)/Inputs!$B$14,0)&gt;$B36),SUMIF($B$4:$B36,$B36,R$4:R36),0))</f>
        <v>0</v>
      </c>
      <c r="X36" s="149">
        <f>IF($B36="","",IF(OR($B37="",ROUNDUP(($A36+1)/Inputs!$B$14,0)&gt;$B36),SUMIF($B$4:$B36,$B36,S$4:S36),0))</f>
        <v>0</v>
      </c>
      <c r="Y36" s="143"/>
      <c r="Z36" s="143"/>
      <c r="AA36" s="143"/>
      <c r="AB36" s="143"/>
      <c r="AC36" s="143"/>
      <c r="AD36" s="143"/>
      <c r="AE36" s="143"/>
      <c r="AF36" s="143"/>
    </row>
    <row r="37" spans="1:32" ht="18" customHeight="1">
      <c r="A37" s="157">
        <v>34</v>
      </c>
      <c r="B37" s="77">
        <f>IF(A37&gt;Inputs!$C$44,"",ROUNDUP(A37/Inputs!$B$14,0))</f>
        <v>8</v>
      </c>
      <c r="C37" s="160" t="str">
        <f>IF(A37&gt;Inputs!$C$44,"",IF(A37&lt;=Inputs!$C$43,"Pago normal",IF(A37&lt;Inputs!$C$44,"Mora - sin pago","Evento de cierre")))</f>
        <v>Evento de cierre</v>
      </c>
      <c r="D37" s="149">
        <f>IF(A37&gt;Inputs!$C$44,"",J36)</f>
        <v>4491646.196595652</v>
      </c>
      <c r="E37" s="149">
        <f>IF(A37&gt;Inputs!$C$44,"",D37*Inputs!$B$17)</f>
        <v>54543.389205279767</v>
      </c>
      <c r="F37" s="149">
        <f>IF(A37&gt;Inputs!$C$44,"",IF(A37&lt;=Inputs!$C$43,MIN(Inputs!$B$20,D37+I36+E37),0))</f>
        <v>0</v>
      </c>
      <c r="G37" s="149">
        <f>IF(A37&gt;Inputs!$C$44,"",MIN(F37,I36+E37))</f>
        <v>0</v>
      </c>
      <c r="H37" s="149">
        <f>IF(A37&gt;Inputs!$C$44,"",MIN(MAX(0,F37-G37),D37))</f>
        <v>0</v>
      </c>
      <c r="I37" s="149">
        <f>IF(A37&gt;Inputs!$C$44,"",IF(A37=Inputs!$C$44,0,MAX(0,I36+E37-G37)))</f>
        <v>0</v>
      </c>
      <c r="J37" s="149">
        <f>IF(A37&gt;Inputs!$C$44,"",IF(A37=Inputs!$C$44,0,MAX(0,D37-H37)))</f>
        <v>0</v>
      </c>
      <c r="K37" s="149">
        <f>IF(A37&gt;Inputs!$C$44,"",IF(A37&lt;=Inputs!$C$43,0,A37-Inputs!$C$43))</f>
        <v>4</v>
      </c>
      <c r="L37" s="149">
        <f>IF(A37=Inputs!$C$44,D37+I36+E37,0)</f>
        <v>4709819.7534167711</v>
      </c>
      <c r="M37" s="149">
        <f>IF(A37=Inputs!$C$44,Inputs!$C$42,0)</f>
        <v>3000000</v>
      </c>
      <c r="N37" s="149">
        <f>IF(A37=Inputs!$C$44,MAX(0,L37-M37),0)</f>
        <v>1709819.7534167711</v>
      </c>
      <c r="O37" s="149">
        <f>IF(A37=Inputs!$C$44,MAX(0,M37-L37),0)</f>
        <v>0</v>
      </c>
      <c r="P37" s="163" t="str">
        <f>IF(A37&gt;Inputs!$C$44,"",IF(A37=Inputs!$C$44,"Cerrado por evento",IF(K37&gt;0,"En mora","Vigente al día")))</f>
        <v>Cerrado por evento</v>
      </c>
      <c r="Q37" s="149">
        <f>IF($A37&gt;Inputs!$C$44,"",IF($A37&lt;=Inputs!$C$43,Inputs!$B$28,0))</f>
        <v>0</v>
      </c>
      <c r="R37" s="149">
        <f>IF($A37&gt;Inputs!$C$44,"",IF($A37&lt;=Inputs!$C$43,Inputs!$B$29,0))</f>
        <v>0</v>
      </c>
      <c r="S37" s="149">
        <f>IF($A37&gt;Inputs!$C$44,"",IF($A37&lt;=Inputs!$C$43,Inputs!$B$30,0))</f>
        <v>0</v>
      </c>
      <c r="T37" s="149">
        <f>IF($A37&gt;Inputs!$C$44,"",SUM(Q37:S37))</f>
        <v>0</v>
      </c>
      <c r="U37" s="149">
        <f>IF($A37&gt;Inputs!$C$44,"",F37+T37)</f>
        <v>0</v>
      </c>
      <c r="V37" s="149">
        <f>IF($B37="","",IF(OR($B38="",ROUNDUP(($A37+1)/Inputs!$B$14,0)&gt;$B37),SUMIF($B$4:$B37,$B37,Q$4:Q37),0))</f>
        <v>0</v>
      </c>
      <c r="W37" s="149">
        <f>IF($B37="","",IF(OR($B38="",ROUNDUP(($A37+1)/Inputs!$B$14,0)&gt;$B37),SUMIF($B$4:$B37,$B37,R$4:R37),0))</f>
        <v>0</v>
      </c>
      <c r="X37" s="149">
        <f>IF($B37="","",IF(OR($B38="",ROUNDUP(($A37+1)/Inputs!$B$14,0)&gt;$B37),SUMIF($B$4:$B37,$B37,S$4:S37),0))</f>
        <v>0</v>
      </c>
      <c r="Y37" s="143"/>
      <c r="Z37" s="143"/>
      <c r="AA37" s="143"/>
      <c r="AB37" s="143"/>
      <c r="AC37" s="143"/>
      <c r="AD37" s="143"/>
      <c r="AE37" s="143"/>
      <c r="AF37" s="143"/>
    </row>
    <row r="38" spans="1:32" ht="18" customHeight="1">
      <c r="A38" s="157">
        <v>35</v>
      </c>
      <c r="B38" s="77" t="str">
        <f>IF(A38&gt;Inputs!$C$44,"",ROUNDUP(A38/Inputs!$B$14,0))</f>
        <v/>
      </c>
      <c r="C38" s="160" t="str">
        <f>IF(A38&gt;Inputs!$C$44,"",IF(A38&lt;=Inputs!$C$43,"Pago normal",IF(A38&lt;Inputs!$C$44,"Mora - sin pago","Evento de cierre")))</f>
        <v/>
      </c>
      <c r="D38" s="149" t="str">
        <f>IF(A38&gt;Inputs!$C$44,"",J37)</f>
        <v/>
      </c>
      <c r="E38" s="149" t="str">
        <f>IF(A38&gt;Inputs!$C$44,"",D38*Inputs!$B$17)</f>
        <v/>
      </c>
      <c r="F38" s="149" t="str">
        <f>IF(A38&gt;Inputs!$C$44,"",IF(A38&lt;=Inputs!$C$43,MIN(Inputs!$B$20,D38+I37+E38),0))</f>
        <v/>
      </c>
      <c r="G38" s="149" t="str">
        <f>IF(A38&gt;Inputs!$C$44,"",MIN(F38,I37+E38))</f>
        <v/>
      </c>
      <c r="H38" s="149" t="str">
        <f>IF(A38&gt;Inputs!$C$44,"",MIN(MAX(0,F38-G38),D38))</f>
        <v/>
      </c>
      <c r="I38" s="149" t="str">
        <f>IF(A38&gt;Inputs!$C$44,"",IF(A38=Inputs!$C$44,0,MAX(0,I37+E38-G38)))</f>
        <v/>
      </c>
      <c r="J38" s="149" t="str">
        <f>IF(A38&gt;Inputs!$C$44,"",IF(A38=Inputs!$C$44,0,MAX(0,D38-H38)))</f>
        <v/>
      </c>
      <c r="K38" s="149" t="str">
        <f>IF(A38&gt;Inputs!$C$44,"",IF(A38&lt;=Inputs!$C$43,0,A38-Inputs!$C$43))</f>
        <v/>
      </c>
      <c r="L38" s="149">
        <f>IF(A38=Inputs!$C$44,D38+I37+E38,0)</f>
        <v>0</v>
      </c>
      <c r="M38" s="149">
        <f>IF(A38=Inputs!$C$44,Inputs!$C$42,0)</f>
        <v>0</v>
      </c>
      <c r="N38" s="149">
        <f>IF(A38=Inputs!$C$44,MAX(0,L38-M38),0)</f>
        <v>0</v>
      </c>
      <c r="O38" s="149">
        <f>IF(A38=Inputs!$C$44,MAX(0,M38-L38),0)</f>
        <v>0</v>
      </c>
      <c r="P38" s="163" t="str">
        <f>IF(A38&gt;Inputs!$C$44,"",IF(A38=Inputs!$C$44,"Cerrado por evento",IF(K38&gt;0,"En mora","Vigente al día")))</f>
        <v/>
      </c>
      <c r="Q38" s="149" t="str">
        <f>IF($A38&gt;Inputs!$C$44,"",IF($A38&lt;=Inputs!$C$43,Inputs!$B$28,0))</f>
        <v/>
      </c>
      <c r="R38" s="149" t="str">
        <f>IF($A38&gt;Inputs!$C$44,"",IF($A38&lt;=Inputs!$C$43,Inputs!$B$29,0))</f>
        <v/>
      </c>
      <c r="S38" s="149" t="str">
        <f>IF($A38&gt;Inputs!$C$44,"",IF($A38&lt;=Inputs!$C$43,Inputs!$B$30,0))</f>
        <v/>
      </c>
      <c r="T38" s="149" t="str">
        <f>IF($A38&gt;Inputs!$C$44,"",SUM(Q38:S38))</f>
        <v/>
      </c>
      <c r="U38" s="149" t="str">
        <f>IF($A38&gt;Inputs!$C$44,"",F38+T38)</f>
        <v/>
      </c>
      <c r="V38" s="149" t="str">
        <f>IF($B38="","",IF(OR($B39="",ROUNDUP(($A38+1)/Inputs!$B$14,0)&gt;$B38),SUMIF($B$4:$B38,$B38,Q$4:Q38),0))</f>
        <v/>
      </c>
      <c r="W38" s="149" t="str">
        <f>IF($B38="","",IF(OR($B39="",ROUNDUP(($A38+1)/Inputs!$B$14,0)&gt;$B38),SUMIF($B$4:$B38,$B38,R$4:R38),0))</f>
        <v/>
      </c>
      <c r="X38" s="149" t="str">
        <f>IF($B38="","",IF(OR($B39="",ROUNDUP(($A38+1)/Inputs!$B$14,0)&gt;$B38),SUMIF($B$4:$B38,$B38,S$4:S38),0))</f>
        <v/>
      </c>
      <c r="Y38" s="143"/>
      <c r="Z38" s="143"/>
      <c r="AA38" s="143"/>
      <c r="AB38" s="143"/>
      <c r="AC38" s="143"/>
      <c r="AD38" s="143"/>
      <c r="AE38" s="143"/>
      <c r="AF38" s="143"/>
    </row>
    <row r="39" spans="1:32" ht="18" customHeight="1">
      <c r="A39" s="157">
        <v>36</v>
      </c>
      <c r="B39" s="77" t="str">
        <f>IF(A39&gt;Inputs!$C$44,"",ROUNDUP(A39/Inputs!$B$14,0))</f>
        <v/>
      </c>
      <c r="C39" s="160" t="str">
        <f>IF(A39&gt;Inputs!$C$44,"",IF(A39&lt;=Inputs!$C$43,"Pago normal",IF(A39&lt;Inputs!$C$44,"Mora - sin pago","Evento de cierre")))</f>
        <v/>
      </c>
      <c r="D39" s="149" t="str">
        <f>IF(A39&gt;Inputs!$C$44,"",J38)</f>
        <v/>
      </c>
      <c r="E39" s="149" t="str">
        <f>IF(A39&gt;Inputs!$C$44,"",D39*Inputs!$B$17)</f>
        <v/>
      </c>
      <c r="F39" s="149" t="str">
        <f>IF(A39&gt;Inputs!$C$44,"",IF(A39&lt;=Inputs!$C$43,MIN(Inputs!$B$20,D39+I38+E39),0))</f>
        <v/>
      </c>
      <c r="G39" s="149" t="str">
        <f>IF(A39&gt;Inputs!$C$44,"",MIN(F39,I38+E39))</f>
        <v/>
      </c>
      <c r="H39" s="149" t="str">
        <f>IF(A39&gt;Inputs!$C$44,"",MIN(MAX(0,F39-G39),D39))</f>
        <v/>
      </c>
      <c r="I39" s="149" t="str">
        <f>IF(A39&gt;Inputs!$C$44,"",IF(A39=Inputs!$C$44,0,MAX(0,I38+E39-G39)))</f>
        <v/>
      </c>
      <c r="J39" s="149" t="str">
        <f>IF(A39&gt;Inputs!$C$44,"",IF(A39=Inputs!$C$44,0,MAX(0,D39-H39)))</f>
        <v/>
      </c>
      <c r="K39" s="149" t="str">
        <f>IF(A39&gt;Inputs!$C$44,"",IF(A39&lt;=Inputs!$C$43,0,A39-Inputs!$C$43))</f>
        <v/>
      </c>
      <c r="L39" s="149">
        <f>IF(A39=Inputs!$C$44,D39+I38+E39,0)</f>
        <v>0</v>
      </c>
      <c r="M39" s="149">
        <f>IF(A39=Inputs!$C$44,Inputs!$C$42,0)</f>
        <v>0</v>
      </c>
      <c r="N39" s="149">
        <f>IF(A39=Inputs!$C$44,MAX(0,L39-M39),0)</f>
        <v>0</v>
      </c>
      <c r="O39" s="149">
        <f>IF(A39=Inputs!$C$44,MAX(0,M39-L39),0)</f>
        <v>0</v>
      </c>
      <c r="P39" s="163" t="str">
        <f>IF(A39&gt;Inputs!$C$44,"",IF(A39=Inputs!$C$44,"Cerrado por evento",IF(K39&gt;0,"En mora","Vigente al día")))</f>
        <v/>
      </c>
      <c r="Q39" s="149" t="str">
        <f>IF($A39&gt;Inputs!$C$44,"",IF($A39&lt;=Inputs!$C$43,Inputs!$B$28,0))</f>
        <v/>
      </c>
      <c r="R39" s="149" t="str">
        <f>IF($A39&gt;Inputs!$C$44,"",IF($A39&lt;=Inputs!$C$43,Inputs!$B$29,0))</f>
        <v/>
      </c>
      <c r="S39" s="149" t="str">
        <f>IF($A39&gt;Inputs!$C$44,"",IF($A39&lt;=Inputs!$C$43,Inputs!$B$30,0))</f>
        <v/>
      </c>
      <c r="T39" s="149" t="str">
        <f>IF($A39&gt;Inputs!$C$44,"",SUM(Q39:S39))</f>
        <v/>
      </c>
      <c r="U39" s="149" t="str">
        <f>IF($A39&gt;Inputs!$C$44,"",F39+T39)</f>
        <v/>
      </c>
      <c r="V39" s="149" t="str">
        <f>IF($B39="","",IF(OR($B40="",ROUNDUP(($A39+1)/Inputs!$B$14,0)&gt;$B39),SUMIF($B$4:$B39,$B39,Q$4:Q39),0))</f>
        <v/>
      </c>
      <c r="W39" s="149" t="str">
        <f>IF($B39="","",IF(OR($B40="",ROUNDUP(($A39+1)/Inputs!$B$14,0)&gt;$B39),SUMIF($B$4:$B39,$B39,R$4:R39),0))</f>
        <v/>
      </c>
      <c r="X39" s="149" t="str">
        <f>IF($B39="","",IF(OR($B40="",ROUNDUP(($A39+1)/Inputs!$B$14,0)&gt;$B39),SUMIF($B$4:$B39,$B39,S$4:S39),0))</f>
        <v/>
      </c>
      <c r="Y39" s="143"/>
      <c r="Z39" s="143"/>
      <c r="AA39" s="143"/>
      <c r="AB39" s="143"/>
      <c r="AC39" s="143"/>
      <c r="AD39" s="143"/>
      <c r="AE39" s="143"/>
      <c r="AF39" s="143"/>
    </row>
    <row r="40" spans="1:32" ht="18" customHeight="1">
      <c r="A40" s="157">
        <v>37</v>
      </c>
      <c r="B40" s="77" t="str">
        <f>IF(A40&gt;Inputs!$C$44,"",ROUNDUP(A40/Inputs!$B$14,0))</f>
        <v/>
      </c>
      <c r="C40" s="160" t="str">
        <f>IF(A40&gt;Inputs!$C$44,"",IF(A40&lt;=Inputs!$C$43,"Pago normal",IF(A40&lt;Inputs!$C$44,"Mora - sin pago","Evento de cierre")))</f>
        <v/>
      </c>
      <c r="D40" s="149" t="str">
        <f>IF(A40&gt;Inputs!$C$44,"",J39)</f>
        <v/>
      </c>
      <c r="E40" s="149" t="str">
        <f>IF(A40&gt;Inputs!$C$44,"",D40*Inputs!$B$17)</f>
        <v/>
      </c>
      <c r="F40" s="149" t="str">
        <f>IF(A40&gt;Inputs!$C$44,"",IF(A40&lt;=Inputs!$C$43,MIN(Inputs!$B$20,D40+I39+E40),0))</f>
        <v/>
      </c>
      <c r="G40" s="149" t="str">
        <f>IF(A40&gt;Inputs!$C$44,"",MIN(F40,I39+E40))</f>
        <v/>
      </c>
      <c r="H40" s="149" t="str">
        <f>IF(A40&gt;Inputs!$C$44,"",MIN(MAX(0,F40-G40),D40))</f>
        <v/>
      </c>
      <c r="I40" s="149" t="str">
        <f>IF(A40&gt;Inputs!$C$44,"",IF(A40=Inputs!$C$44,0,MAX(0,I39+E40-G40)))</f>
        <v/>
      </c>
      <c r="J40" s="149" t="str">
        <f>IF(A40&gt;Inputs!$C$44,"",IF(A40=Inputs!$C$44,0,MAX(0,D40-H40)))</f>
        <v/>
      </c>
      <c r="K40" s="149" t="str">
        <f>IF(A40&gt;Inputs!$C$44,"",IF(A40&lt;=Inputs!$C$43,0,A40-Inputs!$C$43))</f>
        <v/>
      </c>
      <c r="L40" s="149">
        <f>IF(A40=Inputs!$C$44,D40+I39+E40,0)</f>
        <v>0</v>
      </c>
      <c r="M40" s="149">
        <f>IF(A40=Inputs!$C$44,Inputs!$C$42,0)</f>
        <v>0</v>
      </c>
      <c r="N40" s="149">
        <f>IF(A40=Inputs!$C$44,MAX(0,L40-M40),0)</f>
        <v>0</v>
      </c>
      <c r="O40" s="149">
        <f>IF(A40=Inputs!$C$44,MAX(0,M40-L40),0)</f>
        <v>0</v>
      </c>
      <c r="P40" s="163" t="str">
        <f>IF(A40&gt;Inputs!$C$44,"",IF(A40=Inputs!$C$44,"Cerrado por evento",IF(K40&gt;0,"En mora","Vigente al día")))</f>
        <v/>
      </c>
      <c r="Q40" s="149" t="str">
        <f>IF($A40&gt;Inputs!$C$44,"",IF($A40&lt;=Inputs!$C$43,Inputs!$B$28,0))</f>
        <v/>
      </c>
      <c r="R40" s="149" t="str">
        <f>IF($A40&gt;Inputs!$C$44,"",IF($A40&lt;=Inputs!$C$43,Inputs!$B$29,0))</f>
        <v/>
      </c>
      <c r="S40" s="149" t="str">
        <f>IF($A40&gt;Inputs!$C$44,"",IF($A40&lt;=Inputs!$C$43,Inputs!$B$30,0))</f>
        <v/>
      </c>
      <c r="T40" s="149" t="str">
        <f>IF($A40&gt;Inputs!$C$44,"",SUM(Q40:S40))</f>
        <v/>
      </c>
      <c r="U40" s="149" t="str">
        <f>IF($A40&gt;Inputs!$C$44,"",F40+T40)</f>
        <v/>
      </c>
      <c r="V40" s="149" t="str">
        <f>IF($B40="","",IF(OR($B41="",ROUNDUP(($A40+1)/Inputs!$B$14,0)&gt;$B40),SUMIF($B$4:$B40,$B40,Q$4:Q40),0))</f>
        <v/>
      </c>
      <c r="W40" s="149" t="str">
        <f>IF($B40="","",IF(OR($B41="",ROUNDUP(($A40+1)/Inputs!$B$14,0)&gt;$B40),SUMIF($B$4:$B40,$B40,R$4:R40),0))</f>
        <v/>
      </c>
      <c r="X40" s="149" t="str">
        <f>IF($B40="","",IF(OR($B41="",ROUNDUP(($A40+1)/Inputs!$B$14,0)&gt;$B40),SUMIF($B$4:$B40,$B40,S$4:S40),0))</f>
        <v/>
      </c>
      <c r="Y40" s="143"/>
      <c r="Z40" s="143"/>
      <c r="AA40" s="143"/>
      <c r="AB40" s="143"/>
      <c r="AC40" s="143"/>
      <c r="AD40" s="143"/>
      <c r="AE40" s="143"/>
      <c r="AF40" s="143"/>
    </row>
    <row r="41" spans="1:32" ht="18" customHeight="1">
      <c r="A41" s="157">
        <v>38</v>
      </c>
      <c r="B41" s="77" t="str">
        <f>IF(A41&gt;Inputs!$C$44,"",ROUNDUP(A41/Inputs!$B$14,0))</f>
        <v/>
      </c>
      <c r="C41" s="160" t="str">
        <f>IF(A41&gt;Inputs!$C$44,"",IF(A41&lt;=Inputs!$C$43,"Pago normal",IF(A41&lt;Inputs!$C$44,"Mora - sin pago","Evento de cierre")))</f>
        <v/>
      </c>
      <c r="D41" s="149" t="str">
        <f>IF(A41&gt;Inputs!$C$44,"",J40)</f>
        <v/>
      </c>
      <c r="E41" s="149" t="str">
        <f>IF(A41&gt;Inputs!$C$44,"",D41*Inputs!$B$17)</f>
        <v/>
      </c>
      <c r="F41" s="149" t="str">
        <f>IF(A41&gt;Inputs!$C$44,"",IF(A41&lt;=Inputs!$C$43,MIN(Inputs!$B$20,D41+I40+E41),0))</f>
        <v/>
      </c>
      <c r="G41" s="149" t="str">
        <f>IF(A41&gt;Inputs!$C$44,"",MIN(F41,I40+E41))</f>
        <v/>
      </c>
      <c r="H41" s="149" t="str">
        <f>IF(A41&gt;Inputs!$C$44,"",MIN(MAX(0,F41-G41),D41))</f>
        <v/>
      </c>
      <c r="I41" s="149" t="str">
        <f>IF(A41&gt;Inputs!$C$44,"",IF(A41=Inputs!$C$44,0,MAX(0,I40+E41-G41)))</f>
        <v/>
      </c>
      <c r="J41" s="149" t="str">
        <f>IF(A41&gt;Inputs!$C$44,"",IF(A41=Inputs!$C$44,0,MAX(0,D41-H41)))</f>
        <v/>
      </c>
      <c r="K41" s="149" t="str">
        <f>IF(A41&gt;Inputs!$C$44,"",IF(A41&lt;=Inputs!$C$43,0,A41-Inputs!$C$43))</f>
        <v/>
      </c>
      <c r="L41" s="149">
        <f>IF(A41=Inputs!$C$44,D41+I40+E41,0)</f>
        <v>0</v>
      </c>
      <c r="M41" s="149">
        <f>IF(A41=Inputs!$C$44,Inputs!$C$42,0)</f>
        <v>0</v>
      </c>
      <c r="N41" s="149">
        <f>IF(A41=Inputs!$C$44,MAX(0,L41-M41),0)</f>
        <v>0</v>
      </c>
      <c r="O41" s="149">
        <f>IF(A41=Inputs!$C$44,MAX(0,M41-L41),0)</f>
        <v>0</v>
      </c>
      <c r="P41" s="163" t="str">
        <f>IF(A41&gt;Inputs!$C$44,"",IF(A41=Inputs!$C$44,"Cerrado por evento",IF(K41&gt;0,"En mora","Vigente al día")))</f>
        <v/>
      </c>
      <c r="Q41" s="149" t="str">
        <f>IF($A41&gt;Inputs!$C$44,"",IF($A41&lt;=Inputs!$C$43,Inputs!$B$28,0))</f>
        <v/>
      </c>
      <c r="R41" s="149" t="str">
        <f>IF($A41&gt;Inputs!$C$44,"",IF($A41&lt;=Inputs!$C$43,Inputs!$B$29,0))</f>
        <v/>
      </c>
      <c r="S41" s="149" t="str">
        <f>IF($A41&gt;Inputs!$C$44,"",IF($A41&lt;=Inputs!$C$43,Inputs!$B$30,0))</f>
        <v/>
      </c>
      <c r="T41" s="149" t="str">
        <f>IF($A41&gt;Inputs!$C$44,"",SUM(Q41:S41))</f>
        <v/>
      </c>
      <c r="U41" s="149" t="str">
        <f>IF($A41&gt;Inputs!$C$44,"",F41+T41)</f>
        <v/>
      </c>
      <c r="V41" s="149" t="str">
        <f>IF($B41="","",IF(OR($B42="",ROUNDUP(($A41+1)/Inputs!$B$14,0)&gt;$B41),SUMIF($B$4:$B41,$B41,Q$4:Q41),0))</f>
        <v/>
      </c>
      <c r="W41" s="149" t="str">
        <f>IF($B41="","",IF(OR($B42="",ROUNDUP(($A41+1)/Inputs!$B$14,0)&gt;$B41),SUMIF($B$4:$B41,$B41,R$4:R41),0))</f>
        <v/>
      </c>
      <c r="X41" s="149" t="str">
        <f>IF($B41="","",IF(OR($B42="",ROUNDUP(($A41+1)/Inputs!$B$14,0)&gt;$B41),SUMIF($B$4:$B41,$B41,S$4:S41),0))</f>
        <v/>
      </c>
      <c r="Y41" s="143"/>
      <c r="Z41" s="143"/>
      <c r="AA41" s="143"/>
      <c r="AB41" s="143"/>
      <c r="AC41" s="143"/>
      <c r="AD41" s="143"/>
      <c r="AE41" s="143"/>
      <c r="AF41" s="143"/>
    </row>
    <row r="42" spans="1:32" ht="18" customHeight="1">
      <c r="A42" s="157">
        <v>39</v>
      </c>
      <c r="B42" s="77" t="str">
        <f>IF(A42&gt;Inputs!$C$44,"",ROUNDUP(A42/Inputs!$B$14,0))</f>
        <v/>
      </c>
      <c r="C42" s="160" t="str">
        <f>IF(A42&gt;Inputs!$C$44,"",IF(A42&lt;=Inputs!$C$43,"Pago normal",IF(A42&lt;Inputs!$C$44,"Mora - sin pago","Evento de cierre")))</f>
        <v/>
      </c>
      <c r="D42" s="149" t="str">
        <f>IF(A42&gt;Inputs!$C$44,"",J41)</f>
        <v/>
      </c>
      <c r="E42" s="149" t="str">
        <f>IF(A42&gt;Inputs!$C$44,"",D42*Inputs!$B$17)</f>
        <v/>
      </c>
      <c r="F42" s="149" t="str">
        <f>IF(A42&gt;Inputs!$C$44,"",IF(A42&lt;=Inputs!$C$43,MIN(Inputs!$B$20,D42+I41+E42),0))</f>
        <v/>
      </c>
      <c r="G42" s="149" t="str">
        <f>IF(A42&gt;Inputs!$C$44,"",MIN(F42,I41+E42))</f>
        <v/>
      </c>
      <c r="H42" s="149" t="str">
        <f>IF(A42&gt;Inputs!$C$44,"",MIN(MAX(0,F42-G42),D42))</f>
        <v/>
      </c>
      <c r="I42" s="149" t="str">
        <f>IF(A42&gt;Inputs!$C$44,"",IF(A42=Inputs!$C$44,0,MAX(0,I41+E42-G42)))</f>
        <v/>
      </c>
      <c r="J42" s="149" t="str">
        <f>IF(A42&gt;Inputs!$C$44,"",IF(A42=Inputs!$C$44,0,MAX(0,D42-H42)))</f>
        <v/>
      </c>
      <c r="K42" s="149" t="str">
        <f>IF(A42&gt;Inputs!$C$44,"",IF(A42&lt;=Inputs!$C$43,0,A42-Inputs!$C$43))</f>
        <v/>
      </c>
      <c r="L42" s="149">
        <f>IF(A42=Inputs!$C$44,D42+I41+E42,0)</f>
        <v>0</v>
      </c>
      <c r="M42" s="149">
        <f>IF(A42=Inputs!$C$44,Inputs!$C$42,0)</f>
        <v>0</v>
      </c>
      <c r="N42" s="149">
        <f>IF(A42=Inputs!$C$44,MAX(0,L42-M42),0)</f>
        <v>0</v>
      </c>
      <c r="O42" s="149">
        <f>IF(A42=Inputs!$C$44,MAX(0,M42-L42),0)</f>
        <v>0</v>
      </c>
      <c r="P42" s="163" t="str">
        <f>IF(A42&gt;Inputs!$C$44,"",IF(A42=Inputs!$C$44,"Cerrado por evento",IF(K42&gt;0,"En mora","Vigente al día")))</f>
        <v/>
      </c>
      <c r="Q42" s="149" t="str">
        <f>IF($A42&gt;Inputs!$C$44,"",IF($A42&lt;=Inputs!$C$43,Inputs!$B$28,0))</f>
        <v/>
      </c>
      <c r="R42" s="149" t="str">
        <f>IF($A42&gt;Inputs!$C$44,"",IF($A42&lt;=Inputs!$C$43,Inputs!$B$29,0))</f>
        <v/>
      </c>
      <c r="S42" s="149" t="str">
        <f>IF($A42&gt;Inputs!$C$44,"",IF($A42&lt;=Inputs!$C$43,Inputs!$B$30,0))</f>
        <v/>
      </c>
      <c r="T42" s="149" t="str">
        <f>IF($A42&gt;Inputs!$C$44,"",SUM(Q42:S42))</f>
        <v/>
      </c>
      <c r="U42" s="149" t="str">
        <f>IF($A42&gt;Inputs!$C$44,"",F42+T42)</f>
        <v/>
      </c>
      <c r="V42" s="149" t="str">
        <f>IF($B42="","",IF(OR($B43="",ROUNDUP(($A42+1)/Inputs!$B$14,0)&gt;$B42),SUMIF($B$4:$B42,$B42,Q$4:Q42),0))</f>
        <v/>
      </c>
      <c r="W42" s="149" t="str">
        <f>IF($B42="","",IF(OR($B43="",ROUNDUP(($A42+1)/Inputs!$B$14,0)&gt;$B42),SUMIF($B$4:$B42,$B42,R$4:R42),0))</f>
        <v/>
      </c>
      <c r="X42" s="149" t="str">
        <f>IF($B42="","",IF(OR($B43="",ROUNDUP(($A42+1)/Inputs!$B$14,0)&gt;$B42),SUMIF($B$4:$B42,$B42,S$4:S42),0))</f>
        <v/>
      </c>
      <c r="Y42" s="143"/>
      <c r="Z42" s="143"/>
      <c r="AA42" s="143"/>
      <c r="AB42" s="143"/>
      <c r="AC42" s="143"/>
      <c r="AD42" s="143"/>
      <c r="AE42" s="143"/>
      <c r="AF42" s="143"/>
    </row>
    <row r="43" spans="1:32" ht="18" customHeight="1">
      <c r="A43" s="157">
        <v>40</v>
      </c>
      <c r="B43" s="77" t="str">
        <f>IF(A43&gt;Inputs!$C$44,"",ROUNDUP(A43/Inputs!$B$14,0))</f>
        <v/>
      </c>
      <c r="C43" s="160" t="str">
        <f>IF(A43&gt;Inputs!$C$44,"",IF(A43&lt;=Inputs!$C$43,"Pago normal",IF(A43&lt;Inputs!$C$44,"Mora - sin pago","Evento de cierre")))</f>
        <v/>
      </c>
      <c r="D43" s="149" t="str">
        <f>IF(A43&gt;Inputs!$C$44,"",J42)</f>
        <v/>
      </c>
      <c r="E43" s="149" t="str">
        <f>IF(A43&gt;Inputs!$C$44,"",D43*Inputs!$B$17)</f>
        <v/>
      </c>
      <c r="F43" s="149" t="str">
        <f>IF(A43&gt;Inputs!$C$44,"",IF(A43&lt;=Inputs!$C$43,MIN(Inputs!$B$20,D43+I42+E43),0))</f>
        <v/>
      </c>
      <c r="G43" s="149" t="str">
        <f>IF(A43&gt;Inputs!$C$44,"",MIN(F43,I42+E43))</f>
        <v/>
      </c>
      <c r="H43" s="149" t="str">
        <f>IF(A43&gt;Inputs!$C$44,"",MIN(MAX(0,F43-G43),D43))</f>
        <v/>
      </c>
      <c r="I43" s="149" t="str">
        <f>IF(A43&gt;Inputs!$C$44,"",IF(A43=Inputs!$C$44,0,MAX(0,I42+E43-G43)))</f>
        <v/>
      </c>
      <c r="J43" s="149" t="str">
        <f>IF(A43&gt;Inputs!$C$44,"",IF(A43=Inputs!$C$44,0,MAX(0,D43-H43)))</f>
        <v/>
      </c>
      <c r="K43" s="149" t="str">
        <f>IF(A43&gt;Inputs!$C$44,"",IF(A43&lt;=Inputs!$C$43,0,A43-Inputs!$C$43))</f>
        <v/>
      </c>
      <c r="L43" s="149">
        <f>IF(A43=Inputs!$C$44,D43+I42+E43,0)</f>
        <v>0</v>
      </c>
      <c r="M43" s="149">
        <f>IF(A43=Inputs!$C$44,Inputs!$C$42,0)</f>
        <v>0</v>
      </c>
      <c r="N43" s="149">
        <f>IF(A43=Inputs!$C$44,MAX(0,L43-M43),0)</f>
        <v>0</v>
      </c>
      <c r="O43" s="149">
        <f>IF(A43=Inputs!$C$44,MAX(0,M43-L43),0)</f>
        <v>0</v>
      </c>
      <c r="P43" s="163" t="str">
        <f>IF(A43&gt;Inputs!$C$44,"",IF(A43=Inputs!$C$44,"Cerrado por evento",IF(K43&gt;0,"En mora","Vigente al día")))</f>
        <v/>
      </c>
      <c r="Q43" s="149" t="str">
        <f>IF($A43&gt;Inputs!$C$44,"",IF($A43&lt;=Inputs!$C$43,Inputs!$B$28,0))</f>
        <v/>
      </c>
      <c r="R43" s="149" t="str">
        <f>IF($A43&gt;Inputs!$C$44,"",IF($A43&lt;=Inputs!$C$43,Inputs!$B$29,0))</f>
        <v/>
      </c>
      <c r="S43" s="149" t="str">
        <f>IF($A43&gt;Inputs!$C$44,"",IF($A43&lt;=Inputs!$C$43,Inputs!$B$30,0))</f>
        <v/>
      </c>
      <c r="T43" s="149" t="str">
        <f>IF($A43&gt;Inputs!$C$44,"",SUM(Q43:S43))</f>
        <v/>
      </c>
      <c r="U43" s="149" t="str">
        <f>IF($A43&gt;Inputs!$C$44,"",F43+T43)</f>
        <v/>
      </c>
      <c r="V43" s="149" t="str">
        <f>IF($B43="","",IF(OR($B44="",ROUNDUP(($A43+1)/Inputs!$B$14,0)&gt;$B43),SUMIF($B$4:$B43,$B43,Q$4:Q43),0))</f>
        <v/>
      </c>
      <c r="W43" s="149" t="str">
        <f>IF($B43="","",IF(OR($B44="",ROUNDUP(($A43+1)/Inputs!$B$14,0)&gt;$B43),SUMIF($B$4:$B43,$B43,R$4:R43),0))</f>
        <v/>
      </c>
      <c r="X43" s="149" t="str">
        <f>IF($B43="","",IF(OR($B44="",ROUNDUP(($A43+1)/Inputs!$B$14,0)&gt;$B43),SUMIF($B$4:$B43,$B43,S$4:S43),0))</f>
        <v/>
      </c>
      <c r="Y43" s="143"/>
      <c r="Z43" s="143"/>
      <c r="AA43" s="143"/>
      <c r="AB43" s="143"/>
      <c r="AC43" s="143"/>
      <c r="AD43" s="143"/>
      <c r="AE43" s="143"/>
      <c r="AF43" s="143"/>
    </row>
    <row r="44" spans="1:32" ht="18" customHeight="1">
      <c r="A44" s="157">
        <v>41</v>
      </c>
      <c r="B44" s="77" t="str">
        <f>IF(A44&gt;Inputs!$C$44,"",ROUNDUP(A44/Inputs!$B$14,0))</f>
        <v/>
      </c>
      <c r="C44" s="160" t="str">
        <f>IF(A44&gt;Inputs!$C$44,"",IF(A44&lt;=Inputs!$C$43,"Pago normal",IF(A44&lt;Inputs!$C$44,"Mora - sin pago","Evento de cierre")))</f>
        <v/>
      </c>
      <c r="D44" s="149" t="str">
        <f>IF(A44&gt;Inputs!$C$44,"",J43)</f>
        <v/>
      </c>
      <c r="E44" s="149" t="str">
        <f>IF(A44&gt;Inputs!$C$44,"",D44*Inputs!$B$17)</f>
        <v/>
      </c>
      <c r="F44" s="149" t="str">
        <f>IF(A44&gt;Inputs!$C$44,"",IF(A44&lt;=Inputs!$C$43,MIN(Inputs!$B$20,D44+I43+E44),0))</f>
        <v/>
      </c>
      <c r="G44" s="149" t="str">
        <f>IF(A44&gt;Inputs!$C$44,"",MIN(F44,I43+E44))</f>
        <v/>
      </c>
      <c r="H44" s="149" t="str">
        <f>IF(A44&gt;Inputs!$C$44,"",MIN(MAX(0,F44-G44),D44))</f>
        <v/>
      </c>
      <c r="I44" s="149" t="str">
        <f>IF(A44&gt;Inputs!$C$44,"",IF(A44=Inputs!$C$44,0,MAX(0,I43+E44-G44)))</f>
        <v/>
      </c>
      <c r="J44" s="149" t="str">
        <f>IF(A44&gt;Inputs!$C$44,"",IF(A44=Inputs!$C$44,0,MAX(0,D44-H44)))</f>
        <v/>
      </c>
      <c r="K44" s="149" t="str">
        <f>IF(A44&gt;Inputs!$C$44,"",IF(A44&lt;=Inputs!$C$43,0,A44-Inputs!$C$43))</f>
        <v/>
      </c>
      <c r="L44" s="149">
        <f>IF(A44=Inputs!$C$44,D44+I43+E44,0)</f>
        <v>0</v>
      </c>
      <c r="M44" s="149">
        <f>IF(A44=Inputs!$C$44,Inputs!$C$42,0)</f>
        <v>0</v>
      </c>
      <c r="N44" s="149">
        <f>IF(A44=Inputs!$C$44,MAX(0,L44-M44),0)</f>
        <v>0</v>
      </c>
      <c r="O44" s="149">
        <f>IF(A44=Inputs!$C$44,MAX(0,M44-L44),0)</f>
        <v>0</v>
      </c>
      <c r="P44" s="163" t="str">
        <f>IF(A44&gt;Inputs!$C$44,"",IF(A44=Inputs!$C$44,"Cerrado por evento",IF(K44&gt;0,"En mora","Vigente al día")))</f>
        <v/>
      </c>
      <c r="Q44" s="149" t="str">
        <f>IF($A44&gt;Inputs!$C$44,"",IF($A44&lt;=Inputs!$C$43,Inputs!$B$28,0))</f>
        <v/>
      </c>
      <c r="R44" s="149" t="str">
        <f>IF($A44&gt;Inputs!$C$44,"",IF($A44&lt;=Inputs!$C$43,Inputs!$B$29,0))</f>
        <v/>
      </c>
      <c r="S44" s="149" t="str">
        <f>IF($A44&gt;Inputs!$C$44,"",IF($A44&lt;=Inputs!$C$43,Inputs!$B$30,0))</f>
        <v/>
      </c>
      <c r="T44" s="149" t="str">
        <f>IF($A44&gt;Inputs!$C$44,"",SUM(Q44:S44))</f>
        <v/>
      </c>
      <c r="U44" s="149" t="str">
        <f>IF($A44&gt;Inputs!$C$44,"",F44+T44)</f>
        <v/>
      </c>
      <c r="V44" s="149" t="str">
        <f>IF($B44="","",IF(OR($B45="",ROUNDUP(($A44+1)/Inputs!$B$14,0)&gt;$B44),SUMIF($B$4:$B44,$B44,Q$4:Q44),0))</f>
        <v/>
      </c>
      <c r="W44" s="149" t="str">
        <f>IF($B44="","",IF(OR($B45="",ROUNDUP(($A44+1)/Inputs!$B$14,0)&gt;$B44),SUMIF($B$4:$B44,$B44,R$4:R44),0))</f>
        <v/>
      </c>
      <c r="X44" s="149" t="str">
        <f>IF($B44="","",IF(OR($B45="",ROUNDUP(($A44+1)/Inputs!$B$14,0)&gt;$B44),SUMIF($B$4:$B44,$B44,S$4:S44),0))</f>
        <v/>
      </c>
      <c r="Y44" s="143"/>
      <c r="Z44" s="143"/>
      <c r="AA44" s="143"/>
      <c r="AB44" s="143"/>
      <c r="AC44" s="143"/>
      <c r="AD44" s="143"/>
      <c r="AE44" s="143"/>
      <c r="AF44" s="143"/>
    </row>
    <row r="45" spans="1:32" ht="18" customHeight="1">
      <c r="A45" s="157">
        <v>42</v>
      </c>
      <c r="B45" s="77" t="str">
        <f>IF(A45&gt;Inputs!$C$44,"",ROUNDUP(A45/Inputs!$B$14,0))</f>
        <v/>
      </c>
      <c r="C45" s="160" t="str">
        <f>IF(A45&gt;Inputs!$C$44,"",IF(A45&lt;=Inputs!$C$43,"Pago normal",IF(A45&lt;Inputs!$C$44,"Mora - sin pago","Evento de cierre")))</f>
        <v/>
      </c>
      <c r="D45" s="149" t="str">
        <f>IF(A45&gt;Inputs!$C$44,"",J44)</f>
        <v/>
      </c>
      <c r="E45" s="149" t="str">
        <f>IF(A45&gt;Inputs!$C$44,"",D45*Inputs!$B$17)</f>
        <v/>
      </c>
      <c r="F45" s="149" t="str">
        <f>IF(A45&gt;Inputs!$C$44,"",IF(A45&lt;=Inputs!$C$43,MIN(Inputs!$B$20,D45+I44+E45),0))</f>
        <v/>
      </c>
      <c r="G45" s="149" t="str">
        <f>IF(A45&gt;Inputs!$C$44,"",MIN(F45,I44+E45))</f>
        <v/>
      </c>
      <c r="H45" s="149" t="str">
        <f>IF(A45&gt;Inputs!$C$44,"",MIN(MAX(0,F45-G45),D45))</f>
        <v/>
      </c>
      <c r="I45" s="149" t="str">
        <f>IF(A45&gt;Inputs!$C$44,"",IF(A45=Inputs!$C$44,0,MAX(0,I44+E45-G45)))</f>
        <v/>
      </c>
      <c r="J45" s="149" t="str">
        <f>IF(A45&gt;Inputs!$C$44,"",IF(A45=Inputs!$C$44,0,MAX(0,D45-H45)))</f>
        <v/>
      </c>
      <c r="K45" s="149" t="str">
        <f>IF(A45&gt;Inputs!$C$44,"",IF(A45&lt;=Inputs!$C$43,0,A45-Inputs!$C$43))</f>
        <v/>
      </c>
      <c r="L45" s="149">
        <f>IF(A45=Inputs!$C$44,D45+I44+E45,0)</f>
        <v>0</v>
      </c>
      <c r="M45" s="149">
        <f>IF(A45=Inputs!$C$44,Inputs!$C$42,0)</f>
        <v>0</v>
      </c>
      <c r="N45" s="149">
        <f>IF(A45=Inputs!$C$44,MAX(0,L45-M45),0)</f>
        <v>0</v>
      </c>
      <c r="O45" s="149">
        <f>IF(A45=Inputs!$C$44,MAX(0,M45-L45),0)</f>
        <v>0</v>
      </c>
      <c r="P45" s="163" t="str">
        <f>IF(A45&gt;Inputs!$C$44,"",IF(A45=Inputs!$C$44,"Cerrado por evento",IF(K45&gt;0,"En mora","Vigente al día")))</f>
        <v/>
      </c>
      <c r="Q45" s="149" t="str">
        <f>IF($A45&gt;Inputs!$C$44,"",IF($A45&lt;=Inputs!$C$43,Inputs!$B$28,0))</f>
        <v/>
      </c>
      <c r="R45" s="149" t="str">
        <f>IF($A45&gt;Inputs!$C$44,"",IF($A45&lt;=Inputs!$C$43,Inputs!$B$29,0))</f>
        <v/>
      </c>
      <c r="S45" s="149" t="str">
        <f>IF($A45&gt;Inputs!$C$44,"",IF($A45&lt;=Inputs!$C$43,Inputs!$B$30,0))</f>
        <v/>
      </c>
      <c r="T45" s="149" t="str">
        <f>IF($A45&gt;Inputs!$C$44,"",SUM(Q45:S45))</f>
        <v/>
      </c>
      <c r="U45" s="149" t="str">
        <f>IF($A45&gt;Inputs!$C$44,"",F45+T45)</f>
        <v/>
      </c>
      <c r="V45" s="149" t="str">
        <f>IF($B45="","",IF(OR($B46="",ROUNDUP(($A45+1)/Inputs!$B$14,0)&gt;$B45),SUMIF($B$4:$B45,$B45,Q$4:Q45),0))</f>
        <v/>
      </c>
      <c r="W45" s="149" t="str">
        <f>IF($B45="","",IF(OR($B46="",ROUNDUP(($A45+1)/Inputs!$B$14,0)&gt;$B45),SUMIF($B$4:$B45,$B45,R$4:R45),0))</f>
        <v/>
      </c>
      <c r="X45" s="149" t="str">
        <f>IF($B45="","",IF(OR($B46="",ROUNDUP(($A45+1)/Inputs!$B$14,0)&gt;$B45),SUMIF($B$4:$B45,$B45,S$4:S45),0))</f>
        <v/>
      </c>
      <c r="Y45" s="143"/>
      <c r="Z45" s="143"/>
      <c r="AA45" s="143"/>
      <c r="AB45" s="143"/>
      <c r="AC45" s="143"/>
      <c r="AD45" s="143"/>
      <c r="AE45" s="143"/>
      <c r="AF45" s="143"/>
    </row>
    <row r="46" spans="1:32" ht="18" customHeight="1">
      <c r="A46" s="157">
        <v>43</v>
      </c>
      <c r="B46" s="77" t="str">
        <f>IF(A46&gt;Inputs!$C$44,"",ROUNDUP(A46/Inputs!$B$14,0))</f>
        <v/>
      </c>
      <c r="C46" s="160" t="str">
        <f>IF(A46&gt;Inputs!$C$44,"",IF(A46&lt;=Inputs!$C$43,"Pago normal",IF(A46&lt;Inputs!$C$44,"Mora - sin pago","Evento de cierre")))</f>
        <v/>
      </c>
      <c r="D46" s="149" t="str">
        <f>IF(A46&gt;Inputs!$C$44,"",J45)</f>
        <v/>
      </c>
      <c r="E46" s="149" t="str">
        <f>IF(A46&gt;Inputs!$C$44,"",D46*Inputs!$B$17)</f>
        <v/>
      </c>
      <c r="F46" s="149" t="str">
        <f>IF(A46&gt;Inputs!$C$44,"",IF(A46&lt;=Inputs!$C$43,MIN(Inputs!$B$20,D46+I45+E46),0))</f>
        <v/>
      </c>
      <c r="G46" s="149" t="str">
        <f>IF(A46&gt;Inputs!$C$44,"",MIN(F46,I45+E46))</f>
        <v/>
      </c>
      <c r="H46" s="149" t="str">
        <f>IF(A46&gt;Inputs!$C$44,"",MIN(MAX(0,F46-G46),D46))</f>
        <v/>
      </c>
      <c r="I46" s="149" t="str">
        <f>IF(A46&gt;Inputs!$C$44,"",IF(A46=Inputs!$C$44,0,MAX(0,I45+E46-G46)))</f>
        <v/>
      </c>
      <c r="J46" s="149" t="str">
        <f>IF(A46&gt;Inputs!$C$44,"",IF(A46=Inputs!$C$44,0,MAX(0,D46-H46)))</f>
        <v/>
      </c>
      <c r="K46" s="149" t="str">
        <f>IF(A46&gt;Inputs!$C$44,"",IF(A46&lt;=Inputs!$C$43,0,A46-Inputs!$C$43))</f>
        <v/>
      </c>
      <c r="L46" s="149">
        <f>IF(A46=Inputs!$C$44,D46+I45+E46,0)</f>
        <v>0</v>
      </c>
      <c r="M46" s="149">
        <f>IF(A46=Inputs!$C$44,Inputs!$C$42,0)</f>
        <v>0</v>
      </c>
      <c r="N46" s="149">
        <f>IF(A46=Inputs!$C$44,MAX(0,L46-M46),0)</f>
        <v>0</v>
      </c>
      <c r="O46" s="149">
        <f>IF(A46=Inputs!$C$44,MAX(0,M46-L46),0)</f>
        <v>0</v>
      </c>
      <c r="P46" s="163" t="str">
        <f>IF(A46&gt;Inputs!$C$44,"",IF(A46=Inputs!$C$44,"Cerrado por evento",IF(K46&gt;0,"En mora","Vigente al día")))</f>
        <v/>
      </c>
      <c r="Q46" s="149" t="str">
        <f>IF($A46&gt;Inputs!$C$44,"",IF($A46&lt;=Inputs!$C$43,Inputs!$B$28,0))</f>
        <v/>
      </c>
      <c r="R46" s="149" t="str">
        <f>IF($A46&gt;Inputs!$C$44,"",IF($A46&lt;=Inputs!$C$43,Inputs!$B$29,0))</f>
        <v/>
      </c>
      <c r="S46" s="149" t="str">
        <f>IF($A46&gt;Inputs!$C$44,"",IF($A46&lt;=Inputs!$C$43,Inputs!$B$30,0))</f>
        <v/>
      </c>
      <c r="T46" s="149" t="str">
        <f>IF($A46&gt;Inputs!$C$44,"",SUM(Q46:S46))</f>
        <v/>
      </c>
      <c r="U46" s="149" t="str">
        <f>IF($A46&gt;Inputs!$C$44,"",F46+T46)</f>
        <v/>
      </c>
      <c r="V46" s="149" t="str">
        <f>IF($B46="","",IF(OR($B47="",ROUNDUP(($A46+1)/Inputs!$B$14,0)&gt;$B46),SUMIF($B$4:$B46,$B46,Q$4:Q46),0))</f>
        <v/>
      </c>
      <c r="W46" s="149" t="str">
        <f>IF($B46="","",IF(OR($B47="",ROUNDUP(($A46+1)/Inputs!$B$14,0)&gt;$B46),SUMIF($B$4:$B46,$B46,R$4:R46),0))</f>
        <v/>
      </c>
      <c r="X46" s="149" t="str">
        <f>IF($B46="","",IF(OR($B47="",ROUNDUP(($A46+1)/Inputs!$B$14,0)&gt;$B46),SUMIF($B$4:$B46,$B46,S$4:S46),0))</f>
        <v/>
      </c>
      <c r="Y46" s="143"/>
      <c r="Z46" s="143"/>
      <c r="AA46" s="143"/>
      <c r="AB46" s="143"/>
      <c r="AC46" s="143"/>
      <c r="AD46" s="143"/>
      <c r="AE46" s="143"/>
      <c r="AF46" s="143"/>
    </row>
    <row r="47" spans="1:32" ht="18" customHeight="1">
      <c r="A47" s="157">
        <v>44</v>
      </c>
      <c r="B47" s="77" t="str">
        <f>IF(A47&gt;Inputs!$C$44,"",ROUNDUP(A47/Inputs!$B$14,0))</f>
        <v/>
      </c>
      <c r="C47" s="160" t="str">
        <f>IF(A47&gt;Inputs!$C$44,"",IF(A47&lt;=Inputs!$C$43,"Pago normal",IF(A47&lt;Inputs!$C$44,"Mora - sin pago","Evento de cierre")))</f>
        <v/>
      </c>
      <c r="D47" s="149" t="str">
        <f>IF(A47&gt;Inputs!$C$44,"",J46)</f>
        <v/>
      </c>
      <c r="E47" s="149" t="str">
        <f>IF(A47&gt;Inputs!$C$44,"",D47*Inputs!$B$17)</f>
        <v/>
      </c>
      <c r="F47" s="149" t="str">
        <f>IF(A47&gt;Inputs!$C$44,"",IF(A47&lt;=Inputs!$C$43,MIN(Inputs!$B$20,D47+I46+E47),0))</f>
        <v/>
      </c>
      <c r="G47" s="149" t="str">
        <f>IF(A47&gt;Inputs!$C$44,"",MIN(F47,I46+E47))</f>
        <v/>
      </c>
      <c r="H47" s="149" t="str">
        <f>IF(A47&gt;Inputs!$C$44,"",MIN(MAX(0,F47-G47),D47))</f>
        <v/>
      </c>
      <c r="I47" s="149" t="str">
        <f>IF(A47&gt;Inputs!$C$44,"",IF(A47=Inputs!$C$44,0,MAX(0,I46+E47-G47)))</f>
        <v/>
      </c>
      <c r="J47" s="149" t="str">
        <f>IF(A47&gt;Inputs!$C$44,"",IF(A47=Inputs!$C$44,0,MAX(0,D47-H47)))</f>
        <v/>
      </c>
      <c r="K47" s="149" t="str">
        <f>IF(A47&gt;Inputs!$C$44,"",IF(A47&lt;=Inputs!$C$43,0,A47-Inputs!$C$43))</f>
        <v/>
      </c>
      <c r="L47" s="149">
        <f>IF(A47=Inputs!$C$44,D47+I46+E47,0)</f>
        <v>0</v>
      </c>
      <c r="M47" s="149">
        <f>IF(A47=Inputs!$C$44,Inputs!$C$42,0)</f>
        <v>0</v>
      </c>
      <c r="N47" s="149">
        <f>IF(A47=Inputs!$C$44,MAX(0,L47-M47),0)</f>
        <v>0</v>
      </c>
      <c r="O47" s="149">
        <f>IF(A47=Inputs!$C$44,MAX(0,M47-L47),0)</f>
        <v>0</v>
      </c>
      <c r="P47" s="163" t="str">
        <f>IF(A47&gt;Inputs!$C$44,"",IF(A47=Inputs!$C$44,"Cerrado por evento",IF(K47&gt;0,"En mora","Vigente al día")))</f>
        <v/>
      </c>
      <c r="Q47" s="149" t="str">
        <f>IF($A47&gt;Inputs!$C$44,"",IF($A47&lt;=Inputs!$C$43,Inputs!$B$28,0))</f>
        <v/>
      </c>
      <c r="R47" s="149" t="str">
        <f>IF($A47&gt;Inputs!$C$44,"",IF($A47&lt;=Inputs!$C$43,Inputs!$B$29,0))</f>
        <v/>
      </c>
      <c r="S47" s="149" t="str">
        <f>IF($A47&gt;Inputs!$C$44,"",IF($A47&lt;=Inputs!$C$43,Inputs!$B$30,0))</f>
        <v/>
      </c>
      <c r="T47" s="149" t="str">
        <f>IF($A47&gt;Inputs!$C$44,"",SUM(Q47:S47))</f>
        <v/>
      </c>
      <c r="U47" s="149" t="str">
        <f>IF($A47&gt;Inputs!$C$44,"",F47+T47)</f>
        <v/>
      </c>
      <c r="V47" s="149" t="str">
        <f>IF($B47="","",IF(OR($B48="",ROUNDUP(($A47+1)/Inputs!$B$14,0)&gt;$B47),SUMIF($B$4:$B47,$B47,Q$4:Q47),0))</f>
        <v/>
      </c>
      <c r="W47" s="149" t="str">
        <f>IF($B47="","",IF(OR($B48="",ROUNDUP(($A47+1)/Inputs!$B$14,0)&gt;$B47),SUMIF($B$4:$B47,$B47,R$4:R47),0))</f>
        <v/>
      </c>
      <c r="X47" s="149" t="str">
        <f>IF($B47="","",IF(OR($B48="",ROUNDUP(($A47+1)/Inputs!$B$14,0)&gt;$B47),SUMIF($B$4:$B47,$B47,S$4:S47),0))</f>
        <v/>
      </c>
      <c r="Y47" s="143"/>
      <c r="Z47" s="143"/>
      <c r="AA47" s="143"/>
      <c r="AB47" s="143"/>
      <c r="AC47" s="143"/>
      <c r="AD47" s="143"/>
      <c r="AE47" s="143"/>
      <c r="AF47" s="143"/>
    </row>
    <row r="48" spans="1:32" ht="18" customHeight="1">
      <c r="A48" s="157">
        <v>45</v>
      </c>
      <c r="B48" s="77" t="str">
        <f>IF(A48&gt;Inputs!$C$44,"",ROUNDUP(A48/Inputs!$B$14,0))</f>
        <v/>
      </c>
      <c r="C48" s="160" t="str">
        <f>IF(A48&gt;Inputs!$C$44,"",IF(A48&lt;=Inputs!$C$43,"Pago normal",IF(A48&lt;Inputs!$C$44,"Mora - sin pago","Evento de cierre")))</f>
        <v/>
      </c>
      <c r="D48" s="149" t="str">
        <f>IF(A48&gt;Inputs!$C$44,"",J47)</f>
        <v/>
      </c>
      <c r="E48" s="149" t="str">
        <f>IF(A48&gt;Inputs!$C$44,"",D48*Inputs!$B$17)</f>
        <v/>
      </c>
      <c r="F48" s="149" t="str">
        <f>IF(A48&gt;Inputs!$C$44,"",IF(A48&lt;=Inputs!$C$43,MIN(Inputs!$B$20,D48+I47+E48),0))</f>
        <v/>
      </c>
      <c r="G48" s="149" t="str">
        <f>IF(A48&gt;Inputs!$C$44,"",MIN(F48,I47+E48))</f>
        <v/>
      </c>
      <c r="H48" s="149" t="str">
        <f>IF(A48&gt;Inputs!$C$44,"",MIN(MAX(0,F48-G48),D48))</f>
        <v/>
      </c>
      <c r="I48" s="149" t="str">
        <f>IF(A48&gt;Inputs!$C$44,"",IF(A48=Inputs!$C$44,0,MAX(0,I47+E48-G48)))</f>
        <v/>
      </c>
      <c r="J48" s="149" t="str">
        <f>IF(A48&gt;Inputs!$C$44,"",IF(A48=Inputs!$C$44,0,MAX(0,D48-H48)))</f>
        <v/>
      </c>
      <c r="K48" s="149" t="str">
        <f>IF(A48&gt;Inputs!$C$44,"",IF(A48&lt;=Inputs!$C$43,0,A48-Inputs!$C$43))</f>
        <v/>
      </c>
      <c r="L48" s="149">
        <f>IF(A48=Inputs!$C$44,D48+I47+E48,0)</f>
        <v>0</v>
      </c>
      <c r="M48" s="149">
        <f>IF(A48=Inputs!$C$44,Inputs!$C$42,0)</f>
        <v>0</v>
      </c>
      <c r="N48" s="149">
        <f>IF(A48=Inputs!$C$44,MAX(0,L48-M48),0)</f>
        <v>0</v>
      </c>
      <c r="O48" s="149">
        <f>IF(A48=Inputs!$C$44,MAX(0,M48-L48),0)</f>
        <v>0</v>
      </c>
      <c r="P48" s="163" t="str">
        <f>IF(A48&gt;Inputs!$C$44,"",IF(A48=Inputs!$C$44,"Cerrado por evento",IF(K48&gt;0,"En mora","Vigente al día")))</f>
        <v/>
      </c>
      <c r="Q48" s="149" t="str">
        <f>IF($A48&gt;Inputs!$C$44,"",IF($A48&lt;=Inputs!$C$43,Inputs!$B$28,0))</f>
        <v/>
      </c>
      <c r="R48" s="149" t="str">
        <f>IF($A48&gt;Inputs!$C$44,"",IF($A48&lt;=Inputs!$C$43,Inputs!$B$29,0))</f>
        <v/>
      </c>
      <c r="S48" s="149" t="str">
        <f>IF($A48&gt;Inputs!$C$44,"",IF($A48&lt;=Inputs!$C$43,Inputs!$B$30,0))</f>
        <v/>
      </c>
      <c r="T48" s="149" t="str">
        <f>IF($A48&gt;Inputs!$C$44,"",SUM(Q48:S48))</f>
        <v/>
      </c>
      <c r="U48" s="149" t="str">
        <f>IF($A48&gt;Inputs!$C$44,"",F48+T48)</f>
        <v/>
      </c>
      <c r="V48" s="149" t="str">
        <f>IF($B48="","",IF(OR($B49="",ROUNDUP(($A48+1)/Inputs!$B$14,0)&gt;$B48),SUMIF($B$4:$B48,$B48,Q$4:Q48),0))</f>
        <v/>
      </c>
      <c r="W48" s="149" t="str">
        <f>IF($B48="","",IF(OR($B49="",ROUNDUP(($A48+1)/Inputs!$B$14,0)&gt;$B48),SUMIF($B$4:$B48,$B48,R$4:R48),0))</f>
        <v/>
      </c>
      <c r="X48" s="149" t="str">
        <f>IF($B48="","",IF(OR($B49="",ROUNDUP(($A48+1)/Inputs!$B$14,0)&gt;$B48),SUMIF($B$4:$B48,$B48,S$4:S48),0))</f>
        <v/>
      </c>
      <c r="Y48" s="143"/>
      <c r="Z48" s="143"/>
      <c r="AA48" s="143"/>
      <c r="AB48" s="143"/>
      <c r="AC48" s="143"/>
      <c r="AD48" s="143"/>
      <c r="AE48" s="143"/>
      <c r="AF48" s="143"/>
    </row>
    <row r="49" spans="1:32" ht="18" customHeight="1">
      <c r="A49" s="157">
        <v>46</v>
      </c>
      <c r="B49" s="77" t="str">
        <f>IF(A49&gt;Inputs!$C$44,"",ROUNDUP(A49/Inputs!$B$14,0))</f>
        <v/>
      </c>
      <c r="C49" s="160" t="str">
        <f>IF(A49&gt;Inputs!$C$44,"",IF(A49&lt;=Inputs!$C$43,"Pago normal",IF(A49&lt;Inputs!$C$44,"Mora - sin pago","Evento de cierre")))</f>
        <v/>
      </c>
      <c r="D49" s="149" t="str">
        <f>IF(A49&gt;Inputs!$C$44,"",J48)</f>
        <v/>
      </c>
      <c r="E49" s="149" t="str">
        <f>IF(A49&gt;Inputs!$C$44,"",D49*Inputs!$B$17)</f>
        <v/>
      </c>
      <c r="F49" s="149" t="str">
        <f>IF(A49&gt;Inputs!$C$44,"",IF(A49&lt;=Inputs!$C$43,MIN(Inputs!$B$20,D49+I48+E49),0))</f>
        <v/>
      </c>
      <c r="G49" s="149" t="str">
        <f>IF(A49&gt;Inputs!$C$44,"",MIN(F49,I48+E49))</f>
        <v/>
      </c>
      <c r="H49" s="149" t="str">
        <f>IF(A49&gt;Inputs!$C$44,"",MIN(MAX(0,F49-G49),D49))</f>
        <v/>
      </c>
      <c r="I49" s="149" t="str">
        <f>IF(A49&gt;Inputs!$C$44,"",IF(A49=Inputs!$C$44,0,MAX(0,I48+E49-G49)))</f>
        <v/>
      </c>
      <c r="J49" s="149" t="str">
        <f>IF(A49&gt;Inputs!$C$44,"",IF(A49=Inputs!$C$44,0,MAX(0,D49-H49)))</f>
        <v/>
      </c>
      <c r="K49" s="149" t="str">
        <f>IF(A49&gt;Inputs!$C$44,"",IF(A49&lt;=Inputs!$C$43,0,A49-Inputs!$C$43))</f>
        <v/>
      </c>
      <c r="L49" s="149">
        <f>IF(A49=Inputs!$C$44,D49+I48+E49,0)</f>
        <v>0</v>
      </c>
      <c r="M49" s="149">
        <f>IF(A49=Inputs!$C$44,Inputs!$C$42,0)</f>
        <v>0</v>
      </c>
      <c r="N49" s="149">
        <f>IF(A49=Inputs!$C$44,MAX(0,L49-M49),0)</f>
        <v>0</v>
      </c>
      <c r="O49" s="149">
        <f>IF(A49=Inputs!$C$44,MAX(0,M49-L49),0)</f>
        <v>0</v>
      </c>
      <c r="P49" s="163" t="str">
        <f>IF(A49&gt;Inputs!$C$44,"",IF(A49=Inputs!$C$44,"Cerrado por evento",IF(K49&gt;0,"En mora","Vigente al día")))</f>
        <v/>
      </c>
      <c r="Q49" s="149" t="str">
        <f>IF($A49&gt;Inputs!$C$44,"",IF($A49&lt;=Inputs!$C$43,Inputs!$B$28,0))</f>
        <v/>
      </c>
      <c r="R49" s="149" t="str">
        <f>IF($A49&gt;Inputs!$C$44,"",IF($A49&lt;=Inputs!$C$43,Inputs!$B$29,0))</f>
        <v/>
      </c>
      <c r="S49" s="149" t="str">
        <f>IF($A49&gt;Inputs!$C$44,"",IF($A49&lt;=Inputs!$C$43,Inputs!$B$30,0))</f>
        <v/>
      </c>
      <c r="T49" s="149" t="str">
        <f>IF($A49&gt;Inputs!$C$44,"",SUM(Q49:S49))</f>
        <v/>
      </c>
      <c r="U49" s="149" t="str">
        <f>IF($A49&gt;Inputs!$C$44,"",F49+T49)</f>
        <v/>
      </c>
      <c r="V49" s="149" t="str">
        <f>IF($B49="","",IF(OR($B50="",ROUNDUP(($A49+1)/Inputs!$B$14,0)&gt;$B49),SUMIF($B$4:$B49,$B49,Q$4:Q49),0))</f>
        <v/>
      </c>
      <c r="W49" s="149" t="str">
        <f>IF($B49="","",IF(OR($B50="",ROUNDUP(($A49+1)/Inputs!$B$14,0)&gt;$B49),SUMIF($B$4:$B49,$B49,R$4:R49),0))</f>
        <v/>
      </c>
      <c r="X49" s="149" t="str">
        <f>IF($B49="","",IF(OR($B50="",ROUNDUP(($A49+1)/Inputs!$B$14,0)&gt;$B49),SUMIF($B$4:$B49,$B49,S$4:S49),0))</f>
        <v/>
      </c>
      <c r="Y49" s="143"/>
      <c r="Z49" s="143"/>
      <c r="AA49" s="143"/>
      <c r="AB49" s="143"/>
      <c r="AC49" s="143"/>
      <c r="AD49" s="143"/>
      <c r="AE49" s="143"/>
      <c r="AF49" s="143"/>
    </row>
    <row r="50" spans="1:32" ht="18" customHeight="1">
      <c r="A50" s="157">
        <v>47</v>
      </c>
      <c r="B50" s="77" t="str">
        <f>IF(A50&gt;Inputs!$C$44,"",ROUNDUP(A50/Inputs!$B$14,0))</f>
        <v/>
      </c>
      <c r="C50" s="160" t="str">
        <f>IF(A50&gt;Inputs!$C$44,"",IF(A50&lt;=Inputs!$C$43,"Pago normal",IF(A50&lt;Inputs!$C$44,"Mora - sin pago","Evento de cierre")))</f>
        <v/>
      </c>
      <c r="D50" s="149" t="str">
        <f>IF(A50&gt;Inputs!$C$44,"",J49)</f>
        <v/>
      </c>
      <c r="E50" s="149" t="str">
        <f>IF(A50&gt;Inputs!$C$44,"",D50*Inputs!$B$17)</f>
        <v/>
      </c>
      <c r="F50" s="149" t="str">
        <f>IF(A50&gt;Inputs!$C$44,"",IF(A50&lt;=Inputs!$C$43,MIN(Inputs!$B$20,D50+I49+E50),0))</f>
        <v/>
      </c>
      <c r="G50" s="149" t="str">
        <f>IF(A50&gt;Inputs!$C$44,"",MIN(F50,I49+E50))</f>
        <v/>
      </c>
      <c r="H50" s="149" t="str">
        <f>IF(A50&gt;Inputs!$C$44,"",MIN(MAX(0,F50-G50),D50))</f>
        <v/>
      </c>
      <c r="I50" s="149" t="str">
        <f>IF(A50&gt;Inputs!$C$44,"",IF(A50=Inputs!$C$44,0,MAX(0,I49+E50-G50)))</f>
        <v/>
      </c>
      <c r="J50" s="149" t="str">
        <f>IF(A50&gt;Inputs!$C$44,"",IF(A50=Inputs!$C$44,0,MAX(0,D50-H50)))</f>
        <v/>
      </c>
      <c r="K50" s="149" t="str">
        <f>IF(A50&gt;Inputs!$C$44,"",IF(A50&lt;=Inputs!$C$43,0,A50-Inputs!$C$43))</f>
        <v/>
      </c>
      <c r="L50" s="149">
        <f>IF(A50=Inputs!$C$44,D50+I49+E50,0)</f>
        <v>0</v>
      </c>
      <c r="M50" s="149">
        <f>IF(A50=Inputs!$C$44,Inputs!$C$42,0)</f>
        <v>0</v>
      </c>
      <c r="N50" s="149">
        <f>IF(A50=Inputs!$C$44,MAX(0,L50-M50),0)</f>
        <v>0</v>
      </c>
      <c r="O50" s="149">
        <f>IF(A50=Inputs!$C$44,MAX(0,M50-L50),0)</f>
        <v>0</v>
      </c>
      <c r="P50" s="163" t="str">
        <f>IF(A50&gt;Inputs!$C$44,"",IF(A50=Inputs!$C$44,"Cerrado por evento",IF(K50&gt;0,"En mora","Vigente al día")))</f>
        <v/>
      </c>
      <c r="Q50" s="149" t="str">
        <f>IF($A50&gt;Inputs!$C$44,"",IF($A50&lt;=Inputs!$C$43,Inputs!$B$28,0))</f>
        <v/>
      </c>
      <c r="R50" s="149" t="str">
        <f>IF($A50&gt;Inputs!$C$44,"",IF($A50&lt;=Inputs!$C$43,Inputs!$B$29,0))</f>
        <v/>
      </c>
      <c r="S50" s="149" t="str">
        <f>IF($A50&gt;Inputs!$C$44,"",IF($A50&lt;=Inputs!$C$43,Inputs!$B$30,0))</f>
        <v/>
      </c>
      <c r="T50" s="149" t="str">
        <f>IF($A50&gt;Inputs!$C$44,"",SUM(Q50:S50))</f>
        <v/>
      </c>
      <c r="U50" s="149" t="str">
        <f>IF($A50&gt;Inputs!$C$44,"",F50+T50)</f>
        <v/>
      </c>
      <c r="V50" s="149" t="str">
        <f>IF($B50="","",IF(OR($B51="",ROUNDUP(($A50+1)/Inputs!$B$14,0)&gt;$B50),SUMIF($B$4:$B50,$B50,Q$4:Q50),0))</f>
        <v/>
      </c>
      <c r="W50" s="149" t="str">
        <f>IF($B50="","",IF(OR($B51="",ROUNDUP(($A50+1)/Inputs!$B$14,0)&gt;$B50),SUMIF($B$4:$B50,$B50,R$4:R50),0))</f>
        <v/>
      </c>
      <c r="X50" s="149" t="str">
        <f>IF($B50="","",IF(OR($B51="",ROUNDUP(($A50+1)/Inputs!$B$14,0)&gt;$B50),SUMIF($B$4:$B50,$B50,S$4:S50),0))</f>
        <v/>
      </c>
      <c r="Y50" s="143"/>
      <c r="Z50" s="143"/>
      <c r="AA50" s="143"/>
      <c r="AB50" s="143"/>
      <c r="AC50" s="143"/>
      <c r="AD50" s="143"/>
      <c r="AE50" s="143"/>
      <c r="AF50" s="143"/>
    </row>
    <row r="51" spans="1:32" ht="18" customHeight="1">
      <c r="A51" s="157">
        <v>48</v>
      </c>
      <c r="B51" s="77" t="str">
        <f>IF(A51&gt;Inputs!$C$44,"",ROUNDUP(A51/Inputs!$B$14,0))</f>
        <v/>
      </c>
      <c r="C51" s="160" t="str">
        <f>IF(A51&gt;Inputs!$C$44,"",IF(A51&lt;=Inputs!$C$43,"Pago normal",IF(A51&lt;Inputs!$C$44,"Mora - sin pago","Evento de cierre")))</f>
        <v/>
      </c>
      <c r="D51" s="149" t="str">
        <f>IF(A51&gt;Inputs!$C$44,"",J50)</f>
        <v/>
      </c>
      <c r="E51" s="149" t="str">
        <f>IF(A51&gt;Inputs!$C$44,"",D51*Inputs!$B$17)</f>
        <v/>
      </c>
      <c r="F51" s="149" t="str">
        <f>IF(A51&gt;Inputs!$C$44,"",IF(A51&lt;=Inputs!$C$43,MIN(Inputs!$B$20,D51+I50+E51),0))</f>
        <v/>
      </c>
      <c r="G51" s="149" t="str">
        <f>IF(A51&gt;Inputs!$C$44,"",MIN(F51,I50+E51))</f>
        <v/>
      </c>
      <c r="H51" s="149" t="str">
        <f>IF(A51&gt;Inputs!$C$44,"",MIN(MAX(0,F51-G51),D51))</f>
        <v/>
      </c>
      <c r="I51" s="149" t="str">
        <f>IF(A51&gt;Inputs!$C$44,"",IF(A51=Inputs!$C$44,0,MAX(0,I50+E51-G51)))</f>
        <v/>
      </c>
      <c r="J51" s="149" t="str">
        <f>IF(A51&gt;Inputs!$C$44,"",IF(A51=Inputs!$C$44,0,MAX(0,D51-H51)))</f>
        <v/>
      </c>
      <c r="K51" s="149" t="str">
        <f>IF(A51&gt;Inputs!$C$44,"",IF(A51&lt;=Inputs!$C$43,0,A51-Inputs!$C$43))</f>
        <v/>
      </c>
      <c r="L51" s="149">
        <f>IF(A51=Inputs!$C$44,D51+I50+E51,0)</f>
        <v>0</v>
      </c>
      <c r="M51" s="149">
        <f>IF(A51=Inputs!$C$44,Inputs!$C$42,0)</f>
        <v>0</v>
      </c>
      <c r="N51" s="149">
        <f>IF(A51=Inputs!$C$44,MAX(0,L51-M51),0)</f>
        <v>0</v>
      </c>
      <c r="O51" s="149">
        <f>IF(A51=Inputs!$C$44,MAX(0,M51-L51),0)</f>
        <v>0</v>
      </c>
      <c r="P51" s="163" t="str">
        <f>IF(A51&gt;Inputs!$C$44,"",IF(A51=Inputs!$C$44,"Cerrado por evento",IF(K51&gt;0,"En mora","Vigente al día")))</f>
        <v/>
      </c>
      <c r="Q51" s="149" t="str">
        <f>IF($A51&gt;Inputs!$C$44,"",IF($A51&lt;=Inputs!$C$43,Inputs!$B$28,0))</f>
        <v/>
      </c>
      <c r="R51" s="149" t="str">
        <f>IF($A51&gt;Inputs!$C$44,"",IF($A51&lt;=Inputs!$C$43,Inputs!$B$29,0))</f>
        <v/>
      </c>
      <c r="S51" s="149" t="str">
        <f>IF($A51&gt;Inputs!$C$44,"",IF($A51&lt;=Inputs!$C$43,Inputs!$B$30,0))</f>
        <v/>
      </c>
      <c r="T51" s="149" t="str">
        <f>IF($A51&gt;Inputs!$C$44,"",SUM(Q51:S51))</f>
        <v/>
      </c>
      <c r="U51" s="149" t="str">
        <f>IF($A51&gt;Inputs!$C$44,"",F51+T51)</f>
        <v/>
      </c>
      <c r="V51" s="149" t="str">
        <f>IF($B51="","",IF(OR($B52="",ROUNDUP(($A51+1)/Inputs!$B$14,0)&gt;$B51),SUMIF($B$4:$B51,$B51,Q$4:Q51),0))</f>
        <v/>
      </c>
      <c r="W51" s="149" t="str">
        <f>IF($B51="","",IF(OR($B52="",ROUNDUP(($A51+1)/Inputs!$B$14,0)&gt;$B51),SUMIF($B$4:$B51,$B51,R$4:R51),0))</f>
        <v/>
      </c>
      <c r="X51" s="149" t="str">
        <f>IF($B51="","",IF(OR($B52="",ROUNDUP(($A51+1)/Inputs!$B$14,0)&gt;$B51),SUMIF($B$4:$B51,$B51,S$4:S51),0))</f>
        <v/>
      </c>
      <c r="Y51" s="143"/>
      <c r="Z51" s="143"/>
      <c r="AA51" s="143"/>
      <c r="AB51" s="143"/>
      <c r="AC51" s="143"/>
      <c r="AD51" s="143"/>
      <c r="AE51" s="143"/>
      <c r="AF51" s="143"/>
    </row>
    <row r="52" spans="1:32" ht="18" customHeight="1">
      <c r="A52" s="157">
        <v>49</v>
      </c>
      <c r="B52" s="77" t="str">
        <f>IF(A52&gt;Inputs!$C$44,"",ROUNDUP(A52/Inputs!$B$14,0))</f>
        <v/>
      </c>
      <c r="C52" s="160" t="str">
        <f>IF(A52&gt;Inputs!$C$44,"",IF(A52&lt;=Inputs!$C$43,"Pago normal",IF(A52&lt;Inputs!$C$44,"Mora - sin pago","Evento de cierre")))</f>
        <v/>
      </c>
      <c r="D52" s="149" t="str">
        <f>IF(A52&gt;Inputs!$C$44,"",J51)</f>
        <v/>
      </c>
      <c r="E52" s="149" t="str">
        <f>IF(A52&gt;Inputs!$C$44,"",D52*Inputs!$B$17)</f>
        <v/>
      </c>
      <c r="F52" s="149" t="str">
        <f>IF(A52&gt;Inputs!$C$44,"",IF(A52&lt;=Inputs!$C$43,MIN(Inputs!$B$20,D52+I51+E52),0))</f>
        <v/>
      </c>
      <c r="G52" s="149" t="str">
        <f>IF(A52&gt;Inputs!$C$44,"",MIN(F52,I51+E52))</f>
        <v/>
      </c>
      <c r="H52" s="149" t="str">
        <f>IF(A52&gt;Inputs!$C$44,"",MIN(MAX(0,F52-G52),D52))</f>
        <v/>
      </c>
      <c r="I52" s="149" t="str">
        <f>IF(A52&gt;Inputs!$C$44,"",IF(A52=Inputs!$C$44,0,MAX(0,I51+E52-G52)))</f>
        <v/>
      </c>
      <c r="J52" s="149" t="str">
        <f>IF(A52&gt;Inputs!$C$44,"",IF(A52=Inputs!$C$44,0,MAX(0,D52-H52)))</f>
        <v/>
      </c>
      <c r="K52" s="149" t="str">
        <f>IF(A52&gt;Inputs!$C$44,"",IF(A52&lt;=Inputs!$C$43,0,A52-Inputs!$C$43))</f>
        <v/>
      </c>
      <c r="L52" s="149">
        <f>IF(A52=Inputs!$C$44,D52+I51+E52,0)</f>
        <v>0</v>
      </c>
      <c r="M52" s="149">
        <f>IF(A52=Inputs!$C$44,Inputs!$C$42,0)</f>
        <v>0</v>
      </c>
      <c r="N52" s="149">
        <f>IF(A52=Inputs!$C$44,MAX(0,L52-M52),0)</f>
        <v>0</v>
      </c>
      <c r="O52" s="149">
        <f>IF(A52=Inputs!$C$44,MAX(0,M52-L52),0)</f>
        <v>0</v>
      </c>
      <c r="P52" s="163" t="str">
        <f>IF(A52&gt;Inputs!$C$44,"",IF(A52=Inputs!$C$44,"Cerrado por evento",IF(K52&gt;0,"En mora","Vigente al día")))</f>
        <v/>
      </c>
      <c r="Q52" s="149" t="str">
        <f>IF($A52&gt;Inputs!$C$44,"",IF($A52&lt;=Inputs!$C$43,Inputs!$B$28,0))</f>
        <v/>
      </c>
      <c r="R52" s="149" t="str">
        <f>IF($A52&gt;Inputs!$C$44,"",IF($A52&lt;=Inputs!$C$43,Inputs!$B$29,0))</f>
        <v/>
      </c>
      <c r="S52" s="149" t="str">
        <f>IF($A52&gt;Inputs!$C$44,"",IF($A52&lt;=Inputs!$C$43,Inputs!$B$30,0))</f>
        <v/>
      </c>
      <c r="T52" s="149" t="str">
        <f>IF($A52&gt;Inputs!$C$44,"",SUM(Q52:S52))</f>
        <v/>
      </c>
      <c r="U52" s="149" t="str">
        <f>IF($A52&gt;Inputs!$C$44,"",F52+T52)</f>
        <v/>
      </c>
      <c r="V52" s="149" t="str">
        <f>IF($B52="","",IF(OR($B53="",ROUNDUP(($A52+1)/Inputs!$B$14,0)&gt;$B52),SUMIF($B$4:$B52,$B52,Q$4:Q52),0))</f>
        <v/>
      </c>
      <c r="W52" s="149" t="str">
        <f>IF($B52="","",IF(OR($B53="",ROUNDUP(($A52+1)/Inputs!$B$14,0)&gt;$B52),SUMIF($B$4:$B52,$B52,R$4:R52),0))</f>
        <v/>
      </c>
      <c r="X52" s="149" t="str">
        <f>IF($B52="","",IF(OR($B53="",ROUNDUP(($A52+1)/Inputs!$B$14,0)&gt;$B52),SUMIF($B$4:$B52,$B52,S$4:S52),0))</f>
        <v/>
      </c>
      <c r="Y52" s="143"/>
      <c r="Z52" s="143"/>
      <c r="AA52" s="143"/>
      <c r="AB52" s="143"/>
      <c r="AC52" s="143"/>
      <c r="AD52" s="143"/>
      <c r="AE52" s="143"/>
      <c r="AF52" s="143"/>
    </row>
    <row r="53" spans="1:32" ht="18" customHeight="1">
      <c r="A53" s="158">
        <v>50</v>
      </c>
      <c r="B53" s="78" t="str">
        <f>IF(A53&gt;Inputs!$C$44,"",ROUNDUP(A53/Inputs!$B$14,0))</f>
        <v/>
      </c>
      <c r="C53" s="161" t="str">
        <f>IF(A53&gt;Inputs!$C$44,"",IF(A53&lt;=Inputs!$C$43,"Pago normal",IF(A53&lt;Inputs!$C$44,"Mora - sin pago","Evento de cierre")))</f>
        <v/>
      </c>
      <c r="D53" s="151" t="str">
        <f>IF(A53&gt;Inputs!$C$44,"",J52)</f>
        <v/>
      </c>
      <c r="E53" s="151" t="str">
        <f>IF(A53&gt;Inputs!$C$44,"",D53*Inputs!$B$17)</f>
        <v/>
      </c>
      <c r="F53" s="151" t="str">
        <f>IF(A53&gt;Inputs!$C$44,"",IF(A53&lt;=Inputs!$C$43,MIN(Inputs!$B$20,D53+I52+E53),0))</f>
        <v/>
      </c>
      <c r="G53" s="151" t="str">
        <f>IF(A53&gt;Inputs!$C$44,"",MIN(F53,I52+E53))</f>
        <v/>
      </c>
      <c r="H53" s="151" t="str">
        <f>IF(A53&gt;Inputs!$C$44,"",MIN(MAX(0,F53-G53),D53))</f>
        <v/>
      </c>
      <c r="I53" s="151" t="str">
        <f>IF(A53&gt;Inputs!$C$44,"",IF(A53=Inputs!$C$44,0,MAX(0,I52+E53-G53)))</f>
        <v/>
      </c>
      <c r="J53" s="151" t="str">
        <f>IF(A53&gt;Inputs!$C$44,"",IF(A53=Inputs!$C$44,0,MAX(0,D53-H53)))</f>
        <v/>
      </c>
      <c r="K53" s="151" t="str">
        <f>IF(A53&gt;Inputs!$C$44,"",IF(A53&lt;=Inputs!$C$43,0,A53-Inputs!$C$43))</f>
        <v/>
      </c>
      <c r="L53" s="151">
        <f>IF(A53=Inputs!$C$44,D53+I52+E53,0)</f>
        <v>0</v>
      </c>
      <c r="M53" s="151">
        <f>IF(A53=Inputs!$C$44,Inputs!$C$42,0)</f>
        <v>0</v>
      </c>
      <c r="N53" s="151">
        <f>IF(A53=Inputs!$C$44,MAX(0,L53-M53),0)</f>
        <v>0</v>
      </c>
      <c r="O53" s="151">
        <f>IF(A53=Inputs!$C$44,MAX(0,M53-L53),0)</f>
        <v>0</v>
      </c>
      <c r="P53" s="164" t="str">
        <f>IF(A53&gt;Inputs!$C$44,"",IF(A53=Inputs!$C$44,"Cerrado por evento",IF(K53&gt;0,"En mora","Vigente al día")))</f>
        <v/>
      </c>
      <c r="Q53" s="151" t="str">
        <f>IF($A53&gt;Inputs!$C$44,"",IF($A53&lt;=Inputs!$C$43,Inputs!$B$28,0))</f>
        <v/>
      </c>
      <c r="R53" s="151" t="str">
        <f>IF($A53&gt;Inputs!$C$44,"",IF($A53&lt;=Inputs!$C$43,Inputs!$B$29,0))</f>
        <v/>
      </c>
      <c r="S53" s="151" t="str">
        <f>IF($A53&gt;Inputs!$C$44,"",IF($A53&lt;=Inputs!$C$43,Inputs!$B$30,0))</f>
        <v/>
      </c>
      <c r="T53" s="151" t="str">
        <f>IF($A53&gt;Inputs!$C$44,"",SUM(Q53:S53))</f>
        <v/>
      </c>
      <c r="U53" s="151" t="str">
        <f>IF($A53&gt;Inputs!$C$44,"",F53+T53)</f>
        <v/>
      </c>
      <c r="V53" s="151" t="str">
        <f>IF($B53="","",IF(OR($B54="",ROUNDUP(($A53+1)/Inputs!$B$14,0)&gt;$B53),SUMIF($B$4:$B53,$B53,Q$4:Q53),0))</f>
        <v/>
      </c>
      <c r="W53" s="151" t="str">
        <f>IF($B53="","",IF(OR($B54="",ROUNDUP(($A53+1)/Inputs!$B$14,0)&gt;$B53),SUMIF($B$4:$B53,$B53,R$4:R53),0))</f>
        <v/>
      </c>
      <c r="X53" s="151" t="str">
        <f>IF($B53="","",IF(OR($B54="",ROUNDUP(($A53+1)/Inputs!$B$14,0)&gt;$B53),SUMIF($B$4:$B53,$B53,S$4:S53),0))</f>
        <v/>
      </c>
      <c r="Y53" s="143"/>
      <c r="Z53" s="143"/>
      <c r="AA53" s="143"/>
      <c r="AB53" s="143"/>
      <c r="AC53" s="143"/>
      <c r="AD53" s="143"/>
      <c r="AE53" s="143"/>
      <c r="AF53" s="143"/>
    </row>
    <row r="54" spans="1:32" ht="18" customHeight="1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</row>
    <row r="55" spans="1:32" ht="18" customHeight="1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</row>
    <row r="56" spans="1:32" ht="18" customHeight="1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</row>
    <row r="57" spans="1:32" ht="18" customHeight="1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</row>
    <row r="58" spans="1:32" ht="18" customHeight="1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</row>
  </sheetData>
  <conditionalFormatting sqref="A4:X53">
    <cfRule type="expression" dxfId="62" priority="1">
      <formula>AND($C4&lt;&gt;"",$C4&lt;&gt;"Pago normal")</formula>
    </cfRule>
    <cfRule type="expression" dxfId="61" priority="2">
      <formula>AND(ISNUMBER($A4),MOD($A4,2)=0)</formula>
    </cfRule>
  </conditionalFormatting>
  <conditionalFormatting sqref="P4:P53">
    <cfRule type="containsText" dxfId="60" priority="3" operator="containsText" text="mora">
      <formula>NOT(ISERROR(SEARCH("mora",P4)))</formula>
    </cfRule>
    <cfRule type="containsText" dxfId="59" priority="4" operator="containsText" text="Vigente">
      <formula>NOT(ISERROR(SEARCH("Vigente",P4)))</formula>
    </cfRule>
    <cfRule type="containsText" dxfId="58" priority="5" operator="containsText" text="Amortiz">
      <formula>NOT(ISERROR(SEARCH("Amortiz",P4)))</formula>
    </cfRule>
    <cfRule type="containsText" dxfId="57" priority="6" operator="containsText" text="Cerrado">
      <formula>NOT(ISERROR(SEARCH("Cerrado",P4)))</formula>
    </cfRule>
    <cfRule type="containsText" dxfId="56" priority="7" operator="containsText" text="Cancel">
      <formula>NOT(ISERROR(SEARCH("Cancel",P4)))</formula>
    </cfRule>
  </conditionalFormatting>
  <conditionalFormatting sqref="AC14">
    <cfRule type="expression" dxfId="55" priority="8">
      <formula>ABS(AC14)&lt;0.5</formula>
    </cfRule>
    <cfRule type="expression" dxfId="54" priority="9">
      <formula>ABS(AC14)&gt;=0.5</formula>
    </cfRule>
  </conditionalFormatting>
  <hyperlinks>
    <hyperlink ref="Z17" location="'Casos'!A1" tooltip="Abrir Casos" display="←  Volver a Casos" xr:uid="{6B35B00B-6873-4E19-8629-CED35FDB3AF6}"/>
    <hyperlink ref="Z18" location="'Inputs'!A1" tooltip="Abrir Inputs" display="←  Ir a Inputs (parámetros)" xr:uid="{4BB3BFBD-F0C3-4490-9C91-29EC5D987D3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60"/>
  <sheetViews>
    <sheetView showGridLines="0" topLeftCell="Y1" workbookViewId="0">
      <pane ySplit="2" topLeftCell="A13" activePane="bottomLeft" state="frozen"/>
      <selection activeCell="E1" sqref="E1"/>
      <selection pane="bottomLeft" activeCell="AB21" sqref="AB21"/>
    </sheetView>
  </sheetViews>
  <sheetFormatPr baseColWidth="10" defaultColWidth="8.796875" defaultRowHeight="15" customHeight="1"/>
  <cols>
    <col min="1" max="2" width="9.69921875" style="3" customWidth="1"/>
    <col min="3" max="3" width="25" style="3" customWidth="1"/>
    <col min="4" max="15" width="16.69921875" style="3" customWidth="1"/>
    <col min="16" max="24" width="20" style="3" customWidth="1"/>
    <col min="25" max="25" width="3" style="3" customWidth="1"/>
    <col min="26" max="26" width="38.296875" style="3" customWidth="1"/>
    <col min="27" max="28" width="20" style="3" customWidth="1"/>
    <col min="29" max="29" width="55" style="3" customWidth="1"/>
    <col min="30" max="33" width="10.69921875" style="3" customWidth="1"/>
    <col min="34" max="16384" width="8.796875" style="3"/>
  </cols>
  <sheetData>
    <row r="1" spans="1:33" ht="34.049999999999997" customHeight="1">
      <c r="A1" s="148" t="s">
        <v>335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8"/>
      <c r="Z1" s="115" t="s">
        <v>336</v>
      </c>
      <c r="AA1" s="23"/>
      <c r="AB1" s="23"/>
      <c r="AC1" s="23"/>
      <c r="AD1" s="18"/>
      <c r="AE1" s="18"/>
      <c r="AF1" s="18"/>
      <c r="AG1" s="18"/>
    </row>
    <row r="2" spans="1:33" ht="34.049999999999997" customHeight="1">
      <c r="A2" s="140" t="s">
        <v>76</v>
      </c>
      <c r="B2" s="141" t="s">
        <v>77</v>
      </c>
      <c r="C2" s="141" t="s">
        <v>78</v>
      </c>
      <c r="D2" s="141" t="s">
        <v>79</v>
      </c>
      <c r="E2" s="141" t="s">
        <v>80</v>
      </c>
      <c r="F2" s="141" t="s">
        <v>120</v>
      </c>
      <c r="G2" s="141" t="s">
        <v>121</v>
      </c>
      <c r="H2" s="141" t="s">
        <v>81</v>
      </c>
      <c r="I2" s="141" t="s">
        <v>122</v>
      </c>
      <c r="J2" s="141" t="s">
        <v>123</v>
      </c>
      <c r="K2" s="141" t="s">
        <v>117</v>
      </c>
      <c r="L2" s="141" t="s">
        <v>118</v>
      </c>
      <c r="M2" s="141" t="s">
        <v>124</v>
      </c>
      <c r="N2" s="141" t="s">
        <v>125</v>
      </c>
      <c r="O2" s="141" t="s">
        <v>126</v>
      </c>
      <c r="P2" s="142" t="s">
        <v>90</v>
      </c>
      <c r="Q2" s="141" t="s">
        <v>82</v>
      </c>
      <c r="R2" s="141" t="s">
        <v>83</v>
      </c>
      <c r="S2" s="141" t="s">
        <v>84</v>
      </c>
      <c r="T2" s="141" t="s">
        <v>9</v>
      </c>
      <c r="U2" s="141" t="s">
        <v>85</v>
      </c>
      <c r="V2" s="141" t="s">
        <v>87</v>
      </c>
      <c r="W2" s="141" t="s">
        <v>88</v>
      </c>
      <c r="X2" s="141" t="s">
        <v>89</v>
      </c>
      <c r="Y2" s="18"/>
      <c r="Z2" s="188" t="s">
        <v>43</v>
      </c>
      <c r="AA2" s="180">
        <f>Inputs!$C$48</f>
        <v>13</v>
      </c>
      <c r="AB2" s="203"/>
      <c r="AC2" s="203"/>
      <c r="AD2" s="18"/>
      <c r="AE2" s="18"/>
      <c r="AF2" s="18"/>
      <c r="AG2" s="18"/>
    </row>
    <row r="3" spans="1:33" ht="18" customHeight="1">
      <c r="A3" s="155">
        <v>0</v>
      </c>
      <c r="B3" s="156">
        <v>0</v>
      </c>
      <c r="C3" s="159" t="s">
        <v>92</v>
      </c>
      <c r="D3" s="153">
        <f>Inputs!$B$3</f>
        <v>5904400</v>
      </c>
      <c r="E3" s="153">
        <v>0</v>
      </c>
      <c r="F3" s="153">
        <v>0</v>
      </c>
      <c r="G3" s="153">
        <v>0</v>
      </c>
      <c r="H3" s="153">
        <v>0</v>
      </c>
      <c r="I3" s="153">
        <v>0</v>
      </c>
      <c r="J3" s="153">
        <f>D3</f>
        <v>5904400</v>
      </c>
      <c r="K3" s="153">
        <v>0</v>
      </c>
      <c r="L3" s="153">
        <v>0</v>
      </c>
      <c r="M3" s="153">
        <v>0</v>
      </c>
      <c r="N3" s="153">
        <v>0</v>
      </c>
      <c r="O3" s="153">
        <v>0</v>
      </c>
      <c r="P3" s="162" t="s">
        <v>93</v>
      </c>
      <c r="Q3" s="153">
        <v>0</v>
      </c>
      <c r="R3" s="153">
        <v>0</v>
      </c>
      <c r="S3" s="153">
        <v>0</v>
      </c>
      <c r="T3" s="153">
        <v>0</v>
      </c>
      <c r="U3" s="153">
        <v>0</v>
      </c>
      <c r="V3" s="153">
        <v>0</v>
      </c>
      <c r="W3" s="153">
        <v>0</v>
      </c>
      <c r="X3" s="153">
        <v>0</v>
      </c>
      <c r="Y3" s="18"/>
      <c r="Z3" s="189" t="s">
        <v>60</v>
      </c>
      <c r="AA3" s="167">
        <f>Inputs!$C$49</f>
        <v>17</v>
      </c>
      <c r="AB3" s="203"/>
      <c r="AC3" s="203"/>
      <c r="AD3" s="18"/>
      <c r="AE3" s="18"/>
      <c r="AF3" s="18"/>
      <c r="AG3" s="18"/>
    </row>
    <row r="4" spans="1:33" ht="18" customHeight="1">
      <c r="A4" s="157">
        <v>1</v>
      </c>
      <c r="B4" s="77">
        <f>IF(A4&gt;Inputs!$C$49,"",ROUNDUP(A4/Inputs!$B$14,0))</f>
        <v>1</v>
      </c>
      <c r="C4" s="160" t="str">
        <f>IF(A4&gt;Inputs!$C$49,"",IF(A4&lt;=Inputs!$C$48,"Pago normal",IF(A4&lt;Inputs!$C$49,"Mora - sin pago","Evento de cierre")))</f>
        <v>Pago normal</v>
      </c>
      <c r="D4" s="149">
        <f>IF(A4&gt;Inputs!$C$49,"",J3)</f>
        <v>5904400</v>
      </c>
      <c r="E4" s="149">
        <f>IF(A4&gt;Inputs!$C$49,"",D4*Inputs!$B$17)</f>
        <v>71698.876787700196</v>
      </c>
      <c r="F4" s="149">
        <f>IF(A4&gt;Inputs!$C$49,"",IF(A4&lt;=Inputs!$C$48,MIN(Inputs!$B$20,D4+I3+E4),0))</f>
        <v>111014.82187676849</v>
      </c>
      <c r="G4" s="149">
        <f>IF(A4&gt;Inputs!$C$49,"",MIN(F4,I3+E4))</f>
        <v>71698.876787700196</v>
      </c>
      <c r="H4" s="149">
        <f>IF(A4&gt;Inputs!$C$49,"",MIN(MAX(0,F4-G4),D4))</f>
        <v>39315.945089068293</v>
      </c>
      <c r="I4" s="149">
        <f>IF(A4&gt;Inputs!$C$49,"",IF(A4=Inputs!$C$49,0,MAX(0,I3+E4-G4)))</f>
        <v>0</v>
      </c>
      <c r="J4" s="149">
        <f>IF(A4&gt;Inputs!$C$49,"",IF(A4=Inputs!$C$49,0,MAX(0,D4-H4)))</f>
        <v>5865084.0549109317</v>
      </c>
      <c r="K4" s="149">
        <f>IF(A4&gt;Inputs!$C$49,"",IF(A4&lt;=Inputs!$C$48,0,A4-Inputs!$C$48))</f>
        <v>0</v>
      </c>
      <c r="L4" s="149">
        <f>IF(A4=Inputs!$C$49,D4+I3+E4,0)</f>
        <v>0</v>
      </c>
      <c r="M4" s="149">
        <f>IF(A4=Inputs!$C$49,Inputs!$C$47,0)</f>
        <v>0</v>
      </c>
      <c r="N4" s="149">
        <f>0</f>
        <v>0</v>
      </c>
      <c r="O4" s="149">
        <f>IF(A4=Inputs!$C$49,MAX(0,M4-L4),0)</f>
        <v>0</v>
      </c>
      <c r="P4" s="163" t="str">
        <f>IF(A4&gt;Inputs!$C$49,"",IF(A4=Inputs!$C$49,"Cerrado por evento",IF(K4&gt;0,"En mora","Vigente al día")))</f>
        <v>Vigente al día</v>
      </c>
      <c r="Q4" s="149">
        <f>IF($A4&gt;Inputs!$C$49,"",IF($A4&lt;=Inputs!$C$48,Inputs!$B$28,0))</f>
        <v>48643.172307692315</v>
      </c>
      <c r="R4" s="149">
        <f>IF($A4&gt;Inputs!$C$49,"",IF($A4&lt;=Inputs!$C$48,Inputs!$B$29,0))</f>
        <v>10984.615384615387</v>
      </c>
      <c r="S4" s="149">
        <f>IF($A4&gt;Inputs!$C$49,"",IF($A4&lt;=Inputs!$C$48,Inputs!$B$30,0))</f>
        <v>3406.3846153846157</v>
      </c>
      <c r="T4" s="149">
        <f>IF($A4&gt;Inputs!$C$49,"",SUM(Q4:S4))</f>
        <v>63034.172307692315</v>
      </c>
      <c r="U4" s="149">
        <f>IF($A4&gt;Inputs!$C$49,"",F4+T4)</f>
        <v>174048.99418446081</v>
      </c>
      <c r="V4" s="149">
        <f>IF($B4="","",IF(OR($B5="",ROUNDUP(($A4+1)/Inputs!$B$14,0)&gt;$B4),SUMIF($B$4:$B4,$B4,Q$4:Q4),0))</f>
        <v>0</v>
      </c>
      <c r="W4" s="149">
        <f>IF($B4="","",IF(OR($B5="",ROUNDUP(($A4+1)/Inputs!$B$14,0)&gt;$B4),SUMIF($B$4:$B4,$B4,R$4:R4),0))</f>
        <v>0</v>
      </c>
      <c r="X4" s="149">
        <f>IF($B4="","",IF(OR($B5="",ROUNDUP(($A4+1)/Inputs!$B$14,0)&gt;$B4),SUMIF($B$4:$B4,$B4,S$4:S4),0))</f>
        <v>0</v>
      </c>
      <c r="Y4" s="18"/>
      <c r="Z4" s="189" t="s">
        <v>117</v>
      </c>
      <c r="AA4" s="167">
        <f>Inputs!$C$49-Inputs!$C$48</f>
        <v>4</v>
      </c>
      <c r="AB4" s="203"/>
      <c r="AC4" s="203"/>
      <c r="AD4" s="18"/>
      <c r="AE4" s="18"/>
      <c r="AF4" s="18"/>
      <c r="AG4" s="18"/>
    </row>
    <row r="5" spans="1:33" ht="18" customHeight="1">
      <c r="A5" s="157">
        <v>2</v>
      </c>
      <c r="B5" s="77">
        <f>IF(A5&gt;Inputs!$C$49,"",ROUNDUP(A5/Inputs!$B$14,0))</f>
        <v>1</v>
      </c>
      <c r="C5" s="160" t="str">
        <f>IF(A5&gt;Inputs!$C$49,"",IF(A5&lt;=Inputs!$C$48,"Pago normal",IF(A5&lt;Inputs!$C$49,"Mora - sin pago","Evento de cierre")))</f>
        <v>Pago normal</v>
      </c>
      <c r="D5" s="149">
        <f>IF(A5&gt;Inputs!$C$49,"",J4)</f>
        <v>5865084.0549109317</v>
      </c>
      <c r="E5" s="149">
        <f>IF(A5&gt;Inputs!$C$49,"",D5*Inputs!$B$17)</f>
        <v>71221.451629727657</v>
      </c>
      <c r="F5" s="149">
        <f>IF(A5&gt;Inputs!$C$49,"",IF(A5&lt;=Inputs!$C$48,MIN(Inputs!$B$20,D5+I4+E5),0))</f>
        <v>111014.82187676849</v>
      </c>
      <c r="G5" s="149">
        <f>IF(A5&gt;Inputs!$C$49,"",MIN(F5,I4+E5))</f>
        <v>71221.451629727657</v>
      </c>
      <c r="H5" s="149">
        <f>IF(A5&gt;Inputs!$C$49,"",MIN(MAX(0,F5-G5),D5))</f>
        <v>39793.370247040832</v>
      </c>
      <c r="I5" s="149">
        <f>IF(A5&gt;Inputs!$C$49,"",IF(A5=Inputs!$C$49,0,MAX(0,I4+E5-G5)))</f>
        <v>0</v>
      </c>
      <c r="J5" s="149">
        <f>IF(A5&gt;Inputs!$C$49,"",IF(A5=Inputs!$C$49,0,MAX(0,D5-H5)))</f>
        <v>5825290.6846638909</v>
      </c>
      <c r="K5" s="149">
        <f>IF(A5&gt;Inputs!$C$49,"",IF(A5&lt;=Inputs!$C$48,0,A5-Inputs!$C$48))</f>
        <v>0</v>
      </c>
      <c r="L5" s="149">
        <f>IF(A5=Inputs!$C$49,D5+I4+E5,0)</f>
        <v>0</v>
      </c>
      <c r="M5" s="149">
        <f>IF(A5=Inputs!$C$49,Inputs!$C$47,0)</f>
        <v>0</v>
      </c>
      <c r="N5" s="149">
        <f>0</f>
        <v>0</v>
      </c>
      <c r="O5" s="149">
        <f>IF(A5=Inputs!$C$49,MAX(0,M5-L5),0)</f>
        <v>0</v>
      </c>
      <c r="P5" s="163" t="str">
        <f>IF(A5&gt;Inputs!$C$49,"",IF(A5=Inputs!$C$49,"Cerrado por evento",IF(K5&gt;0,"En mora","Vigente al día")))</f>
        <v>Vigente al día</v>
      </c>
      <c r="Q5" s="149">
        <f>IF($A5&gt;Inputs!$C$49,"",IF($A5&lt;=Inputs!$C$48,Inputs!$B$28,0))</f>
        <v>48643.172307692315</v>
      </c>
      <c r="R5" s="149">
        <f>IF($A5&gt;Inputs!$C$49,"",IF($A5&lt;=Inputs!$C$48,Inputs!$B$29,0))</f>
        <v>10984.615384615387</v>
      </c>
      <c r="S5" s="149">
        <f>IF($A5&gt;Inputs!$C$49,"",IF($A5&lt;=Inputs!$C$48,Inputs!$B$30,0))</f>
        <v>3406.3846153846157</v>
      </c>
      <c r="T5" s="149">
        <f>IF($A5&gt;Inputs!$C$49,"",SUM(Q5:S5))</f>
        <v>63034.172307692315</v>
      </c>
      <c r="U5" s="149">
        <f>IF($A5&gt;Inputs!$C$49,"",F5+T5)</f>
        <v>174048.99418446081</v>
      </c>
      <c r="V5" s="149">
        <f>IF($B5="","",IF(OR($B6="",ROUNDUP(($A5+1)/Inputs!$B$14,0)&gt;$B5),SUMIF($B$4:$B5,$B5,Q$4:Q5),0))</f>
        <v>0</v>
      </c>
      <c r="W5" s="149">
        <f>IF($B5="","",IF(OR($B6="",ROUNDUP(($A5+1)/Inputs!$B$14,0)&gt;$B5),SUMIF($B$4:$B5,$B5,R$4:R5),0))</f>
        <v>0</v>
      </c>
      <c r="X5" s="149">
        <f>IF($B5="","",IF(OR($B6="",ROUNDUP(($A5+1)/Inputs!$B$14,0)&gt;$B5),SUMIF($B$4:$B5,$B5,S$4:S5),0))</f>
        <v>0</v>
      </c>
      <c r="Y5" s="18"/>
      <c r="Z5" s="189" t="s">
        <v>118</v>
      </c>
      <c r="AA5" s="167">
        <f>INDEX(L4:L53,Inputs!$C$49)</f>
        <v>5614421.543517285</v>
      </c>
      <c r="AB5" s="185"/>
      <c r="AC5" s="185"/>
      <c r="AD5" s="18"/>
      <c r="AE5" s="18"/>
      <c r="AF5" s="18"/>
      <c r="AG5" s="18"/>
    </row>
    <row r="6" spans="1:33" ht="18" customHeight="1">
      <c r="A6" s="157">
        <v>3</v>
      </c>
      <c r="B6" s="77">
        <f>IF(A6&gt;Inputs!$C$49,"",ROUNDUP(A6/Inputs!$B$14,0))</f>
        <v>1</v>
      </c>
      <c r="C6" s="160" t="str">
        <f>IF(A6&gt;Inputs!$C$49,"",IF(A6&lt;=Inputs!$C$48,"Pago normal",IF(A6&lt;Inputs!$C$49,"Mora - sin pago","Evento de cierre")))</f>
        <v>Pago normal</v>
      </c>
      <c r="D6" s="149">
        <f>IF(A6&gt;Inputs!$C$49,"",J5)</f>
        <v>5825290.6846638909</v>
      </c>
      <c r="E6" s="149">
        <f>IF(A6&gt;Inputs!$C$49,"",D6*Inputs!$B$17)</f>
        <v>70738.228956753272</v>
      </c>
      <c r="F6" s="149">
        <f>IF(A6&gt;Inputs!$C$49,"",IF(A6&lt;=Inputs!$C$48,MIN(Inputs!$B$20,D6+I5+E6),0))</f>
        <v>111014.82187676849</v>
      </c>
      <c r="G6" s="149">
        <f>IF(A6&gt;Inputs!$C$49,"",MIN(F6,I5+E6))</f>
        <v>70738.228956753272</v>
      </c>
      <c r="H6" s="149">
        <f>IF(A6&gt;Inputs!$C$49,"",MIN(MAX(0,F6-G6),D6))</f>
        <v>40276.592920015217</v>
      </c>
      <c r="I6" s="149">
        <f>IF(A6&gt;Inputs!$C$49,"",IF(A6=Inputs!$C$49,0,MAX(0,I5+E6-G6)))</f>
        <v>0</v>
      </c>
      <c r="J6" s="149">
        <f>IF(A6&gt;Inputs!$C$49,"",IF(A6=Inputs!$C$49,0,MAX(0,D6-H6)))</f>
        <v>5785014.0917438753</v>
      </c>
      <c r="K6" s="149">
        <f>IF(A6&gt;Inputs!$C$49,"",IF(A6&lt;=Inputs!$C$48,0,A6-Inputs!$C$48))</f>
        <v>0</v>
      </c>
      <c r="L6" s="149">
        <f>IF(A6=Inputs!$C$49,D6+I5+E6,0)</f>
        <v>0</v>
      </c>
      <c r="M6" s="149">
        <f>IF(A6=Inputs!$C$49,Inputs!$C$47,0)</f>
        <v>0</v>
      </c>
      <c r="N6" s="149">
        <f>0</f>
        <v>0</v>
      </c>
      <c r="O6" s="149">
        <f>IF(A6=Inputs!$C$49,MAX(0,M6-L6),0)</f>
        <v>0</v>
      </c>
      <c r="P6" s="163" t="str">
        <f>IF(A6&gt;Inputs!$C$49,"",IF(A6=Inputs!$C$49,"Cerrado por evento",IF(K6&gt;0,"En mora","Vigente al día")))</f>
        <v>Vigente al día</v>
      </c>
      <c r="Q6" s="149">
        <f>IF($A6&gt;Inputs!$C$49,"",IF($A6&lt;=Inputs!$C$48,Inputs!$B$28,0))</f>
        <v>48643.172307692315</v>
      </c>
      <c r="R6" s="149">
        <f>IF($A6&gt;Inputs!$C$49,"",IF($A6&lt;=Inputs!$C$48,Inputs!$B$29,0))</f>
        <v>10984.615384615387</v>
      </c>
      <c r="S6" s="149">
        <f>IF($A6&gt;Inputs!$C$49,"",IF($A6&lt;=Inputs!$C$48,Inputs!$B$30,0))</f>
        <v>3406.3846153846157</v>
      </c>
      <c r="T6" s="149">
        <f>IF($A6&gt;Inputs!$C$49,"",SUM(Q6:S6))</f>
        <v>63034.172307692315</v>
      </c>
      <c r="U6" s="149">
        <f>IF($A6&gt;Inputs!$C$49,"",F6+T6)</f>
        <v>174048.99418446081</v>
      </c>
      <c r="V6" s="149">
        <f>IF($B6="","",IF(OR($B7="",ROUNDUP(($A6+1)/Inputs!$B$14,0)&gt;$B6),SUMIF($B$4:$B6,$B6,Q$4:Q6),0))</f>
        <v>0</v>
      </c>
      <c r="W6" s="149">
        <f>IF($B6="","",IF(OR($B7="",ROUNDUP(($A6+1)/Inputs!$B$14,0)&gt;$B6),SUMIF($B$4:$B6,$B6,R$4:R6),0))</f>
        <v>0</v>
      </c>
      <c r="X6" s="149">
        <f>IF($B6="","",IF(OR($B7="",ROUNDUP(($A6+1)/Inputs!$B$14,0)&gt;$B6),SUMIF($B$4:$B6,$B6,S$4:S6),0))</f>
        <v>0</v>
      </c>
      <c r="Y6" s="18"/>
      <c r="Z6" s="189" t="s">
        <v>119</v>
      </c>
      <c r="AA6" s="167">
        <f>INDEX(M4:M53,Inputs!$C$49)</f>
        <v>6800000</v>
      </c>
      <c r="AB6" s="185"/>
      <c r="AC6" s="185"/>
      <c r="AD6" s="18"/>
      <c r="AE6" s="18"/>
      <c r="AF6" s="18"/>
      <c r="AG6" s="18"/>
    </row>
    <row r="7" spans="1:33" ht="18" customHeight="1">
      <c r="A7" s="157">
        <v>4</v>
      </c>
      <c r="B7" s="77">
        <f>IF(A7&gt;Inputs!$C$49,"",ROUNDUP(A7/Inputs!$B$14,0))</f>
        <v>1</v>
      </c>
      <c r="C7" s="160" t="str">
        <f>IF(A7&gt;Inputs!$C$49,"",IF(A7&lt;=Inputs!$C$48,"Pago normal",IF(A7&lt;Inputs!$C$49,"Mora - sin pago","Evento de cierre")))</f>
        <v>Pago normal</v>
      </c>
      <c r="D7" s="149">
        <f>IF(A7&gt;Inputs!$C$49,"",J6)</f>
        <v>5785014.0917438753</v>
      </c>
      <c r="E7" s="149">
        <f>IF(A7&gt;Inputs!$C$49,"",D7*Inputs!$B$17)</f>
        <v>70249.138367836436</v>
      </c>
      <c r="F7" s="149">
        <f>IF(A7&gt;Inputs!$C$49,"",IF(A7&lt;=Inputs!$C$48,MIN(Inputs!$B$20,D7+I6+E7),0))</f>
        <v>111014.82187676849</v>
      </c>
      <c r="G7" s="149">
        <f>IF(A7&gt;Inputs!$C$49,"",MIN(F7,I6+E7))</f>
        <v>70249.138367836436</v>
      </c>
      <c r="H7" s="149">
        <f>IF(A7&gt;Inputs!$C$49,"",MIN(MAX(0,F7-G7),D7))</f>
        <v>40765.683508932052</v>
      </c>
      <c r="I7" s="149">
        <f>IF(A7&gt;Inputs!$C$49,"",IF(A7=Inputs!$C$49,0,MAX(0,I6+E7-G7)))</f>
        <v>0</v>
      </c>
      <c r="J7" s="149">
        <f>IF(A7&gt;Inputs!$C$49,"",IF(A7=Inputs!$C$49,0,MAX(0,D7-H7)))</f>
        <v>5744248.4082349436</v>
      </c>
      <c r="K7" s="149">
        <f>IF(A7&gt;Inputs!$C$49,"",IF(A7&lt;=Inputs!$C$48,0,A7-Inputs!$C$48))</f>
        <v>0</v>
      </c>
      <c r="L7" s="149">
        <f>IF(A7=Inputs!$C$49,D7+I6+E7,0)</f>
        <v>0</v>
      </c>
      <c r="M7" s="149">
        <f>IF(A7=Inputs!$C$49,Inputs!$C$47,0)</f>
        <v>0</v>
      </c>
      <c r="N7" s="149">
        <f>0</f>
        <v>0</v>
      </c>
      <c r="O7" s="149">
        <f>IF(A7=Inputs!$C$49,MAX(0,M7-L7),0)</f>
        <v>0</v>
      </c>
      <c r="P7" s="163" t="str">
        <f>IF(A7&gt;Inputs!$C$49,"",IF(A7=Inputs!$C$49,"Cerrado por evento",IF(K7&gt;0,"En mora","Vigente al día")))</f>
        <v>Vigente al día</v>
      </c>
      <c r="Q7" s="149">
        <f>IF($A7&gt;Inputs!$C$49,"",IF($A7&lt;=Inputs!$C$48,Inputs!$B$28,0))</f>
        <v>48643.172307692315</v>
      </c>
      <c r="R7" s="149">
        <f>IF($A7&gt;Inputs!$C$49,"",IF($A7&lt;=Inputs!$C$48,Inputs!$B$29,0))</f>
        <v>10984.615384615387</v>
      </c>
      <c r="S7" s="149">
        <f>IF($A7&gt;Inputs!$C$49,"",IF($A7&lt;=Inputs!$C$48,Inputs!$B$30,0))</f>
        <v>3406.3846153846157</v>
      </c>
      <c r="T7" s="149">
        <f>IF($A7&gt;Inputs!$C$49,"",SUM(Q7:S7))</f>
        <v>63034.172307692315</v>
      </c>
      <c r="U7" s="149">
        <f>IF($A7&gt;Inputs!$C$49,"",F7+T7)</f>
        <v>174048.99418446081</v>
      </c>
      <c r="V7" s="149">
        <f>IF($B7="","",IF(OR($B8="",ROUNDUP(($A7+1)/Inputs!$B$14,0)&gt;$B7),SUMIF($B$4:$B7,$B7,Q$4:Q7),0))</f>
        <v>194572.68923076926</v>
      </c>
      <c r="W7" s="149">
        <f>IF($B7="","",IF(OR($B8="",ROUNDUP(($A7+1)/Inputs!$B$14,0)&gt;$B7),SUMIF($B$4:$B7,$B7,R$4:R7),0))</f>
        <v>43938.461538461546</v>
      </c>
      <c r="X7" s="149">
        <f>IF($B7="","",IF(OR($B8="",ROUNDUP(($A7+1)/Inputs!$B$14,0)&gt;$B7),SUMIF($B$4:$B7,$B7,S$4:S7),0))</f>
        <v>13625.538461538463</v>
      </c>
      <c r="Y7" s="18"/>
      <c r="Z7" s="189" t="s">
        <v>126</v>
      </c>
      <c r="AA7" s="167">
        <f>INDEX(O4:O53,Inputs!$C$49)</f>
        <v>1185578.456482715</v>
      </c>
      <c r="AB7" s="185"/>
      <c r="AC7" s="185"/>
      <c r="AD7" s="18"/>
      <c r="AE7" s="18"/>
      <c r="AF7" s="18"/>
      <c r="AG7" s="18"/>
    </row>
    <row r="8" spans="1:33" ht="18" customHeight="1">
      <c r="A8" s="157">
        <v>5</v>
      </c>
      <c r="B8" s="77">
        <f>IF(A8&gt;Inputs!$C$49,"",ROUNDUP(A8/Inputs!$B$14,0))</f>
        <v>2</v>
      </c>
      <c r="C8" s="160" t="str">
        <f>IF(A8&gt;Inputs!$C$49,"",IF(A8&lt;=Inputs!$C$48,"Pago normal",IF(A8&lt;Inputs!$C$49,"Mora - sin pago","Evento de cierre")))</f>
        <v>Pago normal</v>
      </c>
      <c r="D8" s="149">
        <f>IF(A8&gt;Inputs!$C$49,"",J7)</f>
        <v>5744248.4082349436</v>
      </c>
      <c r="E8" s="149">
        <f>IF(A8&gt;Inputs!$C$49,"",D8*Inputs!$B$17)</f>
        <v>69754.108607137081</v>
      </c>
      <c r="F8" s="149">
        <f>IF(A8&gt;Inputs!$C$49,"",IF(A8&lt;=Inputs!$C$48,MIN(Inputs!$B$20,D8+I7+E8),0))</f>
        <v>111014.82187676849</v>
      </c>
      <c r="G8" s="149">
        <f>IF(A8&gt;Inputs!$C$49,"",MIN(F8,I7+E8))</f>
        <v>69754.108607137081</v>
      </c>
      <c r="H8" s="149">
        <f>IF(A8&gt;Inputs!$C$49,"",MIN(MAX(0,F8-G8),D8))</f>
        <v>41260.713269631407</v>
      </c>
      <c r="I8" s="149">
        <f>IF(A8&gt;Inputs!$C$49,"",IF(A8=Inputs!$C$49,0,MAX(0,I7+E8-G8)))</f>
        <v>0</v>
      </c>
      <c r="J8" s="149">
        <f>IF(A8&gt;Inputs!$C$49,"",IF(A8=Inputs!$C$49,0,MAX(0,D8-H8)))</f>
        <v>5702987.6949653123</v>
      </c>
      <c r="K8" s="149">
        <f>IF(A8&gt;Inputs!$C$49,"",IF(A8&lt;=Inputs!$C$48,0,A8-Inputs!$C$48))</f>
        <v>0</v>
      </c>
      <c r="L8" s="149">
        <f>IF(A8=Inputs!$C$49,D8+I7+E8,0)</f>
        <v>0</v>
      </c>
      <c r="M8" s="149">
        <f>IF(A8=Inputs!$C$49,Inputs!$C$47,0)</f>
        <v>0</v>
      </c>
      <c r="N8" s="149">
        <f>0</f>
        <v>0</v>
      </c>
      <c r="O8" s="149">
        <f>IF(A8=Inputs!$C$49,MAX(0,M8-L8),0)</f>
        <v>0</v>
      </c>
      <c r="P8" s="163" t="str">
        <f>IF(A8&gt;Inputs!$C$49,"",IF(A8=Inputs!$C$49,"Cerrado por evento",IF(K8&gt;0,"En mora","Vigente al día")))</f>
        <v>Vigente al día</v>
      </c>
      <c r="Q8" s="149">
        <f>IF($A8&gt;Inputs!$C$49,"",IF($A8&lt;=Inputs!$C$48,Inputs!$B$28,0))</f>
        <v>48643.172307692315</v>
      </c>
      <c r="R8" s="149">
        <f>IF($A8&gt;Inputs!$C$49,"",IF($A8&lt;=Inputs!$C$48,Inputs!$B$29,0))</f>
        <v>10984.615384615387</v>
      </c>
      <c r="S8" s="149">
        <f>IF($A8&gt;Inputs!$C$49,"",IF($A8&lt;=Inputs!$C$48,Inputs!$B$30,0))</f>
        <v>3406.3846153846157</v>
      </c>
      <c r="T8" s="149">
        <f>IF($A8&gt;Inputs!$C$49,"",SUM(Q8:S8))</f>
        <v>63034.172307692315</v>
      </c>
      <c r="U8" s="149">
        <f>IF($A8&gt;Inputs!$C$49,"",F8+T8)</f>
        <v>174048.99418446081</v>
      </c>
      <c r="V8" s="149">
        <f>IF($B8="","",IF(OR($B9="",ROUNDUP(($A8+1)/Inputs!$B$14,0)&gt;$B8),SUMIF($B$4:$B8,$B8,Q$4:Q8),0))</f>
        <v>0</v>
      </c>
      <c r="W8" s="149">
        <f>IF($B8="","",IF(OR($B9="",ROUNDUP(($A8+1)/Inputs!$B$14,0)&gt;$B8),SUMIF($B$4:$B8,$B8,R$4:R8),0))</f>
        <v>0</v>
      </c>
      <c r="X8" s="149">
        <f>IF($B8="","",IF(OR($B9="",ROUNDUP(($A8+1)/Inputs!$B$14,0)&gt;$B8),SUMIF($B$4:$B8,$B8,S$4:S8),0))</f>
        <v>0</v>
      </c>
      <c r="Y8" s="18"/>
      <c r="Z8" s="190" t="s">
        <v>127</v>
      </c>
      <c r="AA8" s="168">
        <f>INDEX(J4:J53,Inputs!$C$49)</f>
        <v>0</v>
      </c>
      <c r="AB8" s="185"/>
      <c r="AC8" s="185"/>
      <c r="AD8" s="18"/>
      <c r="AE8" s="18"/>
      <c r="AF8" s="18"/>
      <c r="AG8" s="18"/>
    </row>
    <row r="9" spans="1:33" ht="18" customHeight="1">
      <c r="A9" s="157">
        <v>6</v>
      </c>
      <c r="B9" s="77">
        <f>IF(A9&gt;Inputs!$C$49,"",ROUNDUP(A9/Inputs!$B$14,0))</f>
        <v>2</v>
      </c>
      <c r="C9" s="160" t="str">
        <f>IF(A9&gt;Inputs!$C$49,"",IF(A9&lt;=Inputs!$C$48,"Pago normal",IF(A9&lt;Inputs!$C$49,"Mora - sin pago","Evento de cierre")))</f>
        <v>Pago normal</v>
      </c>
      <c r="D9" s="149">
        <f>IF(A9&gt;Inputs!$C$49,"",J8)</f>
        <v>5702987.6949653123</v>
      </c>
      <c r="E9" s="149">
        <f>IF(A9&gt;Inputs!$C$49,"",D9*Inputs!$B$17)</f>
        <v>69253.067553534362</v>
      </c>
      <c r="F9" s="149">
        <f>IF(A9&gt;Inputs!$C$49,"",IF(A9&lt;=Inputs!$C$48,MIN(Inputs!$B$20,D9+I8+E9),0))</f>
        <v>111014.82187676849</v>
      </c>
      <c r="G9" s="149">
        <f>IF(A9&gt;Inputs!$C$49,"",MIN(F9,I8+E9))</f>
        <v>69253.067553534362</v>
      </c>
      <c r="H9" s="149">
        <f>IF(A9&gt;Inputs!$C$49,"",MIN(MAX(0,F9-G9),D9))</f>
        <v>41761.754323234127</v>
      </c>
      <c r="I9" s="149">
        <f>IF(A9&gt;Inputs!$C$49,"",IF(A9=Inputs!$C$49,0,MAX(0,I8+E9-G9)))</f>
        <v>0</v>
      </c>
      <c r="J9" s="149">
        <f>IF(A9&gt;Inputs!$C$49,"",IF(A9=Inputs!$C$49,0,MAX(0,D9-H9)))</f>
        <v>5661225.9406420784</v>
      </c>
      <c r="K9" s="149">
        <f>IF(A9&gt;Inputs!$C$49,"",IF(A9&lt;=Inputs!$C$48,0,A9-Inputs!$C$48))</f>
        <v>0</v>
      </c>
      <c r="L9" s="149">
        <f>IF(A9=Inputs!$C$49,D9+I8+E9,0)</f>
        <v>0</v>
      </c>
      <c r="M9" s="149">
        <f>IF(A9=Inputs!$C$49,Inputs!$C$47,0)</f>
        <v>0</v>
      </c>
      <c r="N9" s="149">
        <f>0</f>
        <v>0</v>
      </c>
      <c r="O9" s="149">
        <f>IF(A9=Inputs!$C$49,MAX(0,M9-L9),0)</f>
        <v>0</v>
      </c>
      <c r="P9" s="163" t="str">
        <f>IF(A9&gt;Inputs!$C$49,"",IF(A9=Inputs!$C$49,"Cerrado por evento",IF(K9&gt;0,"En mora","Vigente al día")))</f>
        <v>Vigente al día</v>
      </c>
      <c r="Q9" s="149">
        <f>IF($A9&gt;Inputs!$C$49,"",IF($A9&lt;=Inputs!$C$48,Inputs!$B$28,0))</f>
        <v>48643.172307692315</v>
      </c>
      <c r="R9" s="149">
        <f>IF($A9&gt;Inputs!$C$49,"",IF($A9&lt;=Inputs!$C$48,Inputs!$B$29,0))</f>
        <v>10984.615384615387</v>
      </c>
      <c r="S9" s="149">
        <f>IF($A9&gt;Inputs!$C$49,"",IF($A9&lt;=Inputs!$C$48,Inputs!$B$30,0))</f>
        <v>3406.3846153846157</v>
      </c>
      <c r="T9" s="149">
        <f>IF($A9&gt;Inputs!$C$49,"",SUM(Q9:S9))</f>
        <v>63034.172307692315</v>
      </c>
      <c r="U9" s="149">
        <f>IF($A9&gt;Inputs!$C$49,"",F9+T9)</f>
        <v>174048.99418446081</v>
      </c>
      <c r="V9" s="149">
        <f>IF($B9="","",IF(OR($B10="",ROUNDUP(($A9+1)/Inputs!$B$14,0)&gt;$B9),SUMIF($B$4:$B9,$B9,Q$4:Q9),0))</f>
        <v>0</v>
      </c>
      <c r="W9" s="149">
        <f>IF($B9="","",IF(OR($B10="",ROUNDUP(($A9+1)/Inputs!$B$14,0)&gt;$B9),SUMIF($B$4:$B9,$B9,R$4:R9),0))</f>
        <v>0</v>
      </c>
      <c r="X9" s="149">
        <f>IF($B9="","",IF(OR($B10="",ROUNDUP(($A9+1)/Inputs!$B$14,0)&gt;$B9),SUMIF($B$4:$B9,$B9,S$4:S9),0))</f>
        <v>0</v>
      </c>
      <c r="Y9" s="18"/>
      <c r="Z9" s="120"/>
      <c r="AA9" s="120"/>
      <c r="AB9" s="120"/>
      <c r="AC9" s="120"/>
      <c r="AD9" s="18"/>
      <c r="AE9" s="18"/>
      <c r="AF9" s="18"/>
      <c r="AG9" s="18"/>
    </row>
    <row r="10" spans="1:33" ht="18" customHeight="1">
      <c r="A10" s="157">
        <v>7</v>
      </c>
      <c r="B10" s="77">
        <f>IF(A10&gt;Inputs!$C$49,"",ROUNDUP(A10/Inputs!$B$14,0))</f>
        <v>2</v>
      </c>
      <c r="C10" s="160" t="str">
        <f>IF(A10&gt;Inputs!$C$49,"",IF(A10&lt;=Inputs!$C$48,"Pago normal",IF(A10&lt;Inputs!$C$49,"Mora - sin pago","Evento de cierre")))</f>
        <v>Pago normal</v>
      </c>
      <c r="D10" s="149">
        <f>IF(A10&gt;Inputs!$C$49,"",J9)</f>
        <v>5661225.9406420784</v>
      </c>
      <c r="E10" s="149">
        <f>IF(A10&gt;Inputs!$C$49,"",D10*Inputs!$B$17)</f>
        <v>68745.942210119319</v>
      </c>
      <c r="F10" s="149">
        <f>IF(A10&gt;Inputs!$C$49,"",IF(A10&lt;=Inputs!$C$48,MIN(Inputs!$B$20,D10+I9+E10),0))</f>
        <v>111014.82187676849</v>
      </c>
      <c r="G10" s="149">
        <f>IF(A10&gt;Inputs!$C$49,"",MIN(F10,I9+E10))</f>
        <v>68745.942210119319</v>
      </c>
      <c r="H10" s="149">
        <f>IF(A10&gt;Inputs!$C$49,"",MIN(MAX(0,F10-G10),D10))</f>
        <v>42268.879666649169</v>
      </c>
      <c r="I10" s="149">
        <f>IF(A10&gt;Inputs!$C$49,"",IF(A10=Inputs!$C$49,0,MAX(0,I9+E10-G10)))</f>
        <v>0</v>
      </c>
      <c r="J10" s="149">
        <f>IF(A10&gt;Inputs!$C$49,"",IF(A10=Inputs!$C$49,0,MAX(0,D10-H10)))</f>
        <v>5618957.0609754296</v>
      </c>
      <c r="K10" s="149">
        <f>IF(A10&gt;Inputs!$C$49,"",IF(A10&lt;=Inputs!$C$48,0,A10-Inputs!$C$48))</f>
        <v>0</v>
      </c>
      <c r="L10" s="149">
        <f>IF(A10=Inputs!$C$49,D10+I9+E10,0)</f>
        <v>0</v>
      </c>
      <c r="M10" s="149">
        <f>IF(A10=Inputs!$C$49,Inputs!$C$47,0)</f>
        <v>0</v>
      </c>
      <c r="N10" s="149">
        <f>0</f>
        <v>0</v>
      </c>
      <c r="O10" s="149">
        <f>IF(A10=Inputs!$C$49,MAX(0,M10-L10),0)</f>
        <v>0</v>
      </c>
      <c r="P10" s="163" t="str">
        <f>IF(A10&gt;Inputs!$C$49,"",IF(A10=Inputs!$C$49,"Cerrado por evento",IF(K10&gt;0,"En mora","Vigente al día")))</f>
        <v>Vigente al día</v>
      </c>
      <c r="Q10" s="149">
        <f>IF($A10&gt;Inputs!$C$49,"",IF($A10&lt;=Inputs!$C$48,Inputs!$B$28,0))</f>
        <v>48643.172307692315</v>
      </c>
      <c r="R10" s="149">
        <f>IF($A10&gt;Inputs!$C$49,"",IF($A10&lt;=Inputs!$C$48,Inputs!$B$29,0))</f>
        <v>10984.615384615387</v>
      </c>
      <c r="S10" s="149">
        <f>IF($A10&gt;Inputs!$C$49,"",IF($A10&lt;=Inputs!$C$48,Inputs!$B$30,0))</f>
        <v>3406.3846153846157</v>
      </c>
      <c r="T10" s="149">
        <f>IF($A10&gt;Inputs!$C$49,"",SUM(Q10:S10))</f>
        <v>63034.172307692315</v>
      </c>
      <c r="U10" s="149">
        <f>IF($A10&gt;Inputs!$C$49,"",F10+T10)</f>
        <v>174048.99418446081</v>
      </c>
      <c r="V10" s="149">
        <f>IF($B10="","",IF(OR($B11="",ROUNDUP(($A10+1)/Inputs!$B$14,0)&gt;$B10),SUMIF($B$4:$B10,$B10,Q$4:Q10),0))</f>
        <v>0</v>
      </c>
      <c r="W10" s="149">
        <f>IF($B10="","",IF(OR($B11="",ROUNDUP(($A10+1)/Inputs!$B$14,0)&gt;$B10),SUMIF($B$4:$B10,$B10,R$4:R10),0))</f>
        <v>0</v>
      </c>
      <c r="X10" s="149">
        <f>IF($B10="","",IF(OR($B11="",ROUNDUP(($A10+1)/Inputs!$B$14,0)&gt;$B10),SUMIF($B$4:$B10,$B10,S$4:S10),0))</f>
        <v>0</v>
      </c>
      <c r="Y10" s="18"/>
      <c r="Z10" s="120"/>
      <c r="AA10" s="120"/>
      <c r="AB10" s="120"/>
      <c r="AC10" s="120"/>
      <c r="AD10" s="18"/>
      <c r="AE10" s="18"/>
      <c r="AF10" s="18"/>
      <c r="AG10" s="18"/>
    </row>
    <row r="11" spans="1:33" ht="18" customHeight="1">
      <c r="A11" s="157">
        <v>8</v>
      </c>
      <c r="B11" s="77">
        <f>IF(A11&gt;Inputs!$C$49,"",ROUNDUP(A11/Inputs!$B$14,0))</f>
        <v>2</v>
      </c>
      <c r="C11" s="160" t="str">
        <f>IF(A11&gt;Inputs!$C$49,"",IF(A11&lt;=Inputs!$C$48,"Pago normal",IF(A11&lt;Inputs!$C$49,"Mora - sin pago","Evento de cierre")))</f>
        <v>Pago normal</v>
      </c>
      <c r="D11" s="149">
        <f>IF(A11&gt;Inputs!$C$49,"",J10)</f>
        <v>5618957.0609754296</v>
      </c>
      <c r="E11" s="149">
        <f>IF(A11&gt;Inputs!$C$49,"",D11*Inputs!$B$17)</f>
        <v>68232.658693559948</v>
      </c>
      <c r="F11" s="149">
        <f>IF(A11&gt;Inputs!$C$49,"",IF(A11&lt;=Inputs!$C$48,MIN(Inputs!$B$20,D11+I10+E11),0))</f>
        <v>111014.82187676849</v>
      </c>
      <c r="G11" s="149">
        <f>IF(A11&gt;Inputs!$C$49,"",MIN(F11,I10+E11))</f>
        <v>68232.658693559948</v>
      </c>
      <c r="H11" s="149">
        <f>IF(A11&gt;Inputs!$C$49,"",MIN(MAX(0,F11-G11),D11))</f>
        <v>42782.16318320854</v>
      </c>
      <c r="I11" s="149">
        <f>IF(A11&gt;Inputs!$C$49,"",IF(A11=Inputs!$C$49,0,MAX(0,I10+E11-G11)))</f>
        <v>0</v>
      </c>
      <c r="J11" s="149">
        <f>IF(A11&gt;Inputs!$C$49,"",IF(A11=Inputs!$C$49,0,MAX(0,D11-H11)))</f>
        <v>5576174.897792221</v>
      </c>
      <c r="K11" s="149">
        <f>IF(A11&gt;Inputs!$C$49,"",IF(A11&lt;=Inputs!$C$48,0,A11-Inputs!$C$48))</f>
        <v>0</v>
      </c>
      <c r="L11" s="149">
        <f>IF(A11=Inputs!$C$49,D11+I10+E11,0)</f>
        <v>0</v>
      </c>
      <c r="M11" s="149">
        <f>IF(A11=Inputs!$C$49,Inputs!$C$47,0)</f>
        <v>0</v>
      </c>
      <c r="N11" s="149">
        <f>0</f>
        <v>0</v>
      </c>
      <c r="O11" s="149">
        <f>IF(A11=Inputs!$C$49,MAX(0,M11-L11),0)</f>
        <v>0</v>
      </c>
      <c r="P11" s="163" t="str">
        <f>IF(A11&gt;Inputs!$C$49,"",IF(A11=Inputs!$C$49,"Cerrado por evento",IF(K11&gt;0,"En mora","Vigente al día")))</f>
        <v>Vigente al día</v>
      </c>
      <c r="Q11" s="149">
        <f>IF($A11&gt;Inputs!$C$49,"",IF($A11&lt;=Inputs!$C$48,Inputs!$B$28,0))</f>
        <v>48643.172307692315</v>
      </c>
      <c r="R11" s="149">
        <f>IF($A11&gt;Inputs!$C$49,"",IF($A11&lt;=Inputs!$C$48,Inputs!$B$29,0))</f>
        <v>10984.615384615387</v>
      </c>
      <c r="S11" s="149">
        <f>IF($A11&gt;Inputs!$C$49,"",IF($A11&lt;=Inputs!$C$48,Inputs!$B$30,0))</f>
        <v>3406.3846153846157</v>
      </c>
      <c r="T11" s="149">
        <f>IF($A11&gt;Inputs!$C$49,"",SUM(Q11:S11))</f>
        <v>63034.172307692315</v>
      </c>
      <c r="U11" s="149">
        <f>IF($A11&gt;Inputs!$C$49,"",F11+T11)</f>
        <v>174048.99418446081</v>
      </c>
      <c r="V11" s="149">
        <f>IF($B11="","",IF(OR($B12="",ROUNDUP(($A11+1)/Inputs!$B$14,0)&gt;$B11),SUMIF($B$4:$B11,$B11,Q$4:Q11),0))</f>
        <v>194572.68923076926</v>
      </c>
      <c r="W11" s="149">
        <f>IF($B11="","",IF(OR($B12="",ROUNDUP(($A11+1)/Inputs!$B$14,0)&gt;$B11),SUMIF($B$4:$B11,$B11,R$4:R11),0))</f>
        <v>43938.461538461546</v>
      </c>
      <c r="X11" s="149">
        <f>IF($B11="","",IF(OR($B12="",ROUNDUP(($A11+1)/Inputs!$B$14,0)&gt;$B11),SUMIF($B$4:$B11,$B11,S$4:S11),0))</f>
        <v>13625.538461538463</v>
      </c>
      <c r="Y11" s="18"/>
      <c r="Z11" s="120"/>
      <c r="AA11" s="120"/>
      <c r="AB11" s="120"/>
      <c r="AC11" s="120"/>
      <c r="AD11" s="18"/>
      <c r="AE11" s="18"/>
      <c r="AF11" s="18"/>
      <c r="AG11" s="18"/>
    </row>
    <row r="12" spans="1:33" ht="25.95" customHeight="1">
      <c r="A12" s="157">
        <v>9</v>
      </c>
      <c r="B12" s="77">
        <f>IF(A12&gt;Inputs!$C$49,"",ROUNDUP(A12/Inputs!$B$14,0))</f>
        <v>3</v>
      </c>
      <c r="C12" s="160" t="str">
        <f>IF(A12&gt;Inputs!$C$49,"",IF(A12&lt;=Inputs!$C$48,"Pago normal",IF(A12&lt;Inputs!$C$49,"Mora - sin pago","Evento de cierre")))</f>
        <v>Pago normal</v>
      </c>
      <c r="D12" s="149">
        <f>IF(A12&gt;Inputs!$C$49,"",J11)</f>
        <v>5576174.897792221</v>
      </c>
      <c r="E12" s="149">
        <f>IF(A12&gt;Inputs!$C$49,"",D12*Inputs!$B$17)</f>
        <v>67713.142223337039</v>
      </c>
      <c r="F12" s="149">
        <f>IF(A12&gt;Inputs!$C$49,"",IF(A12&lt;=Inputs!$C$48,MIN(Inputs!$B$20,D12+I11+E12),0))</f>
        <v>111014.82187676849</v>
      </c>
      <c r="G12" s="149">
        <f>IF(A12&gt;Inputs!$C$49,"",MIN(F12,I11+E12))</f>
        <v>67713.142223337039</v>
      </c>
      <c r="H12" s="149">
        <f>IF(A12&gt;Inputs!$C$49,"",MIN(MAX(0,F12-G12),D12))</f>
        <v>43301.679653431449</v>
      </c>
      <c r="I12" s="149">
        <f>IF(A12&gt;Inputs!$C$49,"",IF(A12=Inputs!$C$49,0,MAX(0,I11+E12-G12)))</f>
        <v>0</v>
      </c>
      <c r="J12" s="149">
        <f>IF(A12&gt;Inputs!$C$49,"",IF(A12=Inputs!$C$49,0,MAX(0,D12-H12)))</f>
        <v>5532873.2181387898</v>
      </c>
      <c r="K12" s="149">
        <f>IF(A12&gt;Inputs!$C$49,"",IF(A12&lt;=Inputs!$C$48,0,A12-Inputs!$C$48))</f>
        <v>0</v>
      </c>
      <c r="L12" s="149">
        <f>IF(A12=Inputs!$C$49,D12+I11+E12,0)</f>
        <v>0</v>
      </c>
      <c r="M12" s="149">
        <f>IF(A12=Inputs!$C$49,Inputs!$C$47,0)</f>
        <v>0</v>
      </c>
      <c r="N12" s="149">
        <f>0</f>
        <v>0</v>
      </c>
      <c r="O12" s="149">
        <f>IF(A12=Inputs!$C$49,MAX(0,M12-L12),0)</f>
        <v>0</v>
      </c>
      <c r="P12" s="163" t="str">
        <f>IF(A12&gt;Inputs!$C$49,"",IF(A12=Inputs!$C$49,"Cerrado por evento",IF(K12&gt;0,"En mora","Vigente al día")))</f>
        <v>Vigente al día</v>
      </c>
      <c r="Q12" s="149">
        <f>IF($A12&gt;Inputs!$C$49,"",IF($A12&lt;=Inputs!$C$48,Inputs!$B$28,0))</f>
        <v>48643.172307692315</v>
      </c>
      <c r="R12" s="149">
        <f>IF($A12&gt;Inputs!$C$49,"",IF($A12&lt;=Inputs!$C$48,Inputs!$B$29,0))</f>
        <v>10984.615384615387</v>
      </c>
      <c r="S12" s="149">
        <f>IF($A12&gt;Inputs!$C$49,"",IF($A12&lt;=Inputs!$C$48,Inputs!$B$30,0))</f>
        <v>3406.3846153846157</v>
      </c>
      <c r="T12" s="149">
        <f>IF($A12&gt;Inputs!$C$49,"",SUM(Q12:S12))</f>
        <v>63034.172307692315</v>
      </c>
      <c r="U12" s="149">
        <f>IF($A12&gt;Inputs!$C$49,"",F12+T12)</f>
        <v>174048.99418446081</v>
      </c>
      <c r="V12" s="149">
        <f>IF($B12="","",IF(OR($B13="",ROUNDUP(($A12+1)/Inputs!$B$14,0)&gt;$B12),SUMIF($B$4:$B12,$B12,Q$4:Q12),0))</f>
        <v>0</v>
      </c>
      <c r="W12" s="149">
        <f>IF($B12="","",IF(OR($B13="",ROUNDUP(($A12+1)/Inputs!$B$14,0)&gt;$B12),SUMIF($B$4:$B12,$B12,R$4:R12),0))</f>
        <v>0</v>
      </c>
      <c r="X12" s="149">
        <f>IF($B12="","",IF(OR($B13="",ROUNDUP(($A12+1)/Inputs!$B$14,0)&gt;$B12),SUMIF($B$4:$B12,$B12,S$4:S12),0))</f>
        <v>0</v>
      </c>
      <c r="Y12" s="18"/>
      <c r="Z12" s="97" t="s">
        <v>95</v>
      </c>
      <c r="AA12" s="24"/>
      <c r="AB12" s="24"/>
      <c r="AC12" s="24"/>
      <c r="AD12" s="18"/>
      <c r="AE12" s="18"/>
      <c r="AF12" s="18"/>
      <c r="AG12" s="18"/>
    </row>
    <row r="13" spans="1:33" ht="18" customHeight="1">
      <c r="A13" s="157">
        <v>10</v>
      </c>
      <c r="B13" s="77">
        <f>IF(A13&gt;Inputs!$C$49,"",ROUNDUP(A13/Inputs!$B$14,0))</f>
        <v>3</v>
      </c>
      <c r="C13" s="160" t="str">
        <f>IF(A13&gt;Inputs!$C$49,"",IF(A13&lt;=Inputs!$C$48,"Pago normal",IF(A13&lt;Inputs!$C$49,"Mora - sin pago","Evento de cierre")))</f>
        <v>Pago normal</v>
      </c>
      <c r="D13" s="149">
        <f>IF(A13&gt;Inputs!$C$49,"",J12)</f>
        <v>5532873.2181387898</v>
      </c>
      <c r="E13" s="149">
        <f>IF(A13&gt;Inputs!$C$49,"",D13*Inputs!$B$17)</f>
        <v>67187.317110849428</v>
      </c>
      <c r="F13" s="149">
        <f>IF(A13&gt;Inputs!$C$49,"",IF(A13&lt;=Inputs!$C$48,MIN(Inputs!$B$20,D13+I12+E13),0))</f>
        <v>111014.82187676849</v>
      </c>
      <c r="G13" s="149">
        <f>IF(A13&gt;Inputs!$C$49,"",MIN(F13,I12+E13))</f>
        <v>67187.317110849428</v>
      </c>
      <c r="H13" s="149">
        <f>IF(A13&gt;Inputs!$C$49,"",MIN(MAX(0,F13-G13),D13))</f>
        <v>43827.50476591906</v>
      </c>
      <c r="I13" s="149">
        <f>IF(A13&gt;Inputs!$C$49,"",IF(A13=Inputs!$C$49,0,MAX(0,I12+E13-G13)))</f>
        <v>0</v>
      </c>
      <c r="J13" s="149">
        <f>IF(A13&gt;Inputs!$C$49,"",IF(A13=Inputs!$C$49,0,MAX(0,D13-H13)))</f>
        <v>5489045.7133728703</v>
      </c>
      <c r="K13" s="149">
        <f>IF(A13&gt;Inputs!$C$49,"",IF(A13&lt;=Inputs!$C$48,0,A13-Inputs!$C$48))</f>
        <v>0</v>
      </c>
      <c r="L13" s="149">
        <f>IF(A13=Inputs!$C$49,D13+I12+E13,0)</f>
        <v>0</v>
      </c>
      <c r="M13" s="149">
        <f>IF(A13=Inputs!$C$49,Inputs!$C$47,0)</f>
        <v>0</v>
      </c>
      <c r="N13" s="149">
        <f>0</f>
        <v>0</v>
      </c>
      <c r="O13" s="149">
        <f>IF(A13=Inputs!$C$49,MAX(0,M13-L13),0)</f>
        <v>0</v>
      </c>
      <c r="P13" s="163" t="str">
        <f>IF(A13&gt;Inputs!$C$49,"",IF(A13=Inputs!$C$49,"Cerrado por evento",IF(K13&gt;0,"En mora","Vigente al día")))</f>
        <v>Vigente al día</v>
      </c>
      <c r="Q13" s="149">
        <f>IF($A13&gt;Inputs!$C$49,"",IF($A13&lt;=Inputs!$C$48,Inputs!$B$28,0))</f>
        <v>48643.172307692315</v>
      </c>
      <c r="R13" s="149">
        <f>IF($A13&gt;Inputs!$C$49,"",IF($A13&lt;=Inputs!$C$48,Inputs!$B$29,0))</f>
        <v>10984.615384615387</v>
      </c>
      <c r="S13" s="149">
        <f>IF($A13&gt;Inputs!$C$49,"",IF($A13&lt;=Inputs!$C$48,Inputs!$B$30,0))</f>
        <v>3406.3846153846157</v>
      </c>
      <c r="T13" s="149">
        <f>IF($A13&gt;Inputs!$C$49,"",SUM(Q13:S13))</f>
        <v>63034.172307692315</v>
      </c>
      <c r="U13" s="149">
        <f>IF($A13&gt;Inputs!$C$49,"",F13+T13)</f>
        <v>174048.99418446081</v>
      </c>
      <c r="V13" s="149">
        <f>IF($B13="","",IF(OR($B14="",ROUNDUP(($A13+1)/Inputs!$B$14,0)&gt;$B13),SUMIF($B$4:$B13,$B13,Q$4:Q13),0))</f>
        <v>0</v>
      </c>
      <c r="W13" s="149">
        <f>IF($B13="","",IF(OR($B14="",ROUNDUP(($A13+1)/Inputs!$B$14,0)&gt;$B13),SUMIF($B$4:$B13,$B13,R$4:R13),0))</f>
        <v>0</v>
      </c>
      <c r="X13" s="149">
        <f>IF($B13="","",IF(OR($B14="",ROUNDUP(($A13+1)/Inputs!$B$14,0)&gt;$B13),SUMIF($B$4:$B13,$B13,S$4:S13),0))</f>
        <v>0</v>
      </c>
      <c r="Y13" s="18"/>
      <c r="Z13" s="121" t="s">
        <v>96</v>
      </c>
      <c r="AA13" s="122" t="s">
        <v>97</v>
      </c>
      <c r="AB13" s="122" t="s">
        <v>98</v>
      </c>
      <c r="AC13" s="121" t="s">
        <v>99</v>
      </c>
      <c r="AD13" s="18"/>
      <c r="AE13" s="18"/>
      <c r="AF13" s="18"/>
      <c r="AG13" s="18"/>
    </row>
    <row r="14" spans="1:33" ht="18" customHeight="1">
      <c r="A14" s="157">
        <v>11</v>
      </c>
      <c r="B14" s="77">
        <f>IF(A14&gt;Inputs!$C$49,"",ROUNDUP(A14/Inputs!$B$14,0))</f>
        <v>3</v>
      </c>
      <c r="C14" s="160" t="str">
        <f>IF(A14&gt;Inputs!$C$49,"",IF(A14&lt;=Inputs!$C$48,"Pago normal",IF(A14&lt;Inputs!$C$49,"Mora - sin pago","Evento de cierre")))</f>
        <v>Pago normal</v>
      </c>
      <c r="D14" s="149">
        <f>IF(A14&gt;Inputs!$C$49,"",J13)</f>
        <v>5489045.7133728703</v>
      </c>
      <c r="E14" s="149">
        <f>IF(A14&gt;Inputs!$C$49,"",D14*Inputs!$B$17)</f>
        <v>66655.106748386854</v>
      </c>
      <c r="F14" s="149">
        <f>IF(A14&gt;Inputs!$C$49,"",IF(A14&lt;=Inputs!$C$48,MIN(Inputs!$B$20,D14+I13+E14),0))</f>
        <v>111014.82187676849</v>
      </c>
      <c r="G14" s="149">
        <f>IF(A14&gt;Inputs!$C$49,"",MIN(F14,I13+E14))</f>
        <v>66655.106748386854</v>
      </c>
      <c r="H14" s="149">
        <f>IF(A14&gt;Inputs!$C$49,"",MIN(MAX(0,F14-G14),D14))</f>
        <v>44359.715128381635</v>
      </c>
      <c r="I14" s="149">
        <f>IF(A14&gt;Inputs!$C$49,"",IF(A14=Inputs!$C$49,0,MAX(0,I13+E14-G14)))</f>
        <v>0</v>
      </c>
      <c r="J14" s="149">
        <f>IF(A14&gt;Inputs!$C$49,"",IF(A14=Inputs!$C$49,0,MAX(0,D14-H14)))</f>
        <v>5444685.9982444886</v>
      </c>
      <c r="K14" s="149">
        <f>IF(A14&gt;Inputs!$C$49,"",IF(A14&lt;=Inputs!$C$48,0,A14-Inputs!$C$48))</f>
        <v>0</v>
      </c>
      <c r="L14" s="149">
        <f>IF(A14=Inputs!$C$49,D14+I13+E14,0)</f>
        <v>0</v>
      </c>
      <c r="M14" s="149">
        <f>IF(A14=Inputs!$C$49,Inputs!$C$47,0)</f>
        <v>0</v>
      </c>
      <c r="N14" s="149">
        <f>0</f>
        <v>0</v>
      </c>
      <c r="O14" s="149">
        <f>IF(A14=Inputs!$C$49,MAX(0,M14-L14),0)</f>
        <v>0</v>
      </c>
      <c r="P14" s="163" t="str">
        <f>IF(A14&gt;Inputs!$C$49,"",IF(A14=Inputs!$C$49,"Cerrado por evento",IF(K14&gt;0,"En mora","Vigente al día")))</f>
        <v>Vigente al día</v>
      </c>
      <c r="Q14" s="149">
        <f>IF($A14&gt;Inputs!$C$49,"",IF($A14&lt;=Inputs!$C$48,Inputs!$B$28,0))</f>
        <v>48643.172307692315</v>
      </c>
      <c r="R14" s="149">
        <f>IF($A14&gt;Inputs!$C$49,"",IF($A14&lt;=Inputs!$C$48,Inputs!$B$29,0))</f>
        <v>10984.615384615387</v>
      </c>
      <c r="S14" s="149">
        <f>IF($A14&gt;Inputs!$C$49,"",IF($A14&lt;=Inputs!$C$48,Inputs!$B$30,0))</f>
        <v>3406.3846153846157</v>
      </c>
      <c r="T14" s="149">
        <f>IF($A14&gt;Inputs!$C$49,"",SUM(Q14:S14))</f>
        <v>63034.172307692315</v>
      </c>
      <c r="U14" s="149">
        <f>IF($A14&gt;Inputs!$C$49,"",F14+T14)</f>
        <v>174048.99418446081</v>
      </c>
      <c r="V14" s="149">
        <f>IF($B14="","",IF(OR($B15="",ROUNDUP(($A14+1)/Inputs!$B$14,0)&gt;$B14),SUMIF($B$4:$B14,$B14,Q$4:Q14),0))</f>
        <v>0</v>
      </c>
      <c r="W14" s="149">
        <f>IF($B14="","",IF(OR($B15="",ROUNDUP(($A14+1)/Inputs!$B$14,0)&gt;$B14),SUMIF($B$4:$B14,$B14,R$4:R14),0))</f>
        <v>0</v>
      </c>
      <c r="X14" s="149">
        <f>IF($B14="","",IF(OR($B15="",ROUNDUP(($A14+1)/Inputs!$B$14,0)&gt;$B14),SUMIF($B$4:$B14,$B14,S$4:S14),0))</f>
        <v>0</v>
      </c>
      <c r="Y14" s="18"/>
      <c r="Z14" s="188" t="s">
        <v>128</v>
      </c>
      <c r="AA14" s="169">
        <f>INDEX(M4:M53,Inputs!$C$49)</f>
        <v>6800000</v>
      </c>
      <c r="AB14" s="169"/>
      <c r="AC14" s="195" t="s">
        <v>129</v>
      </c>
      <c r="AD14" s="18"/>
      <c r="AE14" s="18"/>
      <c r="AF14" s="18"/>
      <c r="AG14" s="18"/>
    </row>
    <row r="15" spans="1:33" ht="18" customHeight="1">
      <c r="A15" s="157">
        <v>12</v>
      </c>
      <c r="B15" s="77">
        <f>IF(A15&gt;Inputs!$C$49,"",ROUNDUP(A15/Inputs!$B$14,0))</f>
        <v>3</v>
      </c>
      <c r="C15" s="160" t="str">
        <f>IF(A15&gt;Inputs!$C$49,"",IF(A15&lt;=Inputs!$C$48,"Pago normal",IF(A15&lt;Inputs!$C$49,"Mora - sin pago","Evento de cierre")))</f>
        <v>Pago normal</v>
      </c>
      <c r="D15" s="149">
        <f>IF(A15&gt;Inputs!$C$49,"",J14)</f>
        <v>5444685.9982444886</v>
      </c>
      <c r="E15" s="149">
        <f>IF(A15&gt;Inputs!$C$49,"",D15*Inputs!$B$17)</f>
        <v>66116.433597968979</v>
      </c>
      <c r="F15" s="149">
        <f>IF(A15&gt;Inputs!$C$49,"",IF(A15&lt;=Inputs!$C$48,MIN(Inputs!$B$20,D15+I14+E15),0))</f>
        <v>111014.82187676849</v>
      </c>
      <c r="G15" s="149">
        <f>IF(A15&gt;Inputs!$C$49,"",MIN(F15,I14+E15))</f>
        <v>66116.433597968979</v>
      </c>
      <c r="H15" s="149">
        <f>IF(A15&gt;Inputs!$C$49,"",MIN(MAX(0,F15-G15),D15))</f>
        <v>44898.38827879951</v>
      </c>
      <c r="I15" s="149">
        <f>IF(A15&gt;Inputs!$C$49,"",IF(A15=Inputs!$C$49,0,MAX(0,I14+E15-G15)))</f>
        <v>0</v>
      </c>
      <c r="J15" s="149">
        <f>IF(A15&gt;Inputs!$C$49,"",IF(A15=Inputs!$C$49,0,MAX(0,D15-H15)))</f>
        <v>5399787.6099656895</v>
      </c>
      <c r="K15" s="149">
        <f>IF(A15&gt;Inputs!$C$49,"",IF(A15&lt;=Inputs!$C$48,0,A15-Inputs!$C$48))</f>
        <v>0</v>
      </c>
      <c r="L15" s="149">
        <f>IF(A15=Inputs!$C$49,D15+I14+E15,0)</f>
        <v>0</v>
      </c>
      <c r="M15" s="149">
        <f>IF(A15=Inputs!$C$49,Inputs!$C$47,0)</f>
        <v>0</v>
      </c>
      <c r="N15" s="149">
        <f>0</f>
        <v>0</v>
      </c>
      <c r="O15" s="149">
        <f>IF(A15=Inputs!$C$49,MAX(0,M15-L15),0)</f>
        <v>0</v>
      </c>
      <c r="P15" s="163" t="str">
        <f>IF(A15&gt;Inputs!$C$49,"",IF(A15=Inputs!$C$49,"Cerrado por evento",IF(K15&gt;0,"En mora","Vigente al día")))</f>
        <v>Vigente al día</v>
      </c>
      <c r="Q15" s="149">
        <f>IF($A15&gt;Inputs!$C$49,"",IF($A15&lt;=Inputs!$C$48,Inputs!$B$28,0))</f>
        <v>48643.172307692315</v>
      </c>
      <c r="R15" s="149">
        <f>IF($A15&gt;Inputs!$C$49,"",IF($A15&lt;=Inputs!$C$48,Inputs!$B$29,0))</f>
        <v>10984.615384615387</v>
      </c>
      <c r="S15" s="149">
        <f>IF($A15&gt;Inputs!$C$49,"",IF($A15&lt;=Inputs!$C$48,Inputs!$B$30,0))</f>
        <v>3406.3846153846157</v>
      </c>
      <c r="T15" s="149">
        <f>IF($A15&gt;Inputs!$C$49,"",SUM(Q15:S15))</f>
        <v>63034.172307692315</v>
      </c>
      <c r="U15" s="149">
        <f>IF($A15&gt;Inputs!$C$49,"",F15+T15)</f>
        <v>174048.99418446081</v>
      </c>
      <c r="V15" s="149">
        <f>IF($B15="","",IF(OR($B16="",ROUNDUP(($A15+1)/Inputs!$B$14,0)&gt;$B15),SUMIF($B$4:$B15,$B15,Q$4:Q15),0))</f>
        <v>0</v>
      </c>
      <c r="W15" s="149">
        <f>IF($B15="","",IF(OR($B16="",ROUNDUP(($A15+1)/Inputs!$B$14,0)&gt;$B15),SUMIF($B$4:$B15,$B15,R$4:R15),0))</f>
        <v>0</v>
      </c>
      <c r="X15" s="149">
        <f>IF($B15="","",IF(OR($B16="",ROUNDUP(($A15+1)/Inputs!$B$14,0)&gt;$B15),SUMIF($B$4:$B15,$B15,S$4:S15),0))</f>
        <v>0</v>
      </c>
      <c r="Y15" s="18"/>
      <c r="Z15" s="189" t="s">
        <v>104</v>
      </c>
      <c r="AA15" s="170"/>
      <c r="AB15" s="170">
        <f>INDEX(D4:D53,Inputs!$C$49)</f>
        <v>5354344.0072689699</v>
      </c>
      <c r="AC15" s="196" t="s">
        <v>131</v>
      </c>
      <c r="AD15" s="18"/>
      <c r="AE15" s="18"/>
      <c r="AF15" s="18"/>
      <c r="AG15" s="18"/>
    </row>
    <row r="16" spans="1:33" ht="18" customHeight="1">
      <c r="A16" s="157">
        <v>13</v>
      </c>
      <c r="B16" s="77">
        <f>IF(A16&gt;Inputs!$C$49,"",ROUNDUP(A16/Inputs!$B$14,0))</f>
        <v>3</v>
      </c>
      <c r="C16" s="160" t="str">
        <f>IF(A16&gt;Inputs!$C$49,"",IF(A16&lt;=Inputs!$C$48,"Pago normal",IF(A16&lt;Inputs!$C$49,"Mora - sin pago","Evento de cierre")))</f>
        <v>Pago normal</v>
      </c>
      <c r="D16" s="149">
        <f>IF(A16&gt;Inputs!$C$49,"",J15)</f>
        <v>5399787.6099656895</v>
      </c>
      <c r="E16" s="149">
        <f>IF(A16&gt;Inputs!$C$49,"",D16*Inputs!$B$17)</f>
        <v>65571.219180048793</v>
      </c>
      <c r="F16" s="149">
        <f>IF(A16&gt;Inputs!$C$49,"",IF(A16&lt;=Inputs!$C$48,MIN(Inputs!$B$20,D16+I15+E16),0))</f>
        <v>111014.82187676849</v>
      </c>
      <c r="G16" s="149">
        <f>IF(A16&gt;Inputs!$C$49,"",MIN(F16,I15+E16))</f>
        <v>65571.219180048793</v>
      </c>
      <c r="H16" s="149">
        <f>IF(A16&gt;Inputs!$C$49,"",MIN(MAX(0,F16-G16),D16))</f>
        <v>45443.602696719696</v>
      </c>
      <c r="I16" s="149">
        <f>IF(A16&gt;Inputs!$C$49,"",IF(A16=Inputs!$C$49,0,MAX(0,I15+E16-G16)))</f>
        <v>0</v>
      </c>
      <c r="J16" s="149">
        <f>IF(A16&gt;Inputs!$C$49,"",IF(A16=Inputs!$C$49,0,MAX(0,D16-H16)))</f>
        <v>5354344.0072689699</v>
      </c>
      <c r="K16" s="149">
        <f>IF(A16&gt;Inputs!$C$49,"",IF(A16&lt;=Inputs!$C$48,0,A16-Inputs!$C$48))</f>
        <v>0</v>
      </c>
      <c r="L16" s="149">
        <f>IF(A16=Inputs!$C$49,D16+I15+E16,0)</f>
        <v>0</v>
      </c>
      <c r="M16" s="149">
        <f>IF(A16=Inputs!$C$49,Inputs!$C$47,0)</f>
        <v>0</v>
      </c>
      <c r="N16" s="149">
        <f>0</f>
        <v>0</v>
      </c>
      <c r="O16" s="149">
        <f>IF(A16=Inputs!$C$49,MAX(0,M16-L16),0)</f>
        <v>0</v>
      </c>
      <c r="P16" s="163" t="str">
        <f>IF(A16&gt;Inputs!$C$49,"",IF(A16=Inputs!$C$49,"Cerrado por evento",IF(K16&gt;0,"En mora","Vigente al día")))</f>
        <v>Vigente al día</v>
      </c>
      <c r="Q16" s="149">
        <f>IF($A16&gt;Inputs!$C$49,"",IF($A16&lt;=Inputs!$C$48,Inputs!$B$28,0))</f>
        <v>48643.172307692315</v>
      </c>
      <c r="R16" s="149">
        <f>IF($A16&gt;Inputs!$C$49,"",IF($A16&lt;=Inputs!$C$48,Inputs!$B$29,0))</f>
        <v>10984.615384615387</v>
      </c>
      <c r="S16" s="149">
        <f>IF($A16&gt;Inputs!$C$49,"",IF($A16&lt;=Inputs!$C$48,Inputs!$B$30,0))</f>
        <v>3406.3846153846157</v>
      </c>
      <c r="T16" s="149">
        <f>IF($A16&gt;Inputs!$C$49,"",SUM(Q16:S16))</f>
        <v>63034.172307692315</v>
      </c>
      <c r="U16" s="149">
        <f>IF($A16&gt;Inputs!$C$49,"",F16+T16)</f>
        <v>174048.99418446081</v>
      </c>
      <c r="V16" s="149">
        <f>IF($B16="","",IF(OR($B17="",ROUNDUP(($A16+1)/Inputs!$B$14,0)&gt;$B16),SUMIF($B$4:$B16,$B16,Q$4:Q16),0))</f>
        <v>243215.86153846158</v>
      </c>
      <c r="W16" s="149">
        <f>IF($B16="","",IF(OR($B17="",ROUNDUP(($A16+1)/Inputs!$B$14,0)&gt;$B16),SUMIF($B$4:$B16,$B16,R$4:R16),0))</f>
        <v>54923.076923076937</v>
      </c>
      <c r="X16" s="149">
        <f>IF($B16="","",IF(OR($B17="",ROUNDUP(($A16+1)/Inputs!$B$14,0)&gt;$B16),SUMIF($B$4:$B16,$B16,S$4:S16),0))</f>
        <v>17031.923076923078</v>
      </c>
      <c r="Y16" s="18"/>
      <c r="Z16" s="189" t="s">
        <v>132</v>
      </c>
      <c r="AA16" s="170"/>
      <c r="AB16" s="170">
        <f>INDEX(L4:L53,Inputs!$C$49)-INDEX(D4:D53,Inputs!$C$49)</f>
        <v>260077.53624831513</v>
      </c>
      <c r="AC16" s="196" t="s">
        <v>133</v>
      </c>
      <c r="AD16" s="18"/>
      <c r="AE16" s="18"/>
      <c r="AF16" s="18"/>
      <c r="AG16" s="18"/>
    </row>
    <row r="17" spans="1:33" ht="18" customHeight="1">
      <c r="A17" s="157">
        <v>14</v>
      </c>
      <c r="B17" s="77">
        <f>IF(A17&gt;Inputs!$C$49,"",ROUNDUP(A17/Inputs!$B$14,0))</f>
        <v>4</v>
      </c>
      <c r="C17" s="160" t="str">
        <f>IF(A17&gt;Inputs!$C$49,"",IF(A17&lt;=Inputs!$C$48,"Pago normal",IF(A17&lt;Inputs!$C$49,"Mora - sin pago","Evento de cierre")))</f>
        <v>Mora - sin pago</v>
      </c>
      <c r="D17" s="149">
        <f>IF(A17&gt;Inputs!$C$49,"",J16)</f>
        <v>5354344.0072689699</v>
      </c>
      <c r="E17" s="149">
        <f>IF(A17&gt;Inputs!$C$49,"",D17*Inputs!$B$17)</f>
        <v>65019.384062078927</v>
      </c>
      <c r="F17" s="149">
        <f>IF(A17&gt;Inputs!$C$49,"",IF(A17&lt;=Inputs!$C$48,MIN(Inputs!$B$20,D17+I16+E17),0))</f>
        <v>0</v>
      </c>
      <c r="G17" s="149">
        <f>IF(A17&gt;Inputs!$C$49,"",MIN(F17,I16+E17))</f>
        <v>0</v>
      </c>
      <c r="H17" s="149">
        <f>IF(A17&gt;Inputs!$C$49,"",MIN(MAX(0,F17-G17),D17))</f>
        <v>0</v>
      </c>
      <c r="I17" s="149">
        <f>IF(A17&gt;Inputs!$C$49,"",IF(A17=Inputs!$C$49,0,MAX(0,I16+E17-G17)))</f>
        <v>65019.384062078927</v>
      </c>
      <c r="J17" s="149">
        <f>IF(A17&gt;Inputs!$C$49,"",IF(A17=Inputs!$C$49,0,MAX(0,D17-H17)))</f>
        <v>5354344.0072689699</v>
      </c>
      <c r="K17" s="149">
        <f>IF(A17&gt;Inputs!$C$49,"",IF(A17&lt;=Inputs!$C$48,0,A17-Inputs!$C$48))</f>
        <v>1</v>
      </c>
      <c r="L17" s="149">
        <f>IF(A17=Inputs!$C$49,D17+I16+E17,0)</f>
        <v>0</v>
      </c>
      <c r="M17" s="149">
        <f>IF(A17=Inputs!$C$49,Inputs!$C$47,0)</f>
        <v>0</v>
      </c>
      <c r="N17" s="149">
        <f>0</f>
        <v>0</v>
      </c>
      <c r="O17" s="149">
        <f>IF(A17=Inputs!$C$49,MAX(0,M17-L17),0)</f>
        <v>0</v>
      </c>
      <c r="P17" s="163" t="str">
        <f>IF(A17&gt;Inputs!$C$49,"",IF(A17=Inputs!$C$49,"Cerrado por evento",IF(K17&gt;0,"En mora","Vigente al día")))</f>
        <v>En mora</v>
      </c>
      <c r="Q17" s="149">
        <f>IF($A17&gt;Inputs!$C$49,"",IF($A17&lt;=Inputs!$C$48,Inputs!$B$28,0))</f>
        <v>0</v>
      </c>
      <c r="R17" s="149">
        <f>IF($A17&gt;Inputs!$C$49,"",IF($A17&lt;=Inputs!$C$48,Inputs!$B$29,0))</f>
        <v>0</v>
      </c>
      <c r="S17" s="149">
        <f>IF($A17&gt;Inputs!$C$49,"",IF($A17&lt;=Inputs!$C$48,Inputs!$B$30,0))</f>
        <v>0</v>
      </c>
      <c r="T17" s="149">
        <f>IF($A17&gt;Inputs!$C$49,"",SUM(Q17:S17))</f>
        <v>0</v>
      </c>
      <c r="U17" s="149">
        <f>IF($A17&gt;Inputs!$C$49,"",F17+T17)</f>
        <v>0</v>
      </c>
      <c r="V17" s="149">
        <f>IF($B17="","",IF(OR($B18="",ROUNDUP(($A17+1)/Inputs!$B$14,0)&gt;$B17),SUMIF($B$4:$B17,$B17,Q$4:Q17),0))</f>
        <v>0</v>
      </c>
      <c r="W17" s="149">
        <f>IF($B17="","",IF(OR($B18="",ROUNDUP(($A17+1)/Inputs!$B$14,0)&gt;$B17),SUMIF($B$4:$B17,$B17,R$4:R17),0))</f>
        <v>0</v>
      </c>
      <c r="X17" s="149">
        <f>IF($B17="","",IF(OR($B18="",ROUNDUP(($A17+1)/Inputs!$B$14,0)&gt;$B17),SUMIF($B$4:$B17,$B17,S$4:S17),0))</f>
        <v>0</v>
      </c>
      <c r="Y17" s="18"/>
      <c r="Z17" s="197" t="s">
        <v>126</v>
      </c>
      <c r="AA17" s="174"/>
      <c r="AB17" s="174">
        <f>INDEX(O4:O53,Inputs!$C$49)</f>
        <v>1185578.456482715</v>
      </c>
      <c r="AC17" s="199" t="s">
        <v>134</v>
      </c>
      <c r="AD17" s="18"/>
      <c r="AE17" s="18"/>
      <c r="AF17" s="18"/>
      <c r="AG17" s="18"/>
    </row>
    <row r="18" spans="1:33" ht="18" customHeight="1">
      <c r="A18" s="157">
        <v>15</v>
      </c>
      <c r="B18" s="77">
        <f>IF(A18&gt;Inputs!$C$49,"",ROUNDUP(A18/Inputs!$B$14,0))</f>
        <v>4</v>
      </c>
      <c r="C18" s="160" t="str">
        <f>IF(A18&gt;Inputs!$C$49,"",IF(A18&lt;=Inputs!$C$48,"Pago normal",IF(A18&lt;Inputs!$C$49,"Mora - sin pago","Evento de cierre")))</f>
        <v>Mora - sin pago</v>
      </c>
      <c r="D18" s="149">
        <f>IF(A18&gt;Inputs!$C$49,"",J17)</f>
        <v>5354344.0072689699</v>
      </c>
      <c r="E18" s="149">
        <f>IF(A18&gt;Inputs!$C$49,"",D18*Inputs!$B$17)</f>
        <v>65019.384062078927</v>
      </c>
      <c r="F18" s="149">
        <f>IF(A18&gt;Inputs!$C$49,"",IF(A18&lt;=Inputs!$C$48,MIN(Inputs!$B$20,D18+I17+E18),0))</f>
        <v>0</v>
      </c>
      <c r="G18" s="149">
        <f>IF(A18&gt;Inputs!$C$49,"",MIN(F18,I17+E18))</f>
        <v>0</v>
      </c>
      <c r="H18" s="149">
        <f>IF(A18&gt;Inputs!$C$49,"",MIN(MAX(0,F18-G18),D18))</f>
        <v>0</v>
      </c>
      <c r="I18" s="149">
        <f>IF(A18&gt;Inputs!$C$49,"",IF(A18=Inputs!$C$49,0,MAX(0,I17+E18-G18)))</f>
        <v>130038.76812415785</v>
      </c>
      <c r="J18" s="149">
        <f>IF(A18&gt;Inputs!$C$49,"",IF(A18=Inputs!$C$49,0,MAX(0,D18-H18)))</f>
        <v>5354344.0072689699</v>
      </c>
      <c r="K18" s="149">
        <f>IF(A18&gt;Inputs!$C$49,"",IF(A18&lt;=Inputs!$C$48,0,A18-Inputs!$C$48))</f>
        <v>2</v>
      </c>
      <c r="L18" s="149">
        <f>IF(A18=Inputs!$C$49,D18+I17+E18,0)</f>
        <v>0</v>
      </c>
      <c r="M18" s="149">
        <f>IF(A18=Inputs!$C$49,Inputs!$C$47,0)</f>
        <v>0</v>
      </c>
      <c r="N18" s="149">
        <f>0</f>
        <v>0</v>
      </c>
      <c r="O18" s="149">
        <f>IF(A18=Inputs!$C$49,MAX(0,M18-L18),0)</f>
        <v>0</v>
      </c>
      <c r="P18" s="163" t="str">
        <f>IF(A18&gt;Inputs!$C$49,"",IF(A18=Inputs!$C$49,"Cerrado por evento",IF(K18&gt;0,"En mora","Vigente al día")))</f>
        <v>En mora</v>
      </c>
      <c r="Q18" s="149">
        <f>IF($A18&gt;Inputs!$C$49,"",IF($A18&lt;=Inputs!$C$48,Inputs!$B$28,0))</f>
        <v>0</v>
      </c>
      <c r="R18" s="149">
        <f>IF($A18&gt;Inputs!$C$49,"",IF($A18&lt;=Inputs!$C$48,Inputs!$B$29,0))</f>
        <v>0</v>
      </c>
      <c r="S18" s="149">
        <f>IF($A18&gt;Inputs!$C$49,"",IF($A18&lt;=Inputs!$C$48,Inputs!$B$30,0))</f>
        <v>0</v>
      </c>
      <c r="T18" s="149">
        <f>IF($A18&gt;Inputs!$C$49,"",SUM(Q18:S18))</f>
        <v>0</v>
      </c>
      <c r="U18" s="149">
        <f>IF($A18&gt;Inputs!$C$49,"",F18+T18)</f>
        <v>0</v>
      </c>
      <c r="V18" s="149">
        <f>IF($B18="","",IF(OR($B19="",ROUNDUP(($A18+1)/Inputs!$B$14,0)&gt;$B18),SUMIF($B$4:$B18,$B18,Q$4:Q18),0))</f>
        <v>0</v>
      </c>
      <c r="W18" s="149">
        <f>IF($B18="","",IF(OR($B19="",ROUNDUP(($A18+1)/Inputs!$B$14,0)&gt;$B18),SUMIF($B$4:$B18,$B18,R$4:R18),0))</f>
        <v>0</v>
      </c>
      <c r="X18" s="149">
        <f>IF($B18="","",IF(OR($B19="",ROUNDUP(($A18+1)/Inputs!$B$14,0)&gt;$B18),SUMIF($B$4:$B18,$B18,S$4:S18),0))</f>
        <v>0</v>
      </c>
      <c r="Y18" s="18"/>
      <c r="Z18" s="200" t="s">
        <v>108</v>
      </c>
      <c r="AA18" s="177">
        <f>SUM(AA14:AA17)</f>
        <v>6800000</v>
      </c>
      <c r="AB18" s="177">
        <f>SUM(AB14:AB17)</f>
        <v>6800000</v>
      </c>
      <c r="AC18" s="178">
        <f>AA18-AB18</f>
        <v>0</v>
      </c>
      <c r="AD18" s="204"/>
      <c r="AE18" s="18"/>
      <c r="AF18" s="18"/>
      <c r="AG18" s="18"/>
    </row>
    <row r="19" spans="1:33" ht="18" customHeight="1">
      <c r="A19" s="157">
        <v>16</v>
      </c>
      <c r="B19" s="77">
        <f>IF(A19&gt;Inputs!$C$49,"",ROUNDUP(A19/Inputs!$B$14,0))</f>
        <v>4</v>
      </c>
      <c r="C19" s="160" t="str">
        <f>IF(A19&gt;Inputs!$C$49,"",IF(A19&lt;=Inputs!$C$48,"Pago normal",IF(A19&lt;Inputs!$C$49,"Mora - sin pago","Evento de cierre")))</f>
        <v>Mora - sin pago</v>
      </c>
      <c r="D19" s="149">
        <f>IF(A19&gt;Inputs!$C$49,"",J18)</f>
        <v>5354344.0072689699</v>
      </c>
      <c r="E19" s="149">
        <f>IF(A19&gt;Inputs!$C$49,"",D19*Inputs!$B$17)</f>
        <v>65019.384062078927</v>
      </c>
      <c r="F19" s="149">
        <f>IF(A19&gt;Inputs!$C$49,"",IF(A19&lt;=Inputs!$C$48,MIN(Inputs!$B$20,D19+I18+E19),0))</f>
        <v>0</v>
      </c>
      <c r="G19" s="149">
        <f>IF(A19&gt;Inputs!$C$49,"",MIN(F19,I18+E19))</f>
        <v>0</v>
      </c>
      <c r="H19" s="149">
        <f>IF(A19&gt;Inputs!$C$49,"",MIN(MAX(0,F19-G19),D19))</f>
        <v>0</v>
      </c>
      <c r="I19" s="149">
        <f>IF(A19&gt;Inputs!$C$49,"",IF(A19=Inputs!$C$49,0,MAX(0,I18+E19-G19)))</f>
        <v>195058.15218623678</v>
      </c>
      <c r="J19" s="149">
        <f>IF(A19&gt;Inputs!$C$49,"",IF(A19=Inputs!$C$49,0,MAX(0,D19-H19)))</f>
        <v>5354344.0072689699</v>
      </c>
      <c r="K19" s="149">
        <f>IF(A19&gt;Inputs!$C$49,"",IF(A19&lt;=Inputs!$C$48,0,A19-Inputs!$C$48))</f>
        <v>3</v>
      </c>
      <c r="L19" s="149">
        <f>IF(A19=Inputs!$C$49,D19+I18+E19,0)</f>
        <v>0</v>
      </c>
      <c r="M19" s="149">
        <f>IF(A19=Inputs!$C$49,Inputs!$C$47,0)</f>
        <v>0</v>
      </c>
      <c r="N19" s="149">
        <f>0</f>
        <v>0</v>
      </c>
      <c r="O19" s="149">
        <f>IF(A19=Inputs!$C$49,MAX(0,M19-L19),0)</f>
        <v>0</v>
      </c>
      <c r="P19" s="163" t="str">
        <f>IF(A19&gt;Inputs!$C$49,"",IF(A19=Inputs!$C$49,"Cerrado por evento",IF(K19&gt;0,"En mora","Vigente al día")))</f>
        <v>En mora</v>
      </c>
      <c r="Q19" s="149">
        <f>IF($A19&gt;Inputs!$C$49,"",IF($A19&lt;=Inputs!$C$48,Inputs!$B$28,0))</f>
        <v>0</v>
      </c>
      <c r="R19" s="149">
        <f>IF($A19&gt;Inputs!$C$49,"",IF($A19&lt;=Inputs!$C$48,Inputs!$B$29,0))</f>
        <v>0</v>
      </c>
      <c r="S19" s="149">
        <f>IF($A19&gt;Inputs!$C$49,"",IF($A19&lt;=Inputs!$C$48,Inputs!$B$30,0))</f>
        <v>0</v>
      </c>
      <c r="T19" s="149">
        <f>IF($A19&gt;Inputs!$C$49,"",SUM(Q19:S19))</f>
        <v>0</v>
      </c>
      <c r="U19" s="149">
        <f>IF($A19&gt;Inputs!$C$49,"",F19+T19)</f>
        <v>0</v>
      </c>
      <c r="V19" s="149">
        <f>IF($B19="","",IF(OR($B20="",ROUNDUP(($A19+1)/Inputs!$B$14,0)&gt;$B19),SUMIF($B$4:$B19,$B19,Q$4:Q19),0))</f>
        <v>0</v>
      </c>
      <c r="W19" s="149">
        <f>IF($B19="","",IF(OR($B20="",ROUNDUP(($A19+1)/Inputs!$B$14,0)&gt;$B19),SUMIF($B$4:$B19,$B19,R$4:R19),0))</f>
        <v>0</v>
      </c>
      <c r="X19" s="149">
        <f>IF($B19="","",IF(OR($B20="",ROUNDUP(($A19+1)/Inputs!$B$14,0)&gt;$B19),SUMIF($B$4:$B19,$B19,S$4:S19),0))</f>
        <v>0</v>
      </c>
      <c r="Y19" s="18"/>
      <c r="Z19" s="18"/>
      <c r="AA19" s="18"/>
      <c r="AB19" s="18"/>
      <c r="AC19" s="18"/>
      <c r="AD19" s="18"/>
      <c r="AE19" s="18"/>
      <c r="AF19" s="18"/>
      <c r="AG19" s="18"/>
    </row>
    <row r="20" spans="1:33" ht="18" customHeight="1">
      <c r="A20" s="157">
        <v>17</v>
      </c>
      <c r="B20" s="77">
        <f>IF(A20&gt;Inputs!$C$49,"",ROUNDUP(A20/Inputs!$B$14,0))</f>
        <v>4</v>
      </c>
      <c r="C20" s="160" t="str">
        <f>IF(A20&gt;Inputs!$C$49,"",IF(A20&lt;=Inputs!$C$48,"Pago normal",IF(A20&lt;Inputs!$C$49,"Mora - sin pago","Evento de cierre")))</f>
        <v>Evento de cierre</v>
      </c>
      <c r="D20" s="149">
        <f>IF(A20&gt;Inputs!$C$49,"",J19)</f>
        <v>5354344.0072689699</v>
      </c>
      <c r="E20" s="149">
        <f>IF(A20&gt;Inputs!$C$49,"",D20*Inputs!$B$17)</f>
        <v>65019.384062078927</v>
      </c>
      <c r="F20" s="149">
        <f>IF(A20&gt;Inputs!$C$49,"",IF(A20&lt;=Inputs!$C$48,MIN(Inputs!$B$20,D20+I19+E20),0))</f>
        <v>0</v>
      </c>
      <c r="G20" s="149">
        <f>IF(A20&gt;Inputs!$C$49,"",MIN(F20,I19+E20))</f>
        <v>0</v>
      </c>
      <c r="H20" s="149">
        <f>IF(A20&gt;Inputs!$C$49,"",MIN(MAX(0,F20-G20),D20))</f>
        <v>0</v>
      </c>
      <c r="I20" s="149">
        <f>IF(A20&gt;Inputs!$C$49,"",IF(A20=Inputs!$C$49,0,MAX(0,I19+E20-G20)))</f>
        <v>0</v>
      </c>
      <c r="J20" s="149">
        <f>IF(A20&gt;Inputs!$C$49,"",IF(A20=Inputs!$C$49,0,MAX(0,D20-H20)))</f>
        <v>0</v>
      </c>
      <c r="K20" s="149">
        <f>IF(A20&gt;Inputs!$C$49,"",IF(A20&lt;=Inputs!$C$48,0,A20-Inputs!$C$48))</f>
        <v>4</v>
      </c>
      <c r="L20" s="149">
        <f>IF(A20=Inputs!$C$49,D20+I19+E20,0)</f>
        <v>5614421.543517285</v>
      </c>
      <c r="M20" s="149">
        <f>IF(A20=Inputs!$C$49,Inputs!$C$47,0)</f>
        <v>6800000</v>
      </c>
      <c r="N20" s="149">
        <f>0</f>
        <v>0</v>
      </c>
      <c r="O20" s="149">
        <f>IF(A20=Inputs!$C$49,MAX(0,M20-L20),0)</f>
        <v>1185578.456482715</v>
      </c>
      <c r="P20" s="163" t="str">
        <f>IF(A20&gt;Inputs!$C$49,"",IF(A20=Inputs!$C$49,"Cerrado por evento",IF(K20&gt;0,"En mora","Vigente al día")))</f>
        <v>Cerrado por evento</v>
      </c>
      <c r="Q20" s="149">
        <f>IF($A20&gt;Inputs!$C$49,"",IF($A20&lt;=Inputs!$C$48,Inputs!$B$28,0))</f>
        <v>0</v>
      </c>
      <c r="R20" s="149">
        <f>IF($A20&gt;Inputs!$C$49,"",IF($A20&lt;=Inputs!$C$48,Inputs!$B$29,0))</f>
        <v>0</v>
      </c>
      <c r="S20" s="149">
        <f>IF($A20&gt;Inputs!$C$49,"",IF($A20&lt;=Inputs!$C$48,Inputs!$B$30,0))</f>
        <v>0</v>
      </c>
      <c r="T20" s="149">
        <f>IF($A20&gt;Inputs!$C$49,"",SUM(Q20:S20))</f>
        <v>0</v>
      </c>
      <c r="U20" s="149">
        <f>IF($A20&gt;Inputs!$C$49,"",F20+T20)</f>
        <v>0</v>
      </c>
      <c r="V20" s="149">
        <f>IF($B20="","",IF(OR($B21="",ROUNDUP(($A20+1)/Inputs!$B$14,0)&gt;$B20),SUMIF($B$4:$B20,$B20,Q$4:Q20),0))</f>
        <v>0</v>
      </c>
      <c r="W20" s="149">
        <f>IF($B20="","",IF(OR($B21="",ROUNDUP(($A20+1)/Inputs!$B$14,0)&gt;$B20),SUMIF($B$4:$B20,$B20,R$4:R20),0))</f>
        <v>0</v>
      </c>
      <c r="X20" s="149">
        <f>IF($B20="","",IF(OR($B21="",ROUNDUP(($A20+1)/Inputs!$B$14,0)&gt;$B20),SUMIF($B$4:$B20,$B20,S$4:S20),0))</f>
        <v>0</v>
      </c>
      <c r="Y20" s="18"/>
      <c r="Z20" s="18"/>
      <c r="AA20" s="18"/>
      <c r="AB20" s="18"/>
      <c r="AC20" s="18"/>
      <c r="AD20" s="18"/>
      <c r="AE20" s="18"/>
      <c r="AF20" s="18"/>
      <c r="AG20" s="18"/>
    </row>
    <row r="21" spans="1:33" ht="18" customHeight="1">
      <c r="A21" s="157">
        <v>18</v>
      </c>
      <c r="B21" s="77" t="str">
        <f>IF(A21&gt;Inputs!$C$49,"",ROUNDUP(A21/Inputs!$B$14,0))</f>
        <v/>
      </c>
      <c r="C21" s="160" t="str">
        <f>IF(A21&gt;Inputs!$C$49,"",IF(A21&lt;=Inputs!$C$48,"Pago normal",IF(A21&lt;Inputs!$C$49,"Mora - sin pago","Evento de cierre")))</f>
        <v/>
      </c>
      <c r="D21" s="149" t="str">
        <f>IF(A21&gt;Inputs!$C$49,"",J20)</f>
        <v/>
      </c>
      <c r="E21" s="149" t="str">
        <f>IF(A21&gt;Inputs!$C$49,"",D21*Inputs!$B$17)</f>
        <v/>
      </c>
      <c r="F21" s="149" t="str">
        <f>IF(A21&gt;Inputs!$C$49,"",IF(A21&lt;=Inputs!$C$48,MIN(Inputs!$B$20,D21+I20+E21),0))</f>
        <v/>
      </c>
      <c r="G21" s="149" t="str">
        <f>IF(A21&gt;Inputs!$C$49,"",MIN(F21,I20+E21))</f>
        <v/>
      </c>
      <c r="H21" s="149" t="str">
        <f>IF(A21&gt;Inputs!$C$49,"",MIN(MAX(0,F21-G21),D21))</f>
        <v/>
      </c>
      <c r="I21" s="149" t="str">
        <f>IF(A21&gt;Inputs!$C$49,"",IF(A21=Inputs!$C$49,0,MAX(0,I20+E21-G21)))</f>
        <v/>
      </c>
      <c r="J21" s="149" t="str">
        <f>IF(A21&gt;Inputs!$C$49,"",IF(A21=Inputs!$C$49,0,MAX(0,D21-H21)))</f>
        <v/>
      </c>
      <c r="K21" s="149" t="str">
        <f>IF(A21&gt;Inputs!$C$49,"",IF(A21&lt;=Inputs!$C$48,0,A21-Inputs!$C$48))</f>
        <v/>
      </c>
      <c r="L21" s="149">
        <f>IF(A21=Inputs!$C$49,D21+I20+E21,0)</f>
        <v>0</v>
      </c>
      <c r="M21" s="149">
        <f>IF(A21=Inputs!$C$49,Inputs!$C$47,0)</f>
        <v>0</v>
      </c>
      <c r="N21" s="149">
        <f>0</f>
        <v>0</v>
      </c>
      <c r="O21" s="149">
        <f>IF(A21=Inputs!$C$49,MAX(0,M21-L21),0)</f>
        <v>0</v>
      </c>
      <c r="P21" s="163" t="str">
        <f>IF(A21&gt;Inputs!$C$49,"",IF(A21=Inputs!$C$49,"Cerrado por evento",IF(K21&gt;0,"En mora","Vigente al día")))</f>
        <v/>
      </c>
      <c r="Q21" s="149" t="str">
        <f>IF($A21&gt;Inputs!$C$49,"",IF($A21&lt;=Inputs!$C$48,Inputs!$B$28,0))</f>
        <v/>
      </c>
      <c r="R21" s="149" t="str">
        <f>IF($A21&gt;Inputs!$C$49,"",IF($A21&lt;=Inputs!$C$48,Inputs!$B$29,0))</f>
        <v/>
      </c>
      <c r="S21" s="149" t="str">
        <f>IF($A21&gt;Inputs!$C$49,"",IF($A21&lt;=Inputs!$C$48,Inputs!$B$30,0))</f>
        <v/>
      </c>
      <c r="T21" s="149" t="str">
        <f>IF($A21&gt;Inputs!$C$49,"",SUM(Q21:S21))</f>
        <v/>
      </c>
      <c r="U21" s="149" t="str">
        <f>IF($A21&gt;Inputs!$C$49,"",F21+T21)</f>
        <v/>
      </c>
      <c r="V21" s="149" t="str">
        <f>IF($B21="","",IF(OR($B22="",ROUNDUP(($A21+1)/Inputs!$B$14,0)&gt;$B21),SUMIF($B$4:$B21,$B21,Q$4:Q21),0))</f>
        <v/>
      </c>
      <c r="W21" s="149" t="str">
        <f>IF($B21="","",IF(OR($B22="",ROUNDUP(($A21+1)/Inputs!$B$14,0)&gt;$B21),SUMIF($B$4:$B21,$B21,R$4:R21),0))</f>
        <v/>
      </c>
      <c r="X21" s="149" t="str">
        <f>IF($B21="","",IF(OR($B22="",ROUNDUP(($A21+1)/Inputs!$B$14,0)&gt;$B21),SUMIF($B$4:$B21,$B21,S$4:S21),0))</f>
        <v/>
      </c>
      <c r="Y21" s="18"/>
      <c r="Z21" s="179" t="s">
        <v>337</v>
      </c>
      <c r="AA21" s="18"/>
      <c r="AB21" s="18"/>
      <c r="AC21" s="18"/>
      <c r="AD21" s="18"/>
      <c r="AE21" s="18"/>
      <c r="AF21" s="18"/>
      <c r="AG21" s="18"/>
    </row>
    <row r="22" spans="1:33" ht="18" customHeight="1">
      <c r="A22" s="157">
        <v>19</v>
      </c>
      <c r="B22" s="77" t="str">
        <f>IF(A22&gt;Inputs!$C$49,"",ROUNDUP(A22/Inputs!$B$14,0))</f>
        <v/>
      </c>
      <c r="C22" s="160" t="str">
        <f>IF(A22&gt;Inputs!$C$49,"",IF(A22&lt;=Inputs!$C$48,"Pago normal",IF(A22&lt;Inputs!$C$49,"Mora - sin pago","Evento de cierre")))</f>
        <v/>
      </c>
      <c r="D22" s="149" t="str">
        <f>IF(A22&gt;Inputs!$C$49,"",J21)</f>
        <v/>
      </c>
      <c r="E22" s="149" t="str">
        <f>IF(A22&gt;Inputs!$C$49,"",D22*Inputs!$B$17)</f>
        <v/>
      </c>
      <c r="F22" s="149" t="str">
        <f>IF(A22&gt;Inputs!$C$49,"",IF(A22&lt;=Inputs!$C$48,MIN(Inputs!$B$20,D22+I21+E22),0))</f>
        <v/>
      </c>
      <c r="G22" s="149" t="str">
        <f>IF(A22&gt;Inputs!$C$49,"",MIN(F22,I21+E22))</f>
        <v/>
      </c>
      <c r="H22" s="149" t="str">
        <f>IF(A22&gt;Inputs!$C$49,"",MIN(MAX(0,F22-G22),D22))</f>
        <v/>
      </c>
      <c r="I22" s="149" t="str">
        <f>IF(A22&gt;Inputs!$C$49,"",IF(A22=Inputs!$C$49,0,MAX(0,I21+E22-G22)))</f>
        <v/>
      </c>
      <c r="J22" s="149" t="str">
        <f>IF(A22&gt;Inputs!$C$49,"",IF(A22=Inputs!$C$49,0,MAX(0,D22-H22)))</f>
        <v/>
      </c>
      <c r="K22" s="149" t="str">
        <f>IF(A22&gt;Inputs!$C$49,"",IF(A22&lt;=Inputs!$C$48,0,A22-Inputs!$C$48))</f>
        <v/>
      </c>
      <c r="L22" s="149">
        <f>IF(A22=Inputs!$C$49,D22+I21+E22,0)</f>
        <v>0</v>
      </c>
      <c r="M22" s="149">
        <f>IF(A22=Inputs!$C$49,Inputs!$C$47,0)</f>
        <v>0</v>
      </c>
      <c r="N22" s="149">
        <f>0</f>
        <v>0</v>
      </c>
      <c r="O22" s="149">
        <f>IF(A22=Inputs!$C$49,MAX(0,M22-L22),0)</f>
        <v>0</v>
      </c>
      <c r="P22" s="163" t="str">
        <f>IF(A22&gt;Inputs!$C$49,"",IF(A22=Inputs!$C$49,"Cerrado por evento",IF(K22&gt;0,"En mora","Vigente al día")))</f>
        <v/>
      </c>
      <c r="Q22" s="149" t="str">
        <f>IF($A22&gt;Inputs!$C$49,"",IF($A22&lt;=Inputs!$C$48,Inputs!$B$28,0))</f>
        <v/>
      </c>
      <c r="R22" s="149" t="str">
        <f>IF($A22&gt;Inputs!$C$49,"",IF($A22&lt;=Inputs!$C$48,Inputs!$B$29,0))</f>
        <v/>
      </c>
      <c r="S22" s="149" t="str">
        <f>IF($A22&gt;Inputs!$C$49,"",IF($A22&lt;=Inputs!$C$48,Inputs!$B$30,0))</f>
        <v/>
      </c>
      <c r="T22" s="149" t="str">
        <f>IF($A22&gt;Inputs!$C$49,"",SUM(Q22:S22))</f>
        <v/>
      </c>
      <c r="U22" s="149" t="str">
        <f>IF($A22&gt;Inputs!$C$49,"",F22+T22)</f>
        <v/>
      </c>
      <c r="V22" s="149" t="str">
        <f>IF($B22="","",IF(OR($B23="",ROUNDUP(($A22+1)/Inputs!$B$14,0)&gt;$B22),SUMIF($B$4:$B22,$B22,Q$4:Q22),0))</f>
        <v/>
      </c>
      <c r="W22" s="149" t="str">
        <f>IF($B22="","",IF(OR($B23="",ROUNDUP(($A22+1)/Inputs!$B$14,0)&gt;$B22),SUMIF($B$4:$B22,$B22,R$4:R22),0))</f>
        <v/>
      </c>
      <c r="X22" s="149" t="str">
        <f>IF($B22="","",IF(OR($B23="",ROUNDUP(($A22+1)/Inputs!$B$14,0)&gt;$B22),SUMIF($B$4:$B22,$B22,S$4:S22),0))</f>
        <v/>
      </c>
      <c r="Y22" s="18"/>
      <c r="Z22" s="179" t="s">
        <v>338</v>
      </c>
      <c r="AA22" s="18"/>
      <c r="AB22" s="18"/>
      <c r="AC22" s="18"/>
      <c r="AD22" s="18"/>
      <c r="AE22" s="18"/>
      <c r="AF22" s="18"/>
      <c r="AG22" s="18"/>
    </row>
    <row r="23" spans="1:33" ht="18" customHeight="1">
      <c r="A23" s="157">
        <v>20</v>
      </c>
      <c r="B23" s="77" t="str">
        <f>IF(A23&gt;Inputs!$C$49,"",ROUNDUP(A23/Inputs!$B$14,0))</f>
        <v/>
      </c>
      <c r="C23" s="160" t="str">
        <f>IF(A23&gt;Inputs!$C$49,"",IF(A23&lt;=Inputs!$C$48,"Pago normal",IF(A23&lt;Inputs!$C$49,"Mora - sin pago","Evento de cierre")))</f>
        <v/>
      </c>
      <c r="D23" s="149" t="str">
        <f>IF(A23&gt;Inputs!$C$49,"",J22)</f>
        <v/>
      </c>
      <c r="E23" s="149" t="str">
        <f>IF(A23&gt;Inputs!$C$49,"",D23*Inputs!$B$17)</f>
        <v/>
      </c>
      <c r="F23" s="149" t="str">
        <f>IF(A23&gt;Inputs!$C$49,"",IF(A23&lt;=Inputs!$C$48,MIN(Inputs!$B$20,D23+I22+E23),0))</f>
        <v/>
      </c>
      <c r="G23" s="149" t="str">
        <f>IF(A23&gt;Inputs!$C$49,"",MIN(F23,I22+E23))</f>
        <v/>
      </c>
      <c r="H23" s="149" t="str">
        <f>IF(A23&gt;Inputs!$C$49,"",MIN(MAX(0,F23-G23),D23))</f>
        <v/>
      </c>
      <c r="I23" s="149" t="str">
        <f>IF(A23&gt;Inputs!$C$49,"",IF(A23=Inputs!$C$49,0,MAX(0,I22+E23-G23)))</f>
        <v/>
      </c>
      <c r="J23" s="149" t="str">
        <f>IF(A23&gt;Inputs!$C$49,"",IF(A23=Inputs!$C$49,0,MAX(0,D23-H23)))</f>
        <v/>
      </c>
      <c r="K23" s="149" t="str">
        <f>IF(A23&gt;Inputs!$C$49,"",IF(A23&lt;=Inputs!$C$48,0,A23-Inputs!$C$48))</f>
        <v/>
      </c>
      <c r="L23" s="149">
        <f>IF(A23=Inputs!$C$49,D23+I22+E23,0)</f>
        <v>0</v>
      </c>
      <c r="M23" s="149">
        <f>IF(A23=Inputs!$C$49,Inputs!$C$47,0)</f>
        <v>0</v>
      </c>
      <c r="N23" s="149">
        <f>0</f>
        <v>0</v>
      </c>
      <c r="O23" s="149">
        <f>IF(A23=Inputs!$C$49,MAX(0,M23-L23),0)</f>
        <v>0</v>
      </c>
      <c r="P23" s="163" t="str">
        <f>IF(A23&gt;Inputs!$C$49,"",IF(A23=Inputs!$C$49,"Cerrado por evento",IF(K23&gt;0,"En mora","Vigente al día")))</f>
        <v/>
      </c>
      <c r="Q23" s="149" t="str">
        <f>IF($A23&gt;Inputs!$C$49,"",IF($A23&lt;=Inputs!$C$48,Inputs!$B$28,0))</f>
        <v/>
      </c>
      <c r="R23" s="149" t="str">
        <f>IF($A23&gt;Inputs!$C$49,"",IF($A23&lt;=Inputs!$C$48,Inputs!$B$29,0))</f>
        <v/>
      </c>
      <c r="S23" s="149" t="str">
        <f>IF($A23&gt;Inputs!$C$49,"",IF($A23&lt;=Inputs!$C$48,Inputs!$B$30,0))</f>
        <v/>
      </c>
      <c r="T23" s="149" t="str">
        <f>IF($A23&gt;Inputs!$C$49,"",SUM(Q23:S23))</f>
        <v/>
      </c>
      <c r="U23" s="149" t="str">
        <f>IF($A23&gt;Inputs!$C$49,"",F23+T23)</f>
        <v/>
      </c>
      <c r="V23" s="149" t="str">
        <f>IF($B23="","",IF(OR($B24="",ROUNDUP(($A23+1)/Inputs!$B$14,0)&gt;$B23),SUMIF($B$4:$B23,$B23,Q$4:Q23),0))</f>
        <v/>
      </c>
      <c r="W23" s="149" t="str">
        <f>IF($B23="","",IF(OR($B24="",ROUNDUP(($A23+1)/Inputs!$B$14,0)&gt;$B23),SUMIF($B$4:$B23,$B23,R$4:R23),0))</f>
        <v/>
      </c>
      <c r="X23" s="149" t="str">
        <f>IF($B23="","",IF(OR($B24="",ROUNDUP(($A23+1)/Inputs!$B$14,0)&gt;$B23),SUMIF($B$4:$B23,$B23,S$4:S23),0))</f>
        <v/>
      </c>
      <c r="Y23" s="18"/>
      <c r="Z23" s="18"/>
      <c r="AA23" s="18"/>
      <c r="AB23" s="18"/>
      <c r="AC23" s="18"/>
      <c r="AD23" s="18"/>
      <c r="AE23" s="18"/>
      <c r="AF23" s="18"/>
      <c r="AG23" s="18"/>
    </row>
    <row r="24" spans="1:33" ht="18" customHeight="1">
      <c r="A24" s="157">
        <v>21</v>
      </c>
      <c r="B24" s="77" t="str">
        <f>IF(A24&gt;Inputs!$C$49,"",ROUNDUP(A24/Inputs!$B$14,0))</f>
        <v/>
      </c>
      <c r="C24" s="160" t="str">
        <f>IF(A24&gt;Inputs!$C$49,"",IF(A24&lt;=Inputs!$C$48,"Pago normal",IF(A24&lt;Inputs!$C$49,"Mora - sin pago","Evento de cierre")))</f>
        <v/>
      </c>
      <c r="D24" s="149" t="str">
        <f>IF(A24&gt;Inputs!$C$49,"",J23)</f>
        <v/>
      </c>
      <c r="E24" s="149" t="str">
        <f>IF(A24&gt;Inputs!$C$49,"",D24*Inputs!$B$17)</f>
        <v/>
      </c>
      <c r="F24" s="149" t="str">
        <f>IF(A24&gt;Inputs!$C$49,"",IF(A24&lt;=Inputs!$C$48,MIN(Inputs!$B$20,D24+I23+E24),0))</f>
        <v/>
      </c>
      <c r="G24" s="149" t="str">
        <f>IF(A24&gt;Inputs!$C$49,"",MIN(F24,I23+E24))</f>
        <v/>
      </c>
      <c r="H24" s="149" t="str">
        <f>IF(A24&gt;Inputs!$C$49,"",MIN(MAX(0,F24-G24),D24))</f>
        <v/>
      </c>
      <c r="I24" s="149" t="str">
        <f>IF(A24&gt;Inputs!$C$49,"",IF(A24=Inputs!$C$49,0,MAX(0,I23+E24-G24)))</f>
        <v/>
      </c>
      <c r="J24" s="149" t="str">
        <f>IF(A24&gt;Inputs!$C$49,"",IF(A24=Inputs!$C$49,0,MAX(0,D24-H24)))</f>
        <v/>
      </c>
      <c r="K24" s="149" t="str">
        <f>IF(A24&gt;Inputs!$C$49,"",IF(A24&lt;=Inputs!$C$48,0,A24-Inputs!$C$48))</f>
        <v/>
      </c>
      <c r="L24" s="149">
        <f>IF(A24=Inputs!$C$49,D24+I23+E24,0)</f>
        <v>0</v>
      </c>
      <c r="M24" s="149">
        <f>IF(A24=Inputs!$C$49,Inputs!$C$47,0)</f>
        <v>0</v>
      </c>
      <c r="N24" s="149">
        <f>0</f>
        <v>0</v>
      </c>
      <c r="O24" s="149">
        <f>IF(A24=Inputs!$C$49,MAX(0,M24-L24),0)</f>
        <v>0</v>
      </c>
      <c r="P24" s="163" t="str">
        <f>IF(A24&gt;Inputs!$C$49,"",IF(A24=Inputs!$C$49,"Cerrado por evento",IF(K24&gt;0,"En mora","Vigente al día")))</f>
        <v/>
      </c>
      <c r="Q24" s="149" t="str">
        <f>IF($A24&gt;Inputs!$C$49,"",IF($A24&lt;=Inputs!$C$48,Inputs!$B$28,0))</f>
        <v/>
      </c>
      <c r="R24" s="149" t="str">
        <f>IF($A24&gt;Inputs!$C$49,"",IF($A24&lt;=Inputs!$C$48,Inputs!$B$29,0))</f>
        <v/>
      </c>
      <c r="S24" s="149" t="str">
        <f>IF($A24&gt;Inputs!$C$49,"",IF($A24&lt;=Inputs!$C$48,Inputs!$B$30,0))</f>
        <v/>
      </c>
      <c r="T24" s="149" t="str">
        <f>IF($A24&gt;Inputs!$C$49,"",SUM(Q24:S24))</f>
        <v/>
      </c>
      <c r="U24" s="149" t="str">
        <f>IF($A24&gt;Inputs!$C$49,"",F24+T24)</f>
        <v/>
      </c>
      <c r="V24" s="149" t="str">
        <f>IF($B24="","",IF(OR($B25="",ROUNDUP(($A24+1)/Inputs!$B$14,0)&gt;$B24),SUMIF($B$4:$B24,$B24,Q$4:Q24),0))</f>
        <v/>
      </c>
      <c r="W24" s="149" t="str">
        <f>IF($B24="","",IF(OR($B25="",ROUNDUP(($A24+1)/Inputs!$B$14,0)&gt;$B24),SUMIF($B$4:$B24,$B24,R$4:R24),0))</f>
        <v/>
      </c>
      <c r="X24" s="149" t="str">
        <f>IF($B24="","",IF(OR($B25="",ROUNDUP(($A24+1)/Inputs!$B$14,0)&gt;$B24),SUMIF($B$4:$B24,$B24,S$4:S24),0))</f>
        <v/>
      </c>
      <c r="Y24" s="18"/>
      <c r="Z24" s="18"/>
      <c r="AA24" s="18"/>
      <c r="AB24" s="18"/>
      <c r="AC24" s="18"/>
      <c r="AD24" s="18"/>
      <c r="AE24" s="18"/>
      <c r="AF24" s="18"/>
      <c r="AG24" s="18"/>
    </row>
    <row r="25" spans="1:33" ht="18" customHeight="1">
      <c r="A25" s="157">
        <v>22</v>
      </c>
      <c r="B25" s="77" t="str">
        <f>IF(A25&gt;Inputs!$C$49,"",ROUNDUP(A25/Inputs!$B$14,0))</f>
        <v/>
      </c>
      <c r="C25" s="160" t="str">
        <f>IF(A25&gt;Inputs!$C$49,"",IF(A25&lt;=Inputs!$C$48,"Pago normal",IF(A25&lt;Inputs!$C$49,"Mora - sin pago","Evento de cierre")))</f>
        <v/>
      </c>
      <c r="D25" s="149" t="str">
        <f>IF(A25&gt;Inputs!$C$49,"",J24)</f>
        <v/>
      </c>
      <c r="E25" s="149" t="str">
        <f>IF(A25&gt;Inputs!$C$49,"",D25*Inputs!$B$17)</f>
        <v/>
      </c>
      <c r="F25" s="149" t="str">
        <f>IF(A25&gt;Inputs!$C$49,"",IF(A25&lt;=Inputs!$C$48,MIN(Inputs!$B$20,D25+I24+E25),0))</f>
        <v/>
      </c>
      <c r="G25" s="149" t="str">
        <f>IF(A25&gt;Inputs!$C$49,"",MIN(F25,I24+E25))</f>
        <v/>
      </c>
      <c r="H25" s="149" t="str">
        <f>IF(A25&gt;Inputs!$C$49,"",MIN(MAX(0,F25-G25),D25))</f>
        <v/>
      </c>
      <c r="I25" s="149" t="str">
        <f>IF(A25&gt;Inputs!$C$49,"",IF(A25=Inputs!$C$49,0,MAX(0,I24+E25-G25)))</f>
        <v/>
      </c>
      <c r="J25" s="149" t="str">
        <f>IF(A25&gt;Inputs!$C$49,"",IF(A25=Inputs!$C$49,0,MAX(0,D25-H25)))</f>
        <v/>
      </c>
      <c r="K25" s="149" t="str">
        <f>IF(A25&gt;Inputs!$C$49,"",IF(A25&lt;=Inputs!$C$48,0,A25-Inputs!$C$48))</f>
        <v/>
      </c>
      <c r="L25" s="149">
        <f>IF(A25=Inputs!$C$49,D25+I24+E25,0)</f>
        <v>0</v>
      </c>
      <c r="M25" s="149">
        <f>IF(A25=Inputs!$C$49,Inputs!$C$47,0)</f>
        <v>0</v>
      </c>
      <c r="N25" s="149">
        <f>0</f>
        <v>0</v>
      </c>
      <c r="O25" s="149">
        <f>IF(A25=Inputs!$C$49,MAX(0,M25-L25),0)</f>
        <v>0</v>
      </c>
      <c r="P25" s="163" t="str">
        <f>IF(A25&gt;Inputs!$C$49,"",IF(A25=Inputs!$C$49,"Cerrado por evento",IF(K25&gt;0,"En mora","Vigente al día")))</f>
        <v/>
      </c>
      <c r="Q25" s="149" t="str">
        <f>IF($A25&gt;Inputs!$C$49,"",IF($A25&lt;=Inputs!$C$48,Inputs!$B$28,0))</f>
        <v/>
      </c>
      <c r="R25" s="149" t="str">
        <f>IF($A25&gt;Inputs!$C$49,"",IF($A25&lt;=Inputs!$C$48,Inputs!$B$29,0))</f>
        <v/>
      </c>
      <c r="S25" s="149" t="str">
        <f>IF($A25&gt;Inputs!$C$49,"",IF($A25&lt;=Inputs!$C$48,Inputs!$B$30,0))</f>
        <v/>
      </c>
      <c r="T25" s="149" t="str">
        <f>IF($A25&gt;Inputs!$C$49,"",SUM(Q25:S25))</f>
        <v/>
      </c>
      <c r="U25" s="149" t="str">
        <f>IF($A25&gt;Inputs!$C$49,"",F25+T25)</f>
        <v/>
      </c>
      <c r="V25" s="149" t="str">
        <f>IF($B25="","",IF(OR($B26="",ROUNDUP(($A25+1)/Inputs!$B$14,0)&gt;$B25),SUMIF($B$4:$B25,$B25,Q$4:Q25),0))</f>
        <v/>
      </c>
      <c r="W25" s="149" t="str">
        <f>IF($B25="","",IF(OR($B26="",ROUNDUP(($A25+1)/Inputs!$B$14,0)&gt;$B25),SUMIF($B$4:$B25,$B25,R$4:R25),0))</f>
        <v/>
      </c>
      <c r="X25" s="149" t="str">
        <f>IF($B25="","",IF(OR($B26="",ROUNDUP(($A25+1)/Inputs!$B$14,0)&gt;$B25),SUMIF($B$4:$B25,$B25,S$4:S25),0))</f>
        <v/>
      </c>
      <c r="Y25" s="18"/>
      <c r="Z25" s="18"/>
      <c r="AA25" s="18"/>
      <c r="AB25" s="18"/>
      <c r="AC25" s="18"/>
      <c r="AD25" s="18"/>
      <c r="AE25" s="18"/>
      <c r="AF25" s="18"/>
      <c r="AG25" s="18"/>
    </row>
    <row r="26" spans="1:33" ht="18" customHeight="1">
      <c r="A26" s="157">
        <v>23</v>
      </c>
      <c r="B26" s="77" t="str">
        <f>IF(A26&gt;Inputs!$C$49,"",ROUNDUP(A26/Inputs!$B$14,0))</f>
        <v/>
      </c>
      <c r="C26" s="160" t="str">
        <f>IF(A26&gt;Inputs!$C$49,"",IF(A26&lt;=Inputs!$C$48,"Pago normal",IF(A26&lt;Inputs!$C$49,"Mora - sin pago","Evento de cierre")))</f>
        <v/>
      </c>
      <c r="D26" s="149" t="str">
        <f>IF(A26&gt;Inputs!$C$49,"",J25)</f>
        <v/>
      </c>
      <c r="E26" s="149" t="str">
        <f>IF(A26&gt;Inputs!$C$49,"",D26*Inputs!$B$17)</f>
        <v/>
      </c>
      <c r="F26" s="149" t="str">
        <f>IF(A26&gt;Inputs!$C$49,"",IF(A26&lt;=Inputs!$C$48,MIN(Inputs!$B$20,D26+I25+E26),0))</f>
        <v/>
      </c>
      <c r="G26" s="149" t="str">
        <f>IF(A26&gt;Inputs!$C$49,"",MIN(F26,I25+E26))</f>
        <v/>
      </c>
      <c r="H26" s="149" t="str">
        <f>IF(A26&gt;Inputs!$C$49,"",MIN(MAX(0,F26-G26),D26))</f>
        <v/>
      </c>
      <c r="I26" s="149" t="str">
        <f>IF(A26&gt;Inputs!$C$49,"",IF(A26=Inputs!$C$49,0,MAX(0,I25+E26-G26)))</f>
        <v/>
      </c>
      <c r="J26" s="149" t="str">
        <f>IF(A26&gt;Inputs!$C$49,"",IF(A26=Inputs!$C$49,0,MAX(0,D26-H26)))</f>
        <v/>
      </c>
      <c r="K26" s="149" t="str">
        <f>IF(A26&gt;Inputs!$C$49,"",IF(A26&lt;=Inputs!$C$48,0,A26-Inputs!$C$48))</f>
        <v/>
      </c>
      <c r="L26" s="149">
        <f>IF(A26=Inputs!$C$49,D26+I25+E26,0)</f>
        <v>0</v>
      </c>
      <c r="M26" s="149">
        <f>IF(A26=Inputs!$C$49,Inputs!$C$47,0)</f>
        <v>0</v>
      </c>
      <c r="N26" s="149">
        <f>0</f>
        <v>0</v>
      </c>
      <c r="O26" s="149">
        <f>IF(A26=Inputs!$C$49,MAX(0,M26-L26),0)</f>
        <v>0</v>
      </c>
      <c r="P26" s="163" t="str">
        <f>IF(A26&gt;Inputs!$C$49,"",IF(A26=Inputs!$C$49,"Cerrado por evento",IF(K26&gt;0,"En mora","Vigente al día")))</f>
        <v/>
      </c>
      <c r="Q26" s="149" t="str">
        <f>IF($A26&gt;Inputs!$C$49,"",IF($A26&lt;=Inputs!$C$48,Inputs!$B$28,0))</f>
        <v/>
      </c>
      <c r="R26" s="149" t="str">
        <f>IF($A26&gt;Inputs!$C$49,"",IF($A26&lt;=Inputs!$C$48,Inputs!$B$29,0))</f>
        <v/>
      </c>
      <c r="S26" s="149" t="str">
        <f>IF($A26&gt;Inputs!$C$49,"",IF($A26&lt;=Inputs!$C$48,Inputs!$B$30,0))</f>
        <v/>
      </c>
      <c r="T26" s="149" t="str">
        <f>IF($A26&gt;Inputs!$C$49,"",SUM(Q26:S26))</f>
        <v/>
      </c>
      <c r="U26" s="149" t="str">
        <f>IF($A26&gt;Inputs!$C$49,"",F26+T26)</f>
        <v/>
      </c>
      <c r="V26" s="149" t="str">
        <f>IF($B26="","",IF(OR($B27="",ROUNDUP(($A26+1)/Inputs!$B$14,0)&gt;$B26),SUMIF($B$4:$B26,$B26,Q$4:Q26),0))</f>
        <v/>
      </c>
      <c r="W26" s="149" t="str">
        <f>IF($B26="","",IF(OR($B27="",ROUNDUP(($A26+1)/Inputs!$B$14,0)&gt;$B26),SUMIF($B$4:$B26,$B26,R$4:R26),0))</f>
        <v/>
      </c>
      <c r="X26" s="149" t="str">
        <f>IF($B26="","",IF(OR($B27="",ROUNDUP(($A26+1)/Inputs!$B$14,0)&gt;$B26),SUMIF($B$4:$B26,$B26,S$4:S26),0))</f>
        <v/>
      </c>
      <c r="Y26" s="18"/>
      <c r="Z26" s="18"/>
      <c r="AA26" s="18"/>
      <c r="AB26" s="18"/>
      <c r="AC26" s="18"/>
      <c r="AD26" s="18"/>
      <c r="AE26" s="18"/>
      <c r="AF26" s="18"/>
      <c r="AG26" s="18"/>
    </row>
    <row r="27" spans="1:33" ht="18" customHeight="1">
      <c r="A27" s="157">
        <v>24</v>
      </c>
      <c r="B27" s="77" t="str">
        <f>IF(A27&gt;Inputs!$C$49,"",ROUNDUP(A27/Inputs!$B$14,0))</f>
        <v/>
      </c>
      <c r="C27" s="160" t="str">
        <f>IF(A27&gt;Inputs!$C$49,"",IF(A27&lt;=Inputs!$C$48,"Pago normal",IF(A27&lt;Inputs!$C$49,"Mora - sin pago","Evento de cierre")))</f>
        <v/>
      </c>
      <c r="D27" s="149" t="str">
        <f>IF(A27&gt;Inputs!$C$49,"",J26)</f>
        <v/>
      </c>
      <c r="E27" s="149" t="str">
        <f>IF(A27&gt;Inputs!$C$49,"",D27*Inputs!$B$17)</f>
        <v/>
      </c>
      <c r="F27" s="149" t="str">
        <f>IF(A27&gt;Inputs!$C$49,"",IF(A27&lt;=Inputs!$C$48,MIN(Inputs!$B$20,D27+I26+E27),0))</f>
        <v/>
      </c>
      <c r="G27" s="149" t="str">
        <f>IF(A27&gt;Inputs!$C$49,"",MIN(F27,I26+E27))</f>
        <v/>
      </c>
      <c r="H27" s="149" t="str">
        <f>IF(A27&gt;Inputs!$C$49,"",MIN(MAX(0,F27-G27),D27))</f>
        <v/>
      </c>
      <c r="I27" s="149" t="str">
        <f>IF(A27&gt;Inputs!$C$49,"",IF(A27=Inputs!$C$49,0,MAX(0,I26+E27-G27)))</f>
        <v/>
      </c>
      <c r="J27" s="149" t="str">
        <f>IF(A27&gt;Inputs!$C$49,"",IF(A27=Inputs!$C$49,0,MAX(0,D27-H27)))</f>
        <v/>
      </c>
      <c r="K27" s="149" t="str">
        <f>IF(A27&gt;Inputs!$C$49,"",IF(A27&lt;=Inputs!$C$48,0,A27-Inputs!$C$48))</f>
        <v/>
      </c>
      <c r="L27" s="149">
        <f>IF(A27=Inputs!$C$49,D27+I26+E27,0)</f>
        <v>0</v>
      </c>
      <c r="M27" s="149">
        <f>IF(A27=Inputs!$C$49,Inputs!$C$47,0)</f>
        <v>0</v>
      </c>
      <c r="N27" s="149">
        <f>0</f>
        <v>0</v>
      </c>
      <c r="O27" s="149">
        <f>IF(A27=Inputs!$C$49,MAX(0,M27-L27),0)</f>
        <v>0</v>
      </c>
      <c r="P27" s="163" t="str">
        <f>IF(A27&gt;Inputs!$C$49,"",IF(A27=Inputs!$C$49,"Cerrado por evento",IF(K27&gt;0,"En mora","Vigente al día")))</f>
        <v/>
      </c>
      <c r="Q27" s="149" t="str">
        <f>IF($A27&gt;Inputs!$C$49,"",IF($A27&lt;=Inputs!$C$48,Inputs!$B$28,0))</f>
        <v/>
      </c>
      <c r="R27" s="149" t="str">
        <f>IF($A27&gt;Inputs!$C$49,"",IF($A27&lt;=Inputs!$C$48,Inputs!$B$29,0))</f>
        <v/>
      </c>
      <c r="S27" s="149" t="str">
        <f>IF($A27&gt;Inputs!$C$49,"",IF($A27&lt;=Inputs!$C$48,Inputs!$B$30,0))</f>
        <v/>
      </c>
      <c r="T27" s="149" t="str">
        <f>IF($A27&gt;Inputs!$C$49,"",SUM(Q27:S27))</f>
        <v/>
      </c>
      <c r="U27" s="149" t="str">
        <f>IF($A27&gt;Inputs!$C$49,"",F27+T27)</f>
        <v/>
      </c>
      <c r="V27" s="149" t="str">
        <f>IF($B27="","",IF(OR($B28="",ROUNDUP(($A27+1)/Inputs!$B$14,0)&gt;$B27),SUMIF($B$4:$B27,$B27,Q$4:Q27),0))</f>
        <v/>
      </c>
      <c r="W27" s="149" t="str">
        <f>IF($B27="","",IF(OR($B28="",ROUNDUP(($A27+1)/Inputs!$B$14,0)&gt;$B27),SUMIF($B$4:$B27,$B27,R$4:R27),0))</f>
        <v/>
      </c>
      <c r="X27" s="149" t="str">
        <f>IF($B27="","",IF(OR($B28="",ROUNDUP(($A27+1)/Inputs!$B$14,0)&gt;$B27),SUMIF($B$4:$B27,$B27,S$4:S27),0))</f>
        <v/>
      </c>
      <c r="Y27" s="18"/>
      <c r="Z27" s="18"/>
      <c r="AA27" s="18"/>
      <c r="AB27" s="18"/>
      <c r="AC27" s="18"/>
      <c r="AD27" s="18"/>
      <c r="AE27" s="18"/>
      <c r="AF27" s="18"/>
      <c r="AG27" s="18"/>
    </row>
    <row r="28" spans="1:33" ht="18" customHeight="1">
      <c r="A28" s="157">
        <v>25</v>
      </c>
      <c r="B28" s="77" t="str">
        <f>IF(A28&gt;Inputs!$C$49,"",ROUNDUP(A28/Inputs!$B$14,0))</f>
        <v/>
      </c>
      <c r="C28" s="160" t="str">
        <f>IF(A28&gt;Inputs!$C$49,"",IF(A28&lt;=Inputs!$C$48,"Pago normal",IF(A28&lt;Inputs!$C$49,"Mora - sin pago","Evento de cierre")))</f>
        <v/>
      </c>
      <c r="D28" s="149" t="str">
        <f>IF(A28&gt;Inputs!$C$49,"",J27)</f>
        <v/>
      </c>
      <c r="E28" s="149" t="str">
        <f>IF(A28&gt;Inputs!$C$49,"",D28*Inputs!$B$17)</f>
        <v/>
      </c>
      <c r="F28" s="149" t="str">
        <f>IF(A28&gt;Inputs!$C$49,"",IF(A28&lt;=Inputs!$C$48,MIN(Inputs!$B$20,D28+I27+E28),0))</f>
        <v/>
      </c>
      <c r="G28" s="149" t="str">
        <f>IF(A28&gt;Inputs!$C$49,"",MIN(F28,I27+E28))</f>
        <v/>
      </c>
      <c r="H28" s="149" t="str">
        <f>IF(A28&gt;Inputs!$C$49,"",MIN(MAX(0,F28-G28),D28))</f>
        <v/>
      </c>
      <c r="I28" s="149" t="str">
        <f>IF(A28&gt;Inputs!$C$49,"",IF(A28=Inputs!$C$49,0,MAX(0,I27+E28-G28)))</f>
        <v/>
      </c>
      <c r="J28" s="149" t="str">
        <f>IF(A28&gt;Inputs!$C$49,"",IF(A28=Inputs!$C$49,0,MAX(0,D28-H28)))</f>
        <v/>
      </c>
      <c r="K28" s="149" t="str">
        <f>IF(A28&gt;Inputs!$C$49,"",IF(A28&lt;=Inputs!$C$48,0,A28-Inputs!$C$48))</f>
        <v/>
      </c>
      <c r="L28" s="149">
        <f>IF(A28=Inputs!$C$49,D28+I27+E28,0)</f>
        <v>0</v>
      </c>
      <c r="M28" s="149">
        <f>IF(A28=Inputs!$C$49,Inputs!$C$47,0)</f>
        <v>0</v>
      </c>
      <c r="N28" s="149">
        <f>0</f>
        <v>0</v>
      </c>
      <c r="O28" s="149">
        <f>IF(A28=Inputs!$C$49,MAX(0,M28-L28),0)</f>
        <v>0</v>
      </c>
      <c r="P28" s="163" t="str">
        <f>IF(A28&gt;Inputs!$C$49,"",IF(A28=Inputs!$C$49,"Cerrado por evento",IF(K28&gt;0,"En mora","Vigente al día")))</f>
        <v/>
      </c>
      <c r="Q28" s="149" t="str">
        <f>IF($A28&gt;Inputs!$C$49,"",IF($A28&lt;=Inputs!$C$48,Inputs!$B$28,0))</f>
        <v/>
      </c>
      <c r="R28" s="149" t="str">
        <f>IF($A28&gt;Inputs!$C$49,"",IF($A28&lt;=Inputs!$C$48,Inputs!$B$29,0))</f>
        <v/>
      </c>
      <c r="S28" s="149" t="str">
        <f>IF($A28&gt;Inputs!$C$49,"",IF($A28&lt;=Inputs!$C$48,Inputs!$B$30,0))</f>
        <v/>
      </c>
      <c r="T28" s="149" t="str">
        <f>IF($A28&gt;Inputs!$C$49,"",SUM(Q28:S28))</f>
        <v/>
      </c>
      <c r="U28" s="149" t="str">
        <f>IF($A28&gt;Inputs!$C$49,"",F28+T28)</f>
        <v/>
      </c>
      <c r="V28" s="149" t="str">
        <f>IF($B28="","",IF(OR($B29="",ROUNDUP(($A28+1)/Inputs!$B$14,0)&gt;$B28),SUMIF($B$4:$B28,$B28,Q$4:Q28),0))</f>
        <v/>
      </c>
      <c r="W28" s="149" t="str">
        <f>IF($B28="","",IF(OR($B29="",ROUNDUP(($A28+1)/Inputs!$B$14,0)&gt;$B28),SUMIF($B$4:$B28,$B28,R$4:R28),0))</f>
        <v/>
      </c>
      <c r="X28" s="149" t="str">
        <f>IF($B28="","",IF(OR($B29="",ROUNDUP(($A28+1)/Inputs!$B$14,0)&gt;$B28),SUMIF($B$4:$B28,$B28,S$4:S28),0))</f>
        <v/>
      </c>
      <c r="Y28" s="18"/>
      <c r="Z28" s="18"/>
      <c r="AA28" s="18"/>
      <c r="AB28" s="18"/>
      <c r="AC28" s="18"/>
      <c r="AD28" s="18"/>
      <c r="AE28" s="18"/>
      <c r="AF28" s="18"/>
      <c r="AG28" s="18"/>
    </row>
    <row r="29" spans="1:33" ht="18" customHeight="1">
      <c r="A29" s="157">
        <v>26</v>
      </c>
      <c r="B29" s="77" t="str">
        <f>IF(A29&gt;Inputs!$C$49,"",ROUNDUP(A29/Inputs!$B$14,0))</f>
        <v/>
      </c>
      <c r="C29" s="160" t="str">
        <f>IF(A29&gt;Inputs!$C$49,"",IF(A29&lt;=Inputs!$C$48,"Pago normal",IF(A29&lt;Inputs!$C$49,"Mora - sin pago","Evento de cierre")))</f>
        <v/>
      </c>
      <c r="D29" s="149" t="str">
        <f>IF(A29&gt;Inputs!$C$49,"",J28)</f>
        <v/>
      </c>
      <c r="E29" s="149" t="str">
        <f>IF(A29&gt;Inputs!$C$49,"",D29*Inputs!$B$17)</f>
        <v/>
      </c>
      <c r="F29" s="149" t="str">
        <f>IF(A29&gt;Inputs!$C$49,"",IF(A29&lt;=Inputs!$C$48,MIN(Inputs!$B$20,D29+I28+E29),0))</f>
        <v/>
      </c>
      <c r="G29" s="149" t="str">
        <f>IF(A29&gt;Inputs!$C$49,"",MIN(F29,I28+E29))</f>
        <v/>
      </c>
      <c r="H29" s="149" t="str">
        <f>IF(A29&gt;Inputs!$C$49,"",MIN(MAX(0,F29-G29),D29))</f>
        <v/>
      </c>
      <c r="I29" s="149" t="str">
        <f>IF(A29&gt;Inputs!$C$49,"",IF(A29=Inputs!$C$49,0,MAX(0,I28+E29-G29)))</f>
        <v/>
      </c>
      <c r="J29" s="149" t="str">
        <f>IF(A29&gt;Inputs!$C$49,"",IF(A29=Inputs!$C$49,0,MAX(0,D29-H29)))</f>
        <v/>
      </c>
      <c r="K29" s="149" t="str">
        <f>IF(A29&gt;Inputs!$C$49,"",IF(A29&lt;=Inputs!$C$48,0,A29-Inputs!$C$48))</f>
        <v/>
      </c>
      <c r="L29" s="149">
        <f>IF(A29=Inputs!$C$49,D29+I28+E29,0)</f>
        <v>0</v>
      </c>
      <c r="M29" s="149">
        <f>IF(A29=Inputs!$C$49,Inputs!$C$47,0)</f>
        <v>0</v>
      </c>
      <c r="N29" s="149">
        <f>0</f>
        <v>0</v>
      </c>
      <c r="O29" s="149">
        <f>IF(A29=Inputs!$C$49,MAX(0,M29-L29),0)</f>
        <v>0</v>
      </c>
      <c r="P29" s="163" t="str">
        <f>IF(A29&gt;Inputs!$C$49,"",IF(A29=Inputs!$C$49,"Cerrado por evento",IF(K29&gt;0,"En mora","Vigente al día")))</f>
        <v/>
      </c>
      <c r="Q29" s="149" t="str">
        <f>IF($A29&gt;Inputs!$C$49,"",IF($A29&lt;=Inputs!$C$48,Inputs!$B$28,0))</f>
        <v/>
      </c>
      <c r="R29" s="149" t="str">
        <f>IF($A29&gt;Inputs!$C$49,"",IF($A29&lt;=Inputs!$C$48,Inputs!$B$29,0))</f>
        <v/>
      </c>
      <c r="S29" s="149" t="str">
        <f>IF($A29&gt;Inputs!$C$49,"",IF($A29&lt;=Inputs!$C$48,Inputs!$B$30,0))</f>
        <v/>
      </c>
      <c r="T29" s="149" t="str">
        <f>IF($A29&gt;Inputs!$C$49,"",SUM(Q29:S29))</f>
        <v/>
      </c>
      <c r="U29" s="149" t="str">
        <f>IF($A29&gt;Inputs!$C$49,"",F29+T29)</f>
        <v/>
      </c>
      <c r="V29" s="149" t="str">
        <f>IF($B29="","",IF(OR($B30="",ROUNDUP(($A29+1)/Inputs!$B$14,0)&gt;$B29),SUMIF($B$4:$B29,$B29,Q$4:Q29),0))</f>
        <v/>
      </c>
      <c r="W29" s="149" t="str">
        <f>IF($B29="","",IF(OR($B30="",ROUNDUP(($A29+1)/Inputs!$B$14,0)&gt;$B29),SUMIF($B$4:$B29,$B29,R$4:R29),0))</f>
        <v/>
      </c>
      <c r="X29" s="149" t="str">
        <f>IF($B29="","",IF(OR($B30="",ROUNDUP(($A29+1)/Inputs!$B$14,0)&gt;$B29),SUMIF($B$4:$B29,$B29,S$4:S29),0))</f>
        <v/>
      </c>
      <c r="Y29" s="18"/>
      <c r="Z29" s="18"/>
      <c r="AA29" s="18"/>
      <c r="AB29" s="18"/>
      <c r="AC29" s="18"/>
      <c r="AD29" s="18"/>
      <c r="AE29" s="18"/>
      <c r="AF29" s="18"/>
      <c r="AG29" s="18"/>
    </row>
    <row r="30" spans="1:33" ht="18" customHeight="1">
      <c r="A30" s="157">
        <v>27</v>
      </c>
      <c r="B30" s="77" t="str">
        <f>IF(A30&gt;Inputs!$C$49,"",ROUNDUP(A30/Inputs!$B$14,0))</f>
        <v/>
      </c>
      <c r="C30" s="160" t="str">
        <f>IF(A30&gt;Inputs!$C$49,"",IF(A30&lt;=Inputs!$C$48,"Pago normal",IF(A30&lt;Inputs!$C$49,"Mora - sin pago","Evento de cierre")))</f>
        <v/>
      </c>
      <c r="D30" s="149" t="str">
        <f>IF(A30&gt;Inputs!$C$49,"",J29)</f>
        <v/>
      </c>
      <c r="E30" s="149" t="str">
        <f>IF(A30&gt;Inputs!$C$49,"",D30*Inputs!$B$17)</f>
        <v/>
      </c>
      <c r="F30" s="149" t="str">
        <f>IF(A30&gt;Inputs!$C$49,"",IF(A30&lt;=Inputs!$C$48,MIN(Inputs!$B$20,D30+I29+E30),0))</f>
        <v/>
      </c>
      <c r="G30" s="149" t="str">
        <f>IF(A30&gt;Inputs!$C$49,"",MIN(F30,I29+E30))</f>
        <v/>
      </c>
      <c r="H30" s="149" t="str">
        <f>IF(A30&gt;Inputs!$C$49,"",MIN(MAX(0,F30-G30),D30))</f>
        <v/>
      </c>
      <c r="I30" s="149" t="str">
        <f>IF(A30&gt;Inputs!$C$49,"",IF(A30=Inputs!$C$49,0,MAX(0,I29+E30-G30)))</f>
        <v/>
      </c>
      <c r="J30" s="149" t="str">
        <f>IF(A30&gt;Inputs!$C$49,"",IF(A30=Inputs!$C$49,0,MAX(0,D30-H30)))</f>
        <v/>
      </c>
      <c r="K30" s="149" t="str">
        <f>IF(A30&gt;Inputs!$C$49,"",IF(A30&lt;=Inputs!$C$48,0,A30-Inputs!$C$48))</f>
        <v/>
      </c>
      <c r="L30" s="149">
        <f>IF(A30=Inputs!$C$49,D30+I29+E30,0)</f>
        <v>0</v>
      </c>
      <c r="M30" s="149">
        <f>IF(A30=Inputs!$C$49,Inputs!$C$47,0)</f>
        <v>0</v>
      </c>
      <c r="N30" s="149">
        <f>0</f>
        <v>0</v>
      </c>
      <c r="O30" s="149">
        <f>IF(A30=Inputs!$C$49,MAX(0,M30-L30),0)</f>
        <v>0</v>
      </c>
      <c r="P30" s="163" t="str">
        <f>IF(A30&gt;Inputs!$C$49,"",IF(A30=Inputs!$C$49,"Cerrado por evento",IF(K30&gt;0,"En mora","Vigente al día")))</f>
        <v/>
      </c>
      <c r="Q30" s="149" t="str">
        <f>IF($A30&gt;Inputs!$C$49,"",IF($A30&lt;=Inputs!$C$48,Inputs!$B$28,0))</f>
        <v/>
      </c>
      <c r="R30" s="149" t="str">
        <f>IF($A30&gt;Inputs!$C$49,"",IF($A30&lt;=Inputs!$C$48,Inputs!$B$29,0))</f>
        <v/>
      </c>
      <c r="S30" s="149" t="str">
        <f>IF($A30&gt;Inputs!$C$49,"",IF($A30&lt;=Inputs!$C$48,Inputs!$B$30,0))</f>
        <v/>
      </c>
      <c r="T30" s="149" t="str">
        <f>IF($A30&gt;Inputs!$C$49,"",SUM(Q30:S30))</f>
        <v/>
      </c>
      <c r="U30" s="149" t="str">
        <f>IF($A30&gt;Inputs!$C$49,"",F30+T30)</f>
        <v/>
      </c>
      <c r="V30" s="149" t="str">
        <f>IF($B30="","",IF(OR($B31="",ROUNDUP(($A30+1)/Inputs!$B$14,0)&gt;$B30),SUMIF($B$4:$B30,$B30,Q$4:Q30),0))</f>
        <v/>
      </c>
      <c r="W30" s="149" t="str">
        <f>IF($B30="","",IF(OR($B31="",ROUNDUP(($A30+1)/Inputs!$B$14,0)&gt;$B30),SUMIF($B$4:$B30,$B30,R$4:R30),0))</f>
        <v/>
      </c>
      <c r="X30" s="149" t="str">
        <f>IF($B30="","",IF(OR($B31="",ROUNDUP(($A30+1)/Inputs!$B$14,0)&gt;$B30),SUMIF($B$4:$B30,$B30,S$4:S30),0))</f>
        <v/>
      </c>
      <c r="Y30" s="18"/>
      <c r="Z30" s="18"/>
      <c r="AA30" s="18"/>
      <c r="AB30" s="18"/>
      <c r="AC30" s="18"/>
      <c r="AD30" s="18"/>
      <c r="AE30" s="18"/>
      <c r="AF30" s="18"/>
      <c r="AG30" s="18"/>
    </row>
    <row r="31" spans="1:33" ht="18" customHeight="1">
      <c r="A31" s="157">
        <v>28</v>
      </c>
      <c r="B31" s="77" t="str">
        <f>IF(A31&gt;Inputs!$C$49,"",ROUNDUP(A31/Inputs!$B$14,0))</f>
        <v/>
      </c>
      <c r="C31" s="160" t="str">
        <f>IF(A31&gt;Inputs!$C$49,"",IF(A31&lt;=Inputs!$C$48,"Pago normal",IF(A31&lt;Inputs!$C$49,"Mora - sin pago","Evento de cierre")))</f>
        <v/>
      </c>
      <c r="D31" s="149" t="str">
        <f>IF(A31&gt;Inputs!$C$49,"",J30)</f>
        <v/>
      </c>
      <c r="E31" s="149" t="str">
        <f>IF(A31&gt;Inputs!$C$49,"",D31*Inputs!$B$17)</f>
        <v/>
      </c>
      <c r="F31" s="149" t="str">
        <f>IF(A31&gt;Inputs!$C$49,"",IF(A31&lt;=Inputs!$C$48,MIN(Inputs!$B$20,D31+I30+E31),0))</f>
        <v/>
      </c>
      <c r="G31" s="149" t="str">
        <f>IF(A31&gt;Inputs!$C$49,"",MIN(F31,I30+E31))</f>
        <v/>
      </c>
      <c r="H31" s="149" t="str">
        <f>IF(A31&gt;Inputs!$C$49,"",MIN(MAX(0,F31-G31),D31))</f>
        <v/>
      </c>
      <c r="I31" s="149" t="str">
        <f>IF(A31&gt;Inputs!$C$49,"",IF(A31=Inputs!$C$49,0,MAX(0,I30+E31-G31)))</f>
        <v/>
      </c>
      <c r="J31" s="149" t="str">
        <f>IF(A31&gt;Inputs!$C$49,"",IF(A31=Inputs!$C$49,0,MAX(0,D31-H31)))</f>
        <v/>
      </c>
      <c r="K31" s="149" t="str">
        <f>IF(A31&gt;Inputs!$C$49,"",IF(A31&lt;=Inputs!$C$48,0,A31-Inputs!$C$48))</f>
        <v/>
      </c>
      <c r="L31" s="149">
        <f>IF(A31=Inputs!$C$49,D31+I30+E31,0)</f>
        <v>0</v>
      </c>
      <c r="M31" s="149">
        <f>IF(A31=Inputs!$C$49,Inputs!$C$47,0)</f>
        <v>0</v>
      </c>
      <c r="N31" s="149">
        <f>0</f>
        <v>0</v>
      </c>
      <c r="O31" s="149">
        <f>IF(A31=Inputs!$C$49,MAX(0,M31-L31),0)</f>
        <v>0</v>
      </c>
      <c r="P31" s="163" t="str">
        <f>IF(A31&gt;Inputs!$C$49,"",IF(A31=Inputs!$C$49,"Cerrado por evento",IF(K31&gt;0,"En mora","Vigente al día")))</f>
        <v/>
      </c>
      <c r="Q31" s="149" t="str">
        <f>IF($A31&gt;Inputs!$C$49,"",IF($A31&lt;=Inputs!$C$48,Inputs!$B$28,0))</f>
        <v/>
      </c>
      <c r="R31" s="149" t="str">
        <f>IF($A31&gt;Inputs!$C$49,"",IF($A31&lt;=Inputs!$C$48,Inputs!$B$29,0))</f>
        <v/>
      </c>
      <c r="S31" s="149" t="str">
        <f>IF($A31&gt;Inputs!$C$49,"",IF($A31&lt;=Inputs!$C$48,Inputs!$B$30,0))</f>
        <v/>
      </c>
      <c r="T31" s="149" t="str">
        <f>IF($A31&gt;Inputs!$C$49,"",SUM(Q31:S31))</f>
        <v/>
      </c>
      <c r="U31" s="149" t="str">
        <f>IF($A31&gt;Inputs!$C$49,"",F31+T31)</f>
        <v/>
      </c>
      <c r="V31" s="149" t="str">
        <f>IF($B31="","",IF(OR($B32="",ROUNDUP(($A31+1)/Inputs!$B$14,0)&gt;$B31),SUMIF($B$4:$B31,$B31,Q$4:Q31),0))</f>
        <v/>
      </c>
      <c r="W31" s="149" t="str">
        <f>IF($B31="","",IF(OR($B32="",ROUNDUP(($A31+1)/Inputs!$B$14,0)&gt;$B31),SUMIF($B$4:$B31,$B31,R$4:R31),0))</f>
        <v/>
      </c>
      <c r="X31" s="149" t="str">
        <f>IF($B31="","",IF(OR($B32="",ROUNDUP(($A31+1)/Inputs!$B$14,0)&gt;$B31),SUMIF($B$4:$B31,$B31,S$4:S31),0))</f>
        <v/>
      </c>
      <c r="Y31" s="18"/>
      <c r="Z31" s="18"/>
      <c r="AA31" s="18"/>
      <c r="AB31" s="18"/>
      <c r="AC31" s="18"/>
      <c r="AD31" s="18"/>
      <c r="AE31" s="18"/>
      <c r="AF31" s="18"/>
      <c r="AG31" s="18"/>
    </row>
    <row r="32" spans="1:33" ht="18" customHeight="1">
      <c r="A32" s="157">
        <v>29</v>
      </c>
      <c r="B32" s="77" t="str">
        <f>IF(A32&gt;Inputs!$C$49,"",ROUNDUP(A32/Inputs!$B$14,0))</f>
        <v/>
      </c>
      <c r="C32" s="160" t="str">
        <f>IF(A32&gt;Inputs!$C$49,"",IF(A32&lt;=Inputs!$C$48,"Pago normal",IF(A32&lt;Inputs!$C$49,"Mora - sin pago","Evento de cierre")))</f>
        <v/>
      </c>
      <c r="D32" s="149" t="str">
        <f>IF(A32&gt;Inputs!$C$49,"",J31)</f>
        <v/>
      </c>
      <c r="E32" s="149" t="str">
        <f>IF(A32&gt;Inputs!$C$49,"",D32*Inputs!$B$17)</f>
        <v/>
      </c>
      <c r="F32" s="149" t="str">
        <f>IF(A32&gt;Inputs!$C$49,"",IF(A32&lt;=Inputs!$C$48,MIN(Inputs!$B$20,D32+I31+E32),0))</f>
        <v/>
      </c>
      <c r="G32" s="149" t="str">
        <f>IF(A32&gt;Inputs!$C$49,"",MIN(F32,I31+E32))</f>
        <v/>
      </c>
      <c r="H32" s="149" t="str">
        <f>IF(A32&gt;Inputs!$C$49,"",MIN(MAX(0,F32-G32),D32))</f>
        <v/>
      </c>
      <c r="I32" s="149" t="str">
        <f>IF(A32&gt;Inputs!$C$49,"",IF(A32=Inputs!$C$49,0,MAX(0,I31+E32-G32)))</f>
        <v/>
      </c>
      <c r="J32" s="149" t="str">
        <f>IF(A32&gt;Inputs!$C$49,"",IF(A32=Inputs!$C$49,0,MAX(0,D32-H32)))</f>
        <v/>
      </c>
      <c r="K32" s="149" t="str">
        <f>IF(A32&gt;Inputs!$C$49,"",IF(A32&lt;=Inputs!$C$48,0,A32-Inputs!$C$48))</f>
        <v/>
      </c>
      <c r="L32" s="149">
        <f>IF(A32=Inputs!$C$49,D32+I31+E32,0)</f>
        <v>0</v>
      </c>
      <c r="M32" s="149">
        <f>IF(A32=Inputs!$C$49,Inputs!$C$47,0)</f>
        <v>0</v>
      </c>
      <c r="N32" s="149">
        <f>0</f>
        <v>0</v>
      </c>
      <c r="O32" s="149">
        <f>IF(A32=Inputs!$C$49,MAX(0,M32-L32),0)</f>
        <v>0</v>
      </c>
      <c r="P32" s="163" t="str">
        <f>IF(A32&gt;Inputs!$C$49,"",IF(A32=Inputs!$C$49,"Cerrado por evento",IF(K32&gt;0,"En mora","Vigente al día")))</f>
        <v/>
      </c>
      <c r="Q32" s="149" t="str">
        <f>IF($A32&gt;Inputs!$C$49,"",IF($A32&lt;=Inputs!$C$48,Inputs!$B$28,0))</f>
        <v/>
      </c>
      <c r="R32" s="149" t="str">
        <f>IF($A32&gt;Inputs!$C$49,"",IF($A32&lt;=Inputs!$C$48,Inputs!$B$29,0))</f>
        <v/>
      </c>
      <c r="S32" s="149" t="str">
        <f>IF($A32&gt;Inputs!$C$49,"",IF($A32&lt;=Inputs!$C$48,Inputs!$B$30,0))</f>
        <v/>
      </c>
      <c r="T32" s="149" t="str">
        <f>IF($A32&gt;Inputs!$C$49,"",SUM(Q32:S32))</f>
        <v/>
      </c>
      <c r="U32" s="149" t="str">
        <f>IF($A32&gt;Inputs!$C$49,"",F32+T32)</f>
        <v/>
      </c>
      <c r="V32" s="149" t="str">
        <f>IF($B32="","",IF(OR($B33="",ROUNDUP(($A32+1)/Inputs!$B$14,0)&gt;$B32),SUMIF($B$4:$B32,$B32,Q$4:Q32),0))</f>
        <v/>
      </c>
      <c r="W32" s="149" t="str">
        <f>IF($B32="","",IF(OR($B33="",ROUNDUP(($A32+1)/Inputs!$B$14,0)&gt;$B32),SUMIF($B$4:$B32,$B32,R$4:R32),0))</f>
        <v/>
      </c>
      <c r="X32" s="149" t="str">
        <f>IF($B32="","",IF(OR($B33="",ROUNDUP(($A32+1)/Inputs!$B$14,0)&gt;$B32),SUMIF($B$4:$B32,$B32,S$4:S32),0))</f>
        <v/>
      </c>
      <c r="Y32" s="18"/>
      <c r="Z32" s="18"/>
      <c r="AA32" s="18"/>
      <c r="AB32" s="18"/>
      <c r="AC32" s="18"/>
      <c r="AD32" s="18"/>
      <c r="AE32" s="18"/>
      <c r="AF32" s="18"/>
      <c r="AG32" s="18"/>
    </row>
    <row r="33" spans="1:33" ht="18" customHeight="1">
      <c r="A33" s="157">
        <v>30</v>
      </c>
      <c r="B33" s="77" t="str">
        <f>IF(A33&gt;Inputs!$C$49,"",ROUNDUP(A33/Inputs!$B$14,0))</f>
        <v/>
      </c>
      <c r="C33" s="160" t="str">
        <f>IF(A33&gt;Inputs!$C$49,"",IF(A33&lt;=Inputs!$C$48,"Pago normal",IF(A33&lt;Inputs!$C$49,"Mora - sin pago","Evento de cierre")))</f>
        <v/>
      </c>
      <c r="D33" s="149" t="str">
        <f>IF(A33&gt;Inputs!$C$49,"",J32)</f>
        <v/>
      </c>
      <c r="E33" s="149" t="str">
        <f>IF(A33&gt;Inputs!$C$49,"",D33*Inputs!$B$17)</f>
        <v/>
      </c>
      <c r="F33" s="149" t="str">
        <f>IF(A33&gt;Inputs!$C$49,"",IF(A33&lt;=Inputs!$C$48,MIN(Inputs!$B$20,D33+I32+E33),0))</f>
        <v/>
      </c>
      <c r="G33" s="149" t="str">
        <f>IF(A33&gt;Inputs!$C$49,"",MIN(F33,I32+E33))</f>
        <v/>
      </c>
      <c r="H33" s="149" t="str">
        <f>IF(A33&gt;Inputs!$C$49,"",MIN(MAX(0,F33-G33),D33))</f>
        <v/>
      </c>
      <c r="I33" s="149" t="str">
        <f>IF(A33&gt;Inputs!$C$49,"",IF(A33=Inputs!$C$49,0,MAX(0,I32+E33-G33)))</f>
        <v/>
      </c>
      <c r="J33" s="149" t="str">
        <f>IF(A33&gt;Inputs!$C$49,"",IF(A33=Inputs!$C$49,0,MAX(0,D33-H33)))</f>
        <v/>
      </c>
      <c r="K33" s="149" t="str">
        <f>IF(A33&gt;Inputs!$C$49,"",IF(A33&lt;=Inputs!$C$48,0,A33-Inputs!$C$48))</f>
        <v/>
      </c>
      <c r="L33" s="149">
        <f>IF(A33=Inputs!$C$49,D33+I32+E33,0)</f>
        <v>0</v>
      </c>
      <c r="M33" s="149">
        <f>IF(A33=Inputs!$C$49,Inputs!$C$47,0)</f>
        <v>0</v>
      </c>
      <c r="N33" s="149">
        <f>0</f>
        <v>0</v>
      </c>
      <c r="O33" s="149">
        <f>IF(A33=Inputs!$C$49,MAX(0,M33-L33),0)</f>
        <v>0</v>
      </c>
      <c r="P33" s="163" t="str">
        <f>IF(A33&gt;Inputs!$C$49,"",IF(A33=Inputs!$C$49,"Cerrado por evento",IF(K33&gt;0,"En mora","Vigente al día")))</f>
        <v/>
      </c>
      <c r="Q33" s="149" t="str">
        <f>IF($A33&gt;Inputs!$C$49,"",IF($A33&lt;=Inputs!$C$48,Inputs!$B$28,0))</f>
        <v/>
      </c>
      <c r="R33" s="149" t="str">
        <f>IF($A33&gt;Inputs!$C$49,"",IF($A33&lt;=Inputs!$C$48,Inputs!$B$29,0))</f>
        <v/>
      </c>
      <c r="S33" s="149" t="str">
        <f>IF($A33&gt;Inputs!$C$49,"",IF($A33&lt;=Inputs!$C$48,Inputs!$B$30,0))</f>
        <v/>
      </c>
      <c r="T33" s="149" t="str">
        <f>IF($A33&gt;Inputs!$C$49,"",SUM(Q33:S33))</f>
        <v/>
      </c>
      <c r="U33" s="149" t="str">
        <f>IF($A33&gt;Inputs!$C$49,"",F33+T33)</f>
        <v/>
      </c>
      <c r="V33" s="149" t="str">
        <f>IF($B33="","",IF(OR($B34="",ROUNDUP(($A33+1)/Inputs!$B$14,0)&gt;$B33),SUMIF($B$4:$B33,$B33,Q$4:Q33),0))</f>
        <v/>
      </c>
      <c r="W33" s="149" t="str">
        <f>IF($B33="","",IF(OR($B34="",ROUNDUP(($A33+1)/Inputs!$B$14,0)&gt;$B33),SUMIF($B$4:$B33,$B33,R$4:R33),0))</f>
        <v/>
      </c>
      <c r="X33" s="149" t="str">
        <f>IF($B33="","",IF(OR($B34="",ROUNDUP(($A33+1)/Inputs!$B$14,0)&gt;$B33),SUMIF($B$4:$B33,$B33,S$4:S33),0))</f>
        <v/>
      </c>
      <c r="Y33" s="18"/>
      <c r="Z33" s="18"/>
      <c r="AA33" s="18"/>
      <c r="AB33" s="18"/>
      <c r="AC33" s="18"/>
      <c r="AD33" s="18"/>
      <c r="AE33" s="18"/>
      <c r="AF33" s="18"/>
      <c r="AG33" s="18"/>
    </row>
    <row r="34" spans="1:33" ht="18" customHeight="1">
      <c r="A34" s="157">
        <v>31</v>
      </c>
      <c r="B34" s="77" t="str">
        <f>IF(A34&gt;Inputs!$C$49,"",ROUNDUP(A34/Inputs!$B$14,0))</f>
        <v/>
      </c>
      <c r="C34" s="160" t="str">
        <f>IF(A34&gt;Inputs!$C$49,"",IF(A34&lt;=Inputs!$C$48,"Pago normal",IF(A34&lt;Inputs!$C$49,"Mora - sin pago","Evento de cierre")))</f>
        <v/>
      </c>
      <c r="D34" s="149" t="str">
        <f>IF(A34&gt;Inputs!$C$49,"",J33)</f>
        <v/>
      </c>
      <c r="E34" s="149" t="str">
        <f>IF(A34&gt;Inputs!$C$49,"",D34*Inputs!$B$17)</f>
        <v/>
      </c>
      <c r="F34" s="149" t="str">
        <f>IF(A34&gt;Inputs!$C$49,"",IF(A34&lt;=Inputs!$C$48,MIN(Inputs!$B$20,D34+I33+E34),0))</f>
        <v/>
      </c>
      <c r="G34" s="149" t="str">
        <f>IF(A34&gt;Inputs!$C$49,"",MIN(F34,I33+E34))</f>
        <v/>
      </c>
      <c r="H34" s="149" t="str">
        <f>IF(A34&gt;Inputs!$C$49,"",MIN(MAX(0,F34-G34),D34))</f>
        <v/>
      </c>
      <c r="I34" s="149" t="str">
        <f>IF(A34&gt;Inputs!$C$49,"",IF(A34=Inputs!$C$49,0,MAX(0,I33+E34-G34)))</f>
        <v/>
      </c>
      <c r="J34" s="149" t="str">
        <f>IF(A34&gt;Inputs!$C$49,"",IF(A34=Inputs!$C$49,0,MAX(0,D34-H34)))</f>
        <v/>
      </c>
      <c r="K34" s="149" t="str">
        <f>IF(A34&gt;Inputs!$C$49,"",IF(A34&lt;=Inputs!$C$48,0,A34-Inputs!$C$48))</f>
        <v/>
      </c>
      <c r="L34" s="149">
        <f>IF(A34=Inputs!$C$49,D34+I33+E34,0)</f>
        <v>0</v>
      </c>
      <c r="M34" s="149">
        <f>IF(A34=Inputs!$C$49,Inputs!$C$47,0)</f>
        <v>0</v>
      </c>
      <c r="N34" s="149">
        <f>0</f>
        <v>0</v>
      </c>
      <c r="O34" s="149">
        <f>IF(A34=Inputs!$C$49,MAX(0,M34-L34),0)</f>
        <v>0</v>
      </c>
      <c r="P34" s="163" t="str">
        <f>IF(A34&gt;Inputs!$C$49,"",IF(A34=Inputs!$C$49,"Cerrado por evento",IF(K34&gt;0,"En mora","Vigente al día")))</f>
        <v/>
      </c>
      <c r="Q34" s="149" t="str">
        <f>IF($A34&gt;Inputs!$C$49,"",IF($A34&lt;=Inputs!$C$48,Inputs!$B$28,0))</f>
        <v/>
      </c>
      <c r="R34" s="149" t="str">
        <f>IF($A34&gt;Inputs!$C$49,"",IF($A34&lt;=Inputs!$C$48,Inputs!$B$29,0))</f>
        <v/>
      </c>
      <c r="S34" s="149" t="str">
        <f>IF($A34&gt;Inputs!$C$49,"",IF($A34&lt;=Inputs!$C$48,Inputs!$B$30,0))</f>
        <v/>
      </c>
      <c r="T34" s="149" t="str">
        <f>IF($A34&gt;Inputs!$C$49,"",SUM(Q34:S34))</f>
        <v/>
      </c>
      <c r="U34" s="149" t="str">
        <f>IF($A34&gt;Inputs!$C$49,"",F34+T34)</f>
        <v/>
      </c>
      <c r="V34" s="149" t="str">
        <f>IF($B34="","",IF(OR($B35="",ROUNDUP(($A34+1)/Inputs!$B$14,0)&gt;$B34),SUMIF($B$4:$B34,$B34,Q$4:Q34),0))</f>
        <v/>
      </c>
      <c r="W34" s="149" t="str">
        <f>IF($B34="","",IF(OR($B35="",ROUNDUP(($A34+1)/Inputs!$B$14,0)&gt;$B34),SUMIF($B$4:$B34,$B34,R$4:R34),0))</f>
        <v/>
      </c>
      <c r="X34" s="149" t="str">
        <f>IF($B34="","",IF(OR($B35="",ROUNDUP(($A34+1)/Inputs!$B$14,0)&gt;$B34),SUMIF($B$4:$B34,$B34,S$4:S34),0))</f>
        <v/>
      </c>
      <c r="Y34" s="18"/>
      <c r="Z34" s="18"/>
      <c r="AA34" s="18"/>
      <c r="AB34" s="18"/>
      <c r="AC34" s="18"/>
      <c r="AD34" s="18"/>
      <c r="AE34" s="18"/>
      <c r="AF34" s="18"/>
      <c r="AG34" s="18"/>
    </row>
    <row r="35" spans="1:33" ht="18" customHeight="1">
      <c r="A35" s="157">
        <v>32</v>
      </c>
      <c r="B35" s="77" t="str">
        <f>IF(A35&gt;Inputs!$C$49,"",ROUNDUP(A35/Inputs!$B$14,0))</f>
        <v/>
      </c>
      <c r="C35" s="160" t="str">
        <f>IF(A35&gt;Inputs!$C$49,"",IF(A35&lt;=Inputs!$C$48,"Pago normal",IF(A35&lt;Inputs!$C$49,"Mora - sin pago","Evento de cierre")))</f>
        <v/>
      </c>
      <c r="D35" s="149" t="str">
        <f>IF(A35&gt;Inputs!$C$49,"",J34)</f>
        <v/>
      </c>
      <c r="E35" s="149" t="str">
        <f>IF(A35&gt;Inputs!$C$49,"",D35*Inputs!$B$17)</f>
        <v/>
      </c>
      <c r="F35" s="149" t="str">
        <f>IF(A35&gt;Inputs!$C$49,"",IF(A35&lt;=Inputs!$C$48,MIN(Inputs!$B$20,D35+I34+E35),0))</f>
        <v/>
      </c>
      <c r="G35" s="149" t="str">
        <f>IF(A35&gt;Inputs!$C$49,"",MIN(F35,I34+E35))</f>
        <v/>
      </c>
      <c r="H35" s="149" t="str">
        <f>IF(A35&gt;Inputs!$C$49,"",MIN(MAX(0,F35-G35),D35))</f>
        <v/>
      </c>
      <c r="I35" s="149" t="str">
        <f>IF(A35&gt;Inputs!$C$49,"",IF(A35=Inputs!$C$49,0,MAX(0,I34+E35-G35)))</f>
        <v/>
      </c>
      <c r="J35" s="149" t="str">
        <f>IF(A35&gt;Inputs!$C$49,"",IF(A35=Inputs!$C$49,0,MAX(0,D35-H35)))</f>
        <v/>
      </c>
      <c r="K35" s="149" t="str">
        <f>IF(A35&gt;Inputs!$C$49,"",IF(A35&lt;=Inputs!$C$48,0,A35-Inputs!$C$48))</f>
        <v/>
      </c>
      <c r="L35" s="149">
        <f>IF(A35=Inputs!$C$49,D35+I34+E35,0)</f>
        <v>0</v>
      </c>
      <c r="M35" s="149">
        <f>IF(A35=Inputs!$C$49,Inputs!$C$47,0)</f>
        <v>0</v>
      </c>
      <c r="N35" s="149">
        <f>0</f>
        <v>0</v>
      </c>
      <c r="O35" s="149">
        <f>IF(A35=Inputs!$C$49,MAX(0,M35-L35),0)</f>
        <v>0</v>
      </c>
      <c r="P35" s="163" t="str">
        <f>IF(A35&gt;Inputs!$C$49,"",IF(A35=Inputs!$C$49,"Cerrado por evento",IF(K35&gt;0,"En mora","Vigente al día")))</f>
        <v/>
      </c>
      <c r="Q35" s="149" t="str">
        <f>IF($A35&gt;Inputs!$C$49,"",IF($A35&lt;=Inputs!$C$48,Inputs!$B$28,0))</f>
        <v/>
      </c>
      <c r="R35" s="149" t="str">
        <f>IF($A35&gt;Inputs!$C$49,"",IF($A35&lt;=Inputs!$C$48,Inputs!$B$29,0))</f>
        <v/>
      </c>
      <c r="S35" s="149" t="str">
        <f>IF($A35&gt;Inputs!$C$49,"",IF($A35&lt;=Inputs!$C$48,Inputs!$B$30,0))</f>
        <v/>
      </c>
      <c r="T35" s="149" t="str">
        <f>IF($A35&gt;Inputs!$C$49,"",SUM(Q35:S35))</f>
        <v/>
      </c>
      <c r="U35" s="149" t="str">
        <f>IF($A35&gt;Inputs!$C$49,"",F35+T35)</f>
        <v/>
      </c>
      <c r="V35" s="149" t="str">
        <f>IF($B35="","",IF(OR($B36="",ROUNDUP(($A35+1)/Inputs!$B$14,0)&gt;$B35),SUMIF($B$4:$B35,$B35,Q$4:Q35),0))</f>
        <v/>
      </c>
      <c r="W35" s="149" t="str">
        <f>IF($B35="","",IF(OR($B36="",ROUNDUP(($A35+1)/Inputs!$B$14,0)&gt;$B35),SUMIF($B$4:$B35,$B35,R$4:R35),0))</f>
        <v/>
      </c>
      <c r="X35" s="149" t="str">
        <f>IF($B35="","",IF(OR($B36="",ROUNDUP(($A35+1)/Inputs!$B$14,0)&gt;$B35),SUMIF($B$4:$B35,$B35,S$4:S35),0))</f>
        <v/>
      </c>
      <c r="Y35" s="18"/>
      <c r="Z35" s="18"/>
      <c r="AA35" s="18"/>
      <c r="AB35" s="18"/>
      <c r="AC35" s="18"/>
      <c r="AD35" s="18"/>
      <c r="AE35" s="18"/>
      <c r="AF35" s="18"/>
      <c r="AG35" s="18"/>
    </row>
    <row r="36" spans="1:33" ht="18" customHeight="1">
      <c r="A36" s="157">
        <v>33</v>
      </c>
      <c r="B36" s="77" t="str">
        <f>IF(A36&gt;Inputs!$C$49,"",ROUNDUP(A36/Inputs!$B$14,0))</f>
        <v/>
      </c>
      <c r="C36" s="160" t="str">
        <f>IF(A36&gt;Inputs!$C$49,"",IF(A36&lt;=Inputs!$C$48,"Pago normal",IF(A36&lt;Inputs!$C$49,"Mora - sin pago","Evento de cierre")))</f>
        <v/>
      </c>
      <c r="D36" s="149" t="str">
        <f>IF(A36&gt;Inputs!$C$49,"",J35)</f>
        <v/>
      </c>
      <c r="E36" s="149" t="str">
        <f>IF(A36&gt;Inputs!$C$49,"",D36*Inputs!$B$17)</f>
        <v/>
      </c>
      <c r="F36" s="149" t="str">
        <f>IF(A36&gt;Inputs!$C$49,"",IF(A36&lt;=Inputs!$C$48,MIN(Inputs!$B$20,D36+I35+E36),0))</f>
        <v/>
      </c>
      <c r="G36" s="149" t="str">
        <f>IF(A36&gt;Inputs!$C$49,"",MIN(F36,I35+E36))</f>
        <v/>
      </c>
      <c r="H36" s="149" t="str">
        <f>IF(A36&gt;Inputs!$C$49,"",MIN(MAX(0,F36-G36),D36))</f>
        <v/>
      </c>
      <c r="I36" s="149" t="str">
        <f>IF(A36&gt;Inputs!$C$49,"",IF(A36=Inputs!$C$49,0,MAX(0,I35+E36-G36)))</f>
        <v/>
      </c>
      <c r="J36" s="149" t="str">
        <f>IF(A36&gt;Inputs!$C$49,"",IF(A36=Inputs!$C$49,0,MAX(0,D36-H36)))</f>
        <v/>
      </c>
      <c r="K36" s="149" t="str">
        <f>IF(A36&gt;Inputs!$C$49,"",IF(A36&lt;=Inputs!$C$48,0,A36-Inputs!$C$48))</f>
        <v/>
      </c>
      <c r="L36" s="149">
        <f>IF(A36=Inputs!$C$49,D36+I35+E36,0)</f>
        <v>0</v>
      </c>
      <c r="M36" s="149">
        <f>IF(A36=Inputs!$C$49,Inputs!$C$47,0)</f>
        <v>0</v>
      </c>
      <c r="N36" s="149">
        <f>0</f>
        <v>0</v>
      </c>
      <c r="O36" s="149">
        <f>IF(A36=Inputs!$C$49,MAX(0,M36-L36),0)</f>
        <v>0</v>
      </c>
      <c r="P36" s="163" t="str">
        <f>IF(A36&gt;Inputs!$C$49,"",IF(A36=Inputs!$C$49,"Cerrado por evento",IF(K36&gt;0,"En mora","Vigente al día")))</f>
        <v/>
      </c>
      <c r="Q36" s="149" t="str">
        <f>IF($A36&gt;Inputs!$C$49,"",IF($A36&lt;=Inputs!$C$48,Inputs!$B$28,0))</f>
        <v/>
      </c>
      <c r="R36" s="149" t="str">
        <f>IF($A36&gt;Inputs!$C$49,"",IF($A36&lt;=Inputs!$C$48,Inputs!$B$29,0))</f>
        <v/>
      </c>
      <c r="S36" s="149" t="str">
        <f>IF($A36&gt;Inputs!$C$49,"",IF($A36&lt;=Inputs!$C$48,Inputs!$B$30,0))</f>
        <v/>
      </c>
      <c r="T36" s="149" t="str">
        <f>IF($A36&gt;Inputs!$C$49,"",SUM(Q36:S36))</f>
        <v/>
      </c>
      <c r="U36" s="149" t="str">
        <f>IF($A36&gt;Inputs!$C$49,"",F36+T36)</f>
        <v/>
      </c>
      <c r="V36" s="149" t="str">
        <f>IF($B36="","",IF(OR($B37="",ROUNDUP(($A36+1)/Inputs!$B$14,0)&gt;$B36),SUMIF($B$4:$B36,$B36,Q$4:Q36),0))</f>
        <v/>
      </c>
      <c r="W36" s="149" t="str">
        <f>IF($B36="","",IF(OR($B37="",ROUNDUP(($A36+1)/Inputs!$B$14,0)&gt;$B36),SUMIF($B$4:$B36,$B36,R$4:R36),0))</f>
        <v/>
      </c>
      <c r="X36" s="149" t="str">
        <f>IF($B36="","",IF(OR($B37="",ROUNDUP(($A36+1)/Inputs!$B$14,0)&gt;$B36),SUMIF($B$4:$B36,$B36,S$4:S36),0))</f>
        <v/>
      </c>
      <c r="Y36" s="18"/>
      <c r="Z36" s="18"/>
      <c r="AA36" s="18"/>
      <c r="AB36" s="18"/>
      <c r="AC36" s="18"/>
      <c r="AD36" s="18"/>
      <c r="AE36" s="18"/>
      <c r="AF36" s="18"/>
      <c r="AG36" s="18"/>
    </row>
    <row r="37" spans="1:33" ht="18" customHeight="1">
      <c r="A37" s="157">
        <v>34</v>
      </c>
      <c r="B37" s="77" t="str">
        <f>IF(A37&gt;Inputs!$C$49,"",ROUNDUP(A37/Inputs!$B$14,0))</f>
        <v/>
      </c>
      <c r="C37" s="160" t="str">
        <f>IF(A37&gt;Inputs!$C$49,"",IF(A37&lt;=Inputs!$C$48,"Pago normal",IF(A37&lt;Inputs!$C$49,"Mora - sin pago","Evento de cierre")))</f>
        <v/>
      </c>
      <c r="D37" s="149" t="str">
        <f>IF(A37&gt;Inputs!$C$49,"",J36)</f>
        <v/>
      </c>
      <c r="E37" s="149" t="str">
        <f>IF(A37&gt;Inputs!$C$49,"",D37*Inputs!$B$17)</f>
        <v/>
      </c>
      <c r="F37" s="149" t="str">
        <f>IF(A37&gt;Inputs!$C$49,"",IF(A37&lt;=Inputs!$C$48,MIN(Inputs!$B$20,D37+I36+E37),0))</f>
        <v/>
      </c>
      <c r="G37" s="149" t="str">
        <f>IF(A37&gt;Inputs!$C$49,"",MIN(F37,I36+E37))</f>
        <v/>
      </c>
      <c r="H37" s="149" t="str">
        <f>IF(A37&gt;Inputs!$C$49,"",MIN(MAX(0,F37-G37),D37))</f>
        <v/>
      </c>
      <c r="I37" s="149" t="str">
        <f>IF(A37&gt;Inputs!$C$49,"",IF(A37=Inputs!$C$49,0,MAX(0,I36+E37-G37)))</f>
        <v/>
      </c>
      <c r="J37" s="149" t="str">
        <f>IF(A37&gt;Inputs!$C$49,"",IF(A37=Inputs!$C$49,0,MAX(0,D37-H37)))</f>
        <v/>
      </c>
      <c r="K37" s="149" t="str">
        <f>IF(A37&gt;Inputs!$C$49,"",IF(A37&lt;=Inputs!$C$48,0,A37-Inputs!$C$48))</f>
        <v/>
      </c>
      <c r="L37" s="149">
        <f>IF(A37=Inputs!$C$49,D37+I36+E37,0)</f>
        <v>0</v>
      </c>
      <c r="M37" s="149">
        <f>IF(A37=Inputs!$C$49,Inputs!$C$47,0)</f>
        <v>0</v>
      </c>
      <c r="N37" s="149">
        <f>0</f>
        <v>0</v>
      </c>
      <c r="O37" s="149">
        <f>IF(A37=Inputs!$C$49,MAX(0,M37-L37),0)</f>
        <v>0</v>
      </c>
      <c r="P37" s="163" t="str">
        <f>IF(A37&gt;Inputs!$C$49,"",IF(A37=Inputs!$C$49,"Cerrado por evento",IF(K37&gt;0,"En mora","Vigente al día")))</f>
        <v/>
      </c>
      <c r="Q37" s="149" t="str">
        <f>IF($A37&gt;Inputs!$C$49,"",IF($A37&lt;=Inputs!$C$48,Inputs!$B$28,0))</f>
        <v/>
      </c>
      <c r="R37" s="149" t="str">
        <f>IF($A37&gt;Inputs!$C$49,"",IF($A37&lt;=Inputs!$C$48,Inputs!$B$29,0))</f>
        <v/>
      </c>
      <c r="S37" s="149" t="str">
        <f>IF($A37&gt;Inputs!$C$49,"",IF($A37&lt;=Inputs!$C$48,Inputs!$B$30,0))</f>
        <v/>
      </c>
      <c r="T37" s="149" t="str">
        <f>IF($A37&gt;Inputs!$C$49,"",SUM(Q37:S37))</f>
        <v/>
      </c>
      <c r="U37" s="149" t="str">
        <f>IF($A37&gt;Inputs!$C$49,"",F37+T37)</f>
        <v/>
      </c>
      <c r="V37" s="149" t="str">
        <f>IF($B37="","",IF(OR($B38="",ROUNDUP(($A37+1)/Inputs!$B$14,0)&gt;$B37),SUMIF($B$4:$B37,$B37,Q$4:Q37),0))</f>
        <v/>
      </c>
      <c r="W37" s="149" t="str">
        <f>IF($B37="","",IF(OR($B38="",ROUNDUP(($A37+1)/Inputs!$B$14,0)&gt;$B37),SUMIF($B$4:$B37,$B37,R$4:R37),0))</f>
        <v/>
      </c>
      <c r="X37" s="149" t="str">
        <f>IF($B37="","",IF(OR($B38="",ROUNDUP(($A37+1)/Inputs!$B$14,0)&gt;$B37),SUMIF($B$4:$B37,$B37,S$4:S37),0))</f>
        <v/>
      </c>
      <c r="Y37" s="18"/>
      <c r="Z37" s="18"/>
      <c r="AA37" s="18"/>
      <c r="AB37" s="18"/>
      <c r="AC37" s="18"/>
      <c r="AD37" s="18"/>
      <c r="AE37" s="18"/>
      <c r="AF37" s="18"/>
      <c r="AG37" s="18"/>
    </row>
    <row r="38" spans="1:33" ht="18" customHeight="1">
      <c r="A38" s="157">
        <v>35</v>
      </c>
      <c r="B38" s="77" t="str">
        <f>IF(A38&gt;Inputs!$C$49,"",ROUNDUP(A38/Inputs!$B$14,0))</f>
        <v/>
      </c>
      <c r="C38" s="160" t="str">
        <f>IF(A38&gt;Inputs!$C$49,"",IF(A38&lt;=Inputs!$C$48,"Pago normal",IF(A38&lt;Inputs!$C$49,"Mora - sin pago","Evento de cierre")))</f>
        <v/>
      </c>
      <c r="D38" s="149" t="str">
        <f>IF(A38&gt;Inputs!$C$49,"",J37)</f>
        <v/>
      </c>
      <c r="E38" s="149" t="str">
        <f>IF(A38&gt;Inputs!$C$49,"",D38*Inputs!$B$17)</f>
        <v/>
      </c>
      <c r="F38" s="149" t="str">
        <f>IF(A38&gt;Inputs!$C$49,"",IF(A38&lt;=Inputs!$C$48,MIN(Inputs!$B$20,D38+I37+E38),0))</f>
        <v/>
      </c>
      <c r="G38" s="149" t="str">
        <f>IF(A38&gt;Inputs!$C$49,"",MIN(F38,I37+E38))</f>
        <v/>
      </c>
      <c r="H38" s="149" t="str">
        <f>IF(A38&gt;Inputs!$C$49,"",MIN(MAX(0,F38-G38),D38))</f>
        <v/>
      </c>
      <c r="I38" s="149" t="str">
        <f>IF(A38&gt;Inputs!$C$49,"",IF(A38=Inputs!$C$49,0,MAX(0,I37+E38-G38)))</f>
        <v/>
      </c>
      <c r="J38" s="149" t="str">
        <f>IF(A38&gt;Inputs!$C$49,"",IF(A38=Inputs!$C$49,0,MAX(0,D38-H38)))</f>
        <v/>
      </c>
      <c r="K38" s="149" t="str">
        <f>IF(A38&gt;Inputs!$C$49,"",IF(A38&lt;=Inputs!$C$48,0,A38-Inputs!$C$48))</f>
        <v/>
      </c>
      <c r="L38" s="149">
        <f>IF(A38=Inputs!$C$49,D38+I37+E38,0)</f>
        <v>0</v>
      </c>
      <c r="M38" s="149">
        <f>IF(A38=Inputs!$C$49,Inputs!$C$47,0)</f>
        <v>0</v>
      </c>
      <c r="N38" s="149">
        <f>0</f>
        <v>0</v>
      </c>
      <c r="O38" s="149">
        <f>IF(A38=Inputs!$C$49,MAX(0,M38-L38),0)</f>
        <v>0</v>
      </c>
      <c r="P38" s="163" t="str">
        <f>IF(A38&gt;Inputs!$C$49,"",IF(A38=Inputs!$C$49,"Cerrado por evento",IF(K38&gt;0,"En mora","Vigente al día")))</f>
        <v/>
      </c>
      <c r="Q38" s="149" t="str">
        <f>IF($A38&gt;Inputs!$C$49,"",IF($A38&lt;=Inputs!$C$48,Inputs!$B$28,0))</f>
        <v/>
      </c>
      <c r="R38" s="149" t="str">
        <f>IF($A38&gt;Inputs!$C$49,"",IF($A38&lt;=Inputs!$C$48,Inputs!$B$29,0))</f>
        <v/>
      </c>
      <c r="S38" s="149" t="str">
        <f>IF($A38&gt;Inputs!$C$49,"",IF($A38&lt;=Inputs!$C$48,Inputs!$B$30,0))</f>
        <v/>
      </c>
      <c r="T38" s="149" t="str">
        <f>IF($A38&gt;Inputs!$C$49,"",SUM(Q38:S38))</f>
        <v/>
      </c>
      <c r="U38" s="149" t="str">
        <f>IF($A38&gt;Inputs!$C$49,"",F38+T38)</f>
        <v/>
      </c>
      <c r="V38" s="149" t="str">
        <f>IF($B38="","",IF(OR($B39="",ROUNDUP(($A38+1)/Inputs!$B$14,0)&gt;$B38),SUMIF($B$4:$B38,$B38,Q$4:Q38),0))</f>
        <v/>
      </c>
      <c r="W38" s="149" t="str">
        <f>IF($B38="","",IF(OR($B39="",ROUNDUP(($A38+1)/Inputs!$B$14,0)&gt;$B38),SUMIF($B$4:$B38,$B38,R$4:R38),0))</f>
        <v/>
      </c>
      <c r="X38" s="149" t="str">
        <f>IF($B38="","",IF(OR($B39="",ROUNDUP(($A38+1)/Inputs!$B$14,0)&gt;$B38),SUMIF($B$4:$B38,$B38,S$4:S38),0))</f>
        <v/>
      </c>
      <c r="Y38" s="18"/>
      <c r="Z38" s="18"/>
      <c r="AA38" s="18"/>
      <c r="AB38" s="18"/>
      <c r="AC38" s="18"/>
      <c r="AD38" s="18"/>
      <c r="AE38" s="18"/>
      <c r="AF38" s="18"/>
      <c r="AG38" s="18"/>
    </row>
    <row r="39" spans="1:33" ht="18" customHeight="1">
      <c r="A39" s="157">
        <v>36</v>
      </c>
      <c r="B39" s="77" t="str">
        <f>IF(A39&gt;Inputs!$C$49,"",ROUNDUP(A39/Inputs!$B$14,0))</f>
        <v/>
      </c>
      <c r="C39" s="160" t="str">
        <f>IF(A39&gt;Inputs!$C$49,"",IF(A39&lt;=Inputs!$C$48,"Pago normal",IF(A39&lt;Inputs!$C$49,"Mora - sin pago","Evento de cierre")))</f>
        <v/>
      </c>
      <c r="D39" s="149" t="str">
        <f>IF(A39&gt;Inputs!$C$49,"",J38)</f>
        <v/>
      </c>
      <c r="E39" s="149" t="str">
        <f>IF(A39&gt;Inputs!$C$49,"",D39*Inputs!$B$17)</f>
        <v/>
      </c>
      <c r="F39" s="149" t="str">
        <f>IF(A39&gt;Inputs!$C$49,"",IF(A39&lt;=Inputs!$C$48,MIN(Inputs!$B$20,D39+I38+E39),0))</f>
        <v/>
      </c>
      <c r="G39" s="149" t="str">
        <f>IF(A39&gt;Inputs!$C$49,"",MIN(F39,I38+E39))</f>
        <v/>
      </c>
      <c r="H39" s="149" t="str">
        <f>IF(A39&gt;Inputs!$C$49,"",MIN(MAX(0,F39-G39),D39))</f>
        <v/>
      </c>
      <c r="I39" s="149" t="str">
        <f>IF(A39&gt;Inputs!$C$49,"",IF(A39=Inputs!$C$49,0,MAX(0,I38+E39-G39)))</f>
        <v/>
      </c>
      <c r="J39" s="149" t="str">
        <f>IF(A39&gt;Inputs!$C$49,"",IF(A39=Inputs!$C$49,0,MAX(0,D39-H39)))</f>
        <v/>
      </c>
      <c r="K39" s="149" t="str">
        <f>IF(A39&gt;Inputs!$C$49,"",IF(A39&lt;=Inputs!$C$48,0,A39-Inputs!$C$48))</f>
        <v/>
      </c>
      <c r="L39" s="149">
        <f>IF(A39=Inputs!$C$49,D39+I38+E39,0)</f>
        <v>0</v>
      </c>
      <c r="M39" s="149">
        <f>IF(A39=Inputs!$C$49,Inputs!$C$47,0)</f>
        <v>0</v>
      </c>
      <c r="N39" s="149">
        <f>0</f>
        <v>0</v>
      </c>
      <c r="O39" s="149">
        <f>IF(A39=Inputs!$C$49,MAX(0,M39-L39),0)</f>
        <v>0</v>
      </c>
      <c r="P39" s="163" t="str">
        <f>IF(A39&gt;Inputs!$C$49,"",IF(A39=Inputs!$C$49,"Cerrado por evento",IF(K39&gt;0,"En mora","Vigente al día")))</f>
        <v/>
      </c>
      <c r="Q39" s="149" t="str">
        <f>IF($A39&gt;Inputs!$C$49,"",IF($A39&lt;=Inputs!$C$48,Inputs!$B$28,0))</f>
        <v/>
      </c>
      <c r="R39" s="149" t="str">
        <f>IF($A39&gt;Inputs!$C$49,"",IF($A39&lt;=Inputs!$C$48,Inputs!$B$29,0))</f>
        <v/>
      </c>
      <c r="S39" s="149" t="str">
        <f>IF($A39&gt;Inputs!$C$49,"",IF($A39&lt;=Inputs!$C$48,Inputs!$B$30,0))</f>
        <v/>
      </c>
      <c r="T39" s="149" t="str">
        <f>IF($A39&gt;Inputs!$C$49,"",SUM(Q39:S39))</f>
        <v/>
      </c>
      <c r="U39" s="149" t="str">
        <f>IF($A39&gt;Inputs!$C$49,"",F39+T39)</f>
        <v/>
      </c>
      <c r="V39" s="149" t="str">
        <f>IF($B39="","",IF(OR($B40="",ROUNDUP(($A39+1)/Inputs!$B$14,0)&gt;$B39),SUMIF($B$4:$B39,$B39,Q$4:Q39),0))</f>
        <v/>
      </c>
      <c r="W39" s="149" t="str">
        <f>IF($B39="","",IF(OR($B40="",ROUNDUP(($A39+1)/Inputs!$B$14,0)&gt;$B39),SUMIF($B$4:$B39,$B39,R$4:R39),0))</f>
        <v/>
      </c>
      <c r="X39" s="149" t="str">
        <f>IF($B39="","",IF(OR($B40="",ROUNDUP(($A39+1)/Inputs!$B$14,0)&gt;$B39),SUMIF($B$4:$B39,$B39,S$4:S39),0))</f>
        <v/>
      </c>
      <c r="Y39" s="18"/>
      <c r="Z39" s="18"/>
      <c r="AA39" s="18"/>
      <c r="AB39" s="18"/>
      <c r="AC39" s="18"/>
      <c r="AD39" s="18"/>
      <c r="AE39" s="18"/>
      <c r="AF39" s="18"/>
      <c r="AG39" s="18"/>
    </row>
    <row r="40" spans="1:33" ht="18" customHeight="1">
      <c r="A40" s="157">
        <v>37</v>
      </c>
      <c r="B40" s="77" t="str">
        <f>IF(A40&gt;Inputs!$C$49,"",ROUNDUP(A40/Inputs!$B$14,0))</f>
        <v/>
      </c>
      <c r="C40" s="160" t="str">
        <f>IF(A40&gt;Inputs!$C$49,"",IF(A40&lt;=Inputs!$C$48,"Pago normal",IF(A40&lt;Inputs!$C$49,"Mora - sin pago","Evento de cierre")))</f>
        <v/>
      </c>
      <c r="D40" s="149" t="str">
        <f>IF(A40&gt;Inputs!$C$49,"",J39)</f>
        <v/>
      </c>
      <c r="E40" s="149" t="str">
        <f>IF(A40&gt;Inputs!$C$49,"",D40*Inputs!$B$17)</f>
        <v/>
      </c>
      <c r="F40" s="149" t="str">
        <f>IF(A40&gt;Inputs!$C$49,"",IF(A40&lt;=Inputs!$C$48,MIN(Inputs!$B$20,D40+I39+E40),0))</f>
        <v/>
      </c>
      <c r="G40" s="149" t="str">
        <f>IF(A40&gt;Inputs!$C$49,"",MIN(F40,I39+E40))</f>
        <v/>
      </c>
      <c r="H40" s="149" t="str">
        <f>IF(A40&gt;Inputs!$C$49,"",MIN(MAX(0,F40-G40),D40))</f>
        <v/>
      </c>
      <c r="I40" s="149" t="str">
        <f>IF(A40&gt;Inputs!$C$49,"",IF(A40=Inputs!$C$49,0,MAX(0,I39+E40-G40)))</f>
        <v/>
      </c>
      <c r="J40" s="149" t="str">
        <f>IF(A40&gt;Inputs!$C$49,"",IF(A40=Inputs!$C$49,0,MAX(0,D40-H40)))</f>
        <v/>
      </c>
      <c r="K40" s="149" t="str">
        <f>IF(A40&gt;Inputs!$C$49,"",IF(A40&lt;=Inputs!$C$48,0,A40-Inputs!$C$48))</f>
        <v/>
      </c>
      <c r="L40" s="149">
        <f>IF(A40=Inputs!$C$49,D40+I39+E40,0)</f>
        <v>0</v>
      </c>
      <c r="M40" s="149">
        <f>IF(A40=Inputs!$C$49,Inputs!$C$47,0)</f>
        <v>0</v>
      </c>
      <c r="N40" s="149">
        <f>0</f>
        <v>0</v>
      </c>
      <c r="O40" s="149">
        <f>IF(A40=Inputs!$C$49,MAX(0,M40-L40),0)</f>
        <v>0</v>
      </c>
      <c r="P40" s="163" t="str">
        <f>IF(A40&gt;Inputs!$C$49,"",IF(A40=Inputs!$C$49,"Cerrado por evento",IF(K40&gt;0,"En mora","Vigente al día")))</f>
        <v/>
      </c>
      <c r="Q40" s="149" t="str">
        <f>IF($A40&gt;Inputs!$C$49,"",IF($A40&lt;=Inputs!$C$48,Inputs!$B$28,0))</f>
        <v/>
      </c>
      <c r="R40" s="149" t="str">
        <f>IF($A40&gt;Inputs!$C$49,"",IF($A40&lt;=Inputs!$C$48,Inputs!$B$29,0))</f>
        <v/>
      </c>
      <c r="S40" s="149" t="str">
        <f>IF($A40&gt;Inputs!$C$49,"",IF($A40&lt;=Inputs!$C$48,Inputs!$B$30,0))</f>
        <v/>
      </c>
      <c r="T40" s="149" t="str">
        <f>IF($A40&gt;Inputs!$C$49,"",SUM(Q40:S40))</f>
        <v/>
      </c>
      <c r="U40" s="149" t="str">
        <f>IF($A40&gt;Inputs!$C$49,"",F40+T40)</f>
        <v/>
      </c>
      <c r="V40" s="149" t="str">
        <f>IF($B40="","",IF(OR($B41="",ROUNDUP(($A40+1)/Inputs!$B$14,0)&gt;$B40),SUMIF($B$4:$B40,$B40,Q$4:Q40),0))</f>
        <v/>
      </c>
      <c r="W40" s="149" t="str">
        <f>IF($B40="","",IF(OR($B41="",ROUNDUP(($A40+1)/Inputs!$B$14,0)&gt;$B40),SUMIF($B$4:$B40,$B40,R$4:R40),0))</f>
        <v/>
      </c>
      <c r="X40" s="149" t="str">
        <f>IF($B40="","",IF(OR($B41="",ROUNDUP(($A40+1)/Inputs!$B$14,0)&gt;$B40),SUMIF($B$4:$B40,$B40,S$4:S40),0))</f>
        <v/>
      </c>
      <c r="Y40" s="18"/>
      <c r="Z40" s="18"/>
      <c r="AA40" s="18"/>
      <c r="AB40" s="18"/>
      <c r="AC40" s="18"/>
      <c r="AD40" s="18"/>
      <c r="AE40" s="18"/>
      <c r="AF40" s="18"/>
      <c r="AG40" s="18"/>
    </row>
    <row r="41" spans="1:33" ht="18" customHeight="1">
      <c r="A41" s="157">
        <v>38</v>
      </c>
      <c r="B41" s="77" t="str">
        <f>IF(A41&gt;Inputs!$C$49,"",ROUNDUP(A41/Inputs!$B$14,0))</f>
        <v/>
      </c>
      <c r="C41" s="160" t="str">
        <f>IF(A41&gt;Inputs!$C$49,"",IF(A41&lt;=Inputs!$C$48,"Pago normal",IF(A41&lt;Inputs!$C$49,"Mora - sin pago","Evento de cierre")))</f>
        <v/>
      </c>
      <c r="D41" s="149" t="str">
        <f>IF(A41&gt;Inputs!$C$49,"",J40)</f>
        <v/>
      </c>
      <c r="E41" s="149" t="str">
        <f>IF(A41&gt;Inputs!$C$49,"",D41*Inputs!$B$17)</f>
        <v/>
      </c>
      <c r="F41" s="149" t="str">
        <f>IF(A41&gt;Inputs!$C$49,"",IF(A41&lt;=Inputs!$C$48,MIN(Inputs!$B$20,D41+I40+E41),0))</f>
        <v/>
      </c>
      <c r="G41" s="149" t="str">
        <f>IF(A41&gt;Inputs!$C$49,"",MIN(F41,I40+E41))</f>
        <v/>
      </c>
      <c r="H41" s="149" t="str">
        <f>IF(A41&gt;Inputs!$C$49,"",MIN(MAX(0,F41-G41),D41))</f>
        <v/>
      </c>
      <c r="I41" s="149" t="str">
        <f>IF(A41&gt;Inputs!$C$49,"",IF(A41=Inputs!$C$49,0,MAX(0,I40+E41-G41)))</f>
        <v/>
      </c>
      <c r="J41" s="149" t="str">
        <f>IF(A41&gt;Inputs!$C$49,"",IF(A41=Inputs!$C$49,0,MAX(0,D41-H41)))</f>
        <v/>
      </c>
      <c r="K41" s="149" t="str">
        <f>IF(A41&gt;Inputs!$C$49,"",IF(A41&lt;=Inputs!$C$48,0,A41-Inputs!$C$48))</f>
        <v/>
      </c>
      <c r="L41" s="149">
        <f>IF(A41=Inputs!$C$49,D41+I40+E41,0)</f>
        <v>0</v>
      </c>
      <c r="M41" s="149">
        <f>IF(A41=Inputs!$C$49,Inputs!$C$47,0)</f>
        <v>0</v>
      </c>
      <c r="N41" s="149">
        <f>0</f>
        <v>0</v>
      </c>
      <c r="O41" s="149">
        <f>IF(A41=Inputs!$C$49,MAX(0,M41-L41),0)</f>
        <v>0</v>
      </c>
      <c r="P41" s="163" t="str">
        <f>IF(A41&gt;Inputs!$C$49,"",IF(A41=Inputs!$C$49,"Cerrado por evento",IF(K41&gt;0,"En mora","Vigente al día")))</f>
        <v/>
      </c>
      <c r="Q41" s="149" t="str">
        <f>IF($A41&gt;Inputs!$C$49,"",IF($A41&lt;=Inputs!$C$48,Inputs!$B$28,0))</f>
        <v/>
      </c>
      <c r="R41" s="149" t="str">
        <f>IF($A41&gt;Inputs!$C$49,"",IF($A41&lt;=Inputs!$C$48,Inputs!$B$29,0))</f>
        <v/>
      </c>
      <c r="S41" s="149" t="str">
        <f>IF($A41&gt;Inputs!$C$49,"",IF($A41&lt;=Inputs!$C$48,Inputs!$B$30,0))</f>
        <v/>
      </c>
      <c r="T41" s="149" t="str">
        <f>IF($A41&gt;Inputs!$C$49,"",SUM(Q41:S41))</f>
        <v/>
      </c>
      <c r="U41" s="149" t="str">
        <f>IF($A41&gt;Inputs!$C$49,"",F41+T41)</f>
        <v/>
      </c>
      <c r="V41" s="149" t="str">
        <f>IF($B41="","",IF(OR($B42="",ROUNDUP(($A41+1)/Inputs!$B$14,0)&gt;$B41),SUMIF($B$4:$B41,$B41,Q$4:Q41),0))</f>
        <v/>
      </c>
      <c r="W41" s="149" t="str">
        <f>IF($B41="","",IF(OR($B42="",ROUNDUP(($A41+1)/Inputs!$B$14,0)&gt;$B41),SUMIF($B$4:$B41,$B41,R$4:R41),0))</f>
        <v/>
      </c>
      <c r="X41" s="149" t="str">
        <f>IF($B41="","",IF(OR($B42="",ROUNDUP(($A41+1)/Inputs!$B$14,0)&gt;$B41),SUMIF($B$4:$B41,$B41,S$4:S41),0))</f>
        <v/>
      </c>
      <c r="Y41" s="18"/>
      <c r="Z41" s="18"/>
      <c r="AA41" s="18"/>
      <c r="AB41" s="18"/>
      <c r="AC41" s="18"/>
      <c r="AD41" s="18"/>
      <c r="AE41" s="18"/>
      <c r="AF41" s="18"/>
      <c r="AG41" s="18"/>
    </row>
    <row r="42" spans="1:33" ht="18" customHeight="1">
      <c r="A42" s="157">
        <v>39</v>
      </c>
      <c r="B42" s="77" t="str">
        <f>IF(A42&gt;Inputs!$C$49,"",ROUNDUP(A42/Inputs!$B$14,0))</f>
        <v/>
      </c>
      <c r="C42" s="160" t="str">
        <f>IF(A42&gt;Inputs!$C$49,"",IF(A42&lt;=Inputs!$C$48,"Pago normal",IF(A42&lt;Inputs!$C$49,"Mora - sin pago","Evento de cierre")))</f>
        <v/>
      </c>
      <c r="D42" s="149" t="str">
        <f>IF(A42&gt;Inputs!$C$49,"",J41)</f>
        <v/>
      </c>
      <c r="E42" s="149" t="str">
        <f>IF(A42&gt;Inputs!$C$49,"",D42*Inputs!$B$17)</f>
        <v/>
      </c>
      <c r="F42" s="149" t="str">
        <f>IF(A42&gt;Inputs!$C$49,"",IF(A42&lt;=Inputs!$C$48,MIN(Inputs!$B$20,D42+I41+E42),0))</f>
        <v/>
      </c>
      <c r="G42" s="149" t="str">
        <f>IF(A42&gt;Inputs!$C$49,"",MIN(F42,I41+E42))</f>
        <v/>
      </c>
      <c r="H42" s="149" t="str">
        <f>IF(A42&gt;Inputs!$C$49,"",MIN(MAX(0,F42-G42),D42))</f>
        <v/>
      </c>
      <c r="I42" s="149" t="str">
        <f>IF(A42&gt;Inputs!$C$49,"",IF(A42=Inputs!$C$49,0,MAX(0,I41+E42-G42)))</f>
        <v/>
      </c>
      <c r="J42" s="149" t="str">
        <f>IF(A42&gt;Inputs!$C$49,"",IF(A42=Inputs!$C$49,0,MAX(0,D42-H42)))</f>
        <v/>
      </c>
      <c r="K42" s="149" t="str">
        <f>IF(A42&gt;Inputs!$C$49,"",IF(A42&lt;=Inputs!$C$48,0,A42-Inputs!$C$48))</f>
        <v/>
      </c>
      <c r="L42" s="149">
        <f>IF(A42=Inputs!$C$49,D42+I41+E42,0)</f>
        <v>0</v>
      </c>
      <c r="M42" s="149">
        <f>IF(A42=Inputs!$C$49,Inputs!$C$47,0)</f>
        <v>0</v>
      </c>
      <c r="N42" s="149">
        <f>0</f>
        <v>0</v>
      </c>
      <c r="O42" s="149">
        <f>IF(A42=Inputs!$C$49,MAX(0,M42-L42),0)</f>
        <v>0</v>
      </c>
      <c r="P42" s="163" t="str">
        <f>IF(A42&gt;Inputs!$C$49,"",IF(A42=Inputs!$C$49,"Cerrado por evento",IF(K42&gt;0,"En mora","Vigente al día")))</f>
        <v/>
      </c>
      <c r="Q42" s="149" t="str">
        <f>IF($A42&gt;Inputs!$C$49,"",IF($A42&lt;=Inputs!$C$48,Inputs!$B$28,0))</f>
        <v/>
      </c>
      <c r="R42" s="149" t="str">
        <f>IF($A42&gt;Inputs!$C$49,"",IF($A42&lt;=Inputs!$C$48,Inputs!$B$29,0))</f>
        <v/>
      </c>
      <c r="S42" s="149" t="str">
        <f>IF($A42&gt;Inputs!$C$49,"",IF($A42&lt;=Inputs!$C$48,Inputs!$B$30,0))</f>
        <v/>
      </c>
      <c r="T42" s="149" t="str">
        <f>IF($A42&gt;Inputs!$C$49,"",SUM(Q42:S42))</f>
        <v/>
      </c>
      <c r="U42" s="149" t="str">
        <f>IF($A42&gt;Inputs!$C$49,"",F42+T42)</f>
        <v/>
      </c>
      <c r="V42" s="149" t="str">
        <f>IF($B42="","",IF(OR($B43="",ROUNDUP(($A42+1)/Inputs!$B$14,0)&gt;$B42),SUMIF($B$4:$B42,$B42,Q$4:Q42),0))</f>
        <v/>
      </c>
      <c r="W42" s="149" t="str">
        <f>IF($B42="","",IF(OR($B43="",ROUNDUP(($A42+1)/Inputs!$B$14,0)&gt;$B42),SUMIF($B$4:$B42,$B42,R$4:R42),0))</f>
        <v/>
      </c>
      <c r="X42" s="149" t="str">
        <f>IF($B42="","",IF(OR($B43="",ROUNDUP(($A42+1)/Inputs!$B$14,0)&gt;$B42),SUMIF($B$4:$B42,$B42,S$4:S42),0))</f>
        <v/>
      </c>
      <c r="Y42" s="18"/>
      <c r="Z42" s="18"/>
      <c r="AA42" s="18"/>
      <c r="AB42" s="18"/>
      <c r="AC42" s="18"/>
      <c r="AD42" s="18"/>
      <c r="AE42" s="18"/>
      <c r="AF42" s="18"/>
      <c r="AG42" s="18"/>
    </row>
    <row r="43" spans="1:33" ht="18" customHeight="1">
      <c r="A43" s="157">
        <v>40</v>
      </c>
      <c r="B43" s="77" t="str">
        <f>IF(A43&gt;Inputs!$C$49,"",ROUNDUP(A43/Inputs!$B$14,0))</f>
        <v/>
      </c>
      <c r="C43" s="160" t="str">
        <f>IF(A43&gt;Inputs!$C$49,"",IF(A43&lt;=Inputs!$C$48,"Pago normal",IF(A43&lt;Inputs!$C$49,"Mora - sin pago","Evento de cierre")))</f>
        <v/>
      </c>
      <c r="D43" s="149" t="str">
        <f>IF(A43&gt;Inputs!$C$49,"",J42)</f>
        <v/>
      </c>
      <c r="E43" s="149" t="str">
        <f>IF(A43&gt;Inputs!$C$49,"",D43*Inputs!$B$17)</f>
        <v/>
      </c>
      <c r="F43" s="149" t="str">
        <f>IF(A43&gt;Inputs!$C$49,"",IF(A43&lt;=Inputs!$C$48,MIN(Inputs!$B$20,D43+I42+E43),0))</f>
        <v/>
      </c>
      <c r="G43" s="149" t="str">
        <f>IF(A43&gt;Inputs!$C$49,"",MIN(F43,I42+E43))</f>
        <v/>
      </c>
      <c r="H43" s="149" t="str">
        <f>IF(A43&gt;Inputs!$C$49,"",MIN(MAX(0,F43-G43),D43))</f>
        <v/>
      </c>
      <c r="I43" s="149" t="str">
        <f>IF(A43&gt;Inputs!$C$49,"",IF(A43=Inputs!$C$49,0,MAX(0,I42+E43-G43)))</f>
        <v/>
      </c>
      <c r="J43" s="149" t="str">
        <f>IF(A43&gt;Inputs!$C$49,"",IF(A43=Inputs!$C$49,0,MAX(0,D43-H43)))</f>
        <v/>
      </c>
      <c r="K43" s="149" t="str">
        <f>IF(A43&gt;Inputs!$C$49,"",IF(A43&lt;=Inputs!$C$48,0,A43-Inputs!$C$48))</f>
        <v/>
      </c>
      <c r="L43" s="149">
        <f>IF(A43=Inputs!$C$49,D43+I42+E43,0)</f>
        <v>0</v>
      </c>
      <c r="M43" s="149">
        <f>IF(A43=Inputs!$C$49,Inputs!$C$47,0)</f>
        <v>0</v>
      </c>
      <c r="N43" s="149">
        <f>0</f>
        <v>0</v>
      </c>
      <c r="O43" s="149">
        <f>IF(A43=Inputs!$C$49,MAX(0,M43-L43),0)</f>
        <v>0</v>
      </c>
      <c r="P43" s="163" t="str">
        <f>IF(A43&gt;Inputs!$C$49,"",IF(A43=Inputs!$C$49,"Cerrado por evento",IF(K43&gt;0,"En mora","Vigente al día")))</f>
        <v/>
      </c>
      <c r="Q43" s="149" t="str">
        <f>IF($A43&gt;Inputs!$C$49,"",IF($A43&lt;=Inputs!$C$48,Inputs!$B$28,0))</f>
        <v/>
      </c>
      <c r="R43" s="149" t="str">
        <f>IF($A43&gt;Inputs!$C$49,"",IF($A43&lt;=Inputs!$C$48,Inputs!$B$29,0))</f>
        <v/>
      </c>
      <c r="S43" s="149" t="str">
        <f>IF($A43&gt;Inputs!$C$49,"",IF($A43&lt;=Inputs!$C$48,Inputs!$B$30,0))</f>
        <v/>
      </c>
      <c r="T43" s="149" t="str">
        <f>IF($A43&gt;Inputs!$C$49,"",SUM(Q43:S43))</f>
        <v/>
      </c>
      <c r="U43" s="149" t="str">
        <f>IF($A43&gt;Inputs!$C$49,"",F43+T43)</f>
        <v/>
      </c>
      <c r="V43" s="149" t="str">
        <f>IF($B43="","",IF(OR($B44="",ROUNDUP(($A43+1)/Inputs!$B$14,0)&gt;$B43),SUMIF($B$4:$B43,$B43,Q$4:Q43),0))</f>
        <v/>
      </c>
      <c r="W43" s="149" t="str">
        <f>IF($B43="","",IF(OR($B44="",ROUNDUP(($A43+1)/Inputs!$B$14,0)&gt;$B43),SUMIF($B$4:$B43,$B43,R$4:R43),0))</f>
        <v/>
      </c>
      <c r="X43" s="149" t="str">
        <f>IF($B43="","",IF(OR($B44="",ROUNDUP(($A43+1)/Inputs!$B$14,0)&gt;$B43),SUMIF($B$4:$B43,$B43,S$4:S43),0))</f>
        <v/>
      </c>
      <c r="Y43" s="18"/>
      <c r="Z43" s="18"/>
      <c r="AA43" s="18"/>
      <c r="AB43" s="18"/>
      <c r="AC43" s="18"/>
      <c r="AD43" s="18"/>
      <c r="AE43" s="18"/>
      <c r="AF43" s="18"/>
      <c r="AG43" s="18"/>
    </row>
    <row r="44" spans="1:33" ht="18" customHeight="1">
      <c r="A44" s="157">
        <v>41</v>
      </c>
      <c r="B44" s="77" t="str">
        <f>IF(A44&gt;Inputs!$C$49,"",ROUNDUP(A44/Inputs!$B$14,0))</f>
        <v/>
      </c>
      <c r="C44" s="160" t="str">
        <f>IF(A44&gt;Inputs!$C$49,"",IF(A44&lt;=Inputs!$C$48,"Pago normal",IF(A44&lt;Inputs!$C$49,"Mora - sin pago","Evento de cierre")))</f>
        <v/>
      </c>
      <c r="D44" s="149" t="str">
        <f>IF(A44&gt;Inputs!$C$49,"",J43)</f>
        <v/>
      </c>
      <c r="E44" s="149" t="str">
        <f>IF(A44&gt;Inputs!$C$49,"",D44*Inputs!$B$17)</f>
        <v/>
      </c>
      <c r="F44" s="149" t="str">
        <f>IF(A44&gt;Inputs!$C$49,"",IF(A44&lt;=Inputs!$C$48,MIN(Inputs!$B$20,D44+I43+E44),0))</f>
        <v/>
      </c>
      <c r="G44" s="149" t="str">
        <f>IF(A44&gt;Inputs!$C$49,"",MIN(F44,I43+E44))</f>
        <v/>
      </c>
      <c r="H44" s="149" t="str">
        <f>IF(A44&gt;Inputs!$C$49,"",MIN(MAX(0,F44-G44),D44))</f>
        <v/>
      </c>
      <c r="I44" s="149" t="str">
        <f>IF(A44&gt;Inputs!$C$49,"",IF(A44=Inputs!$C$49,0,MAX(0,I43+E44-G44)))</f>
        <v/>
      </c>
      <c r="J44" s="149" t="str">
        <f>IF(A44&gt;Inputs!$C$49,"",IF(A44=Inputs!$C$49,0,MAX(0,D44-H44)))</f>
        <v/>
      </c>
      <c r="K44" s="149" t="str">
        <f>IF(A44&gt;Inputs!$C$49,"",IF(A44&lt;=Inputs!$C$48,0,A44-Inputs!$C$48))</f>
        <v/>
      </c>
      <c r="L44" s="149">
        <f>IF(A44=Inputs!$C$49,D44+I43+E44,0)</f>
        <v>0</v>
      </c>
      <c r="M44" s="149">
        <f>IF(A44=Inputs!$C$49,Inputs!$C$47,0)</f>
        <v>0</v>
      </c>
      <c r="N44" s="149">
        <f>0</f>
        <v>0</v>
      </c>
      <c r="O44" s="149">
        <f>IF(A44=Inputs!$C$49,MAX(0,M44-L44),0)</f>
        <v>0</v>
      </c>
      <c r="P44" s="163" t="str">
        <f>IF(A44&gt;Inputs!$C$49,"",IF(A44=Inputs!$C$49,"Cerrado por evento",IF(K44&gt;0,"En mora","Vigente al día")))</f>
        <v/>
      </c>
      <c r="Q44" s="149" t="str">
        <f>IF($A44&gt;Inputs!$C$49,"",IF($A44&lt;=Inputs!$C$48,Inputs!$B$28,0))</f>
        <v/>
      </c>
      <c r="R44" s="149" t="str">
        <f>IF($A44&gt;Inputs!$C$49,"",IF($A44&lt;=Inputs!$C$48,Inputs!$B$29,0))</f>
        <v/>
      </c>
      <c r="S44" s="149" t="str">
        <f>IF($A44&gt;Inputs!$C$49,"",IF($A44&lt;=Inputs!$C$48,Inputs!$B$30,0))</f>
        <v/>
      </c>
      <c r="T44" s="149" t="str">
        <f>IF($A44&gt;Inputs!$C$49,"",SUM(Q44:S44))</f>
        <v/>
      </c>
      <c r="U44" s="149" t="str">
        <f>IF($A44&gt;Inputs!$C$49,"",F44+T44)</f>
        <v/>
      </c>
      <c r="V44" s="149" t="str">
        <f>IF($B44="","",IF(OR($B45="",ROUNDUP(($A44+1)/Inputs!$B$14,0)&gt;$B44),SUMIF($B$4:$B44,$B44,Q$4:Q44),0))</f>
        <v/>
      </c>
      <c r="W44" s="149" t="str">
        <f>IF($B44="","",IF(OR($B45="",ROUNDUP(($A44+1)/Inputs!$B$14,0)&gt;$B44),SUMIF($B$4:$B44,$B44,R$4:R44),0))</f>
        <v/>
      </c>
      <c r="X44" s="149" t="str">
        <f>IF($B44="","",IF(OR($B45="",ROUNDUP(($A44+1)/Inputs!$B$14,0)&gt;$B44),SUMIF($B$4:$B44,$B44,S$4:S44),0))</f>
        <v/>
      </c>
      <c r="Y44" s="18"/>
      <c r="Z44" s="18"/>
      <c r="AA44" s="18"/>
      <c r="AB44" s="18"/>
      <c r="AC44" s="18"/>
      <c r="AD44" s="18"/>
      <c r="AE44" s="18"/>
      <c r="AF44" s="18"/>
      <c r="AG44" s="18"/>
    </row>
    <row r="45" spans="1:33" ht="18" customHeight="1">
      <c r="A45" s="157">
        <v>42</v>
      </c>
      <c r="B45" s="77" t="str">
        <f>IF(A45&gt;Inputs!$C$49,"",ROUNDUP(A45/Inputs!$B$14,0))</f>
        <v/>
      </c>
      <c r="C45" s="160" t="str">
        <f>IF(A45&gt;Inputs!$C$49,"",IF(A45&lt;=Inputs!$C$48,"Pago normal",IF(A45&lt;Inputs!$C$49,"Mora - sin pago","Evento de cierre")))</f>
        <v/>
      </c>
      <c r="D45" s="149" t="str">
        <f>IF(A45&gt;Inputs!$C$49,"",J44)</f>
        <v/>
      </c>
      <c r="E45" s="149" t="str">
        <f>IF(A45&gt;Inputs!$C$49,"",D45*Inputs!$B$17)</f>
        <v/>
      </c>
      <c r="F45" s="149" t="str">
        <f>IF(A45&gt;Inputs!$C$49,"",IF(A45&lt;=Inputs!$C$48,MIN(Inputs!$B$20,D45+I44+E45),0))</f>
        <v/>
      </c>
      <c r="G45" s="149" t="str">
        <f>IF(A45&gt;Inputs!$C$49,"",MIN(F45,I44+E45))</f>
        <v/>
      </c>
      <c r="H45" s="149" t="str">
        <f>IF(A45&gt;Inputs!$C$49,"",MIN(MAX(0,F45-G45),D45))</f>
        <v/>
      </c>
      <c r="I45" s="149" t="str">
        <f>IF(A45&gt;Inputs!$C$49,"",IF(A45=Inputs!$C$49,0,MAX(0,I44+E45-G45)))</f>
        <v/>
      </c>
      <c r="J45" s="149" t="str">
        <f>IF(A45&gt;Inputs!$C$49,"",IF(A45=Inputs!$C$49,0,MAX(0,D45-H45)))</f>
        <v/>
      </c>
      <c r="K45" s="149" t="str">
        <f>IF(A45&gt;Inputs!$C$49,"",IF(A45&lt;=Inputs!$C$48,0,A45-Inputs!$C$48))</f>
        <v/>
      </c>
      <c r="L45" s="149">
        <f>IF(A45=Inputs!$C$49,D45+I44+E45,0)</f>
        <v>0</v>
      </c>
      <c r="M45" s="149">
        <f>IF(A45=Inputs!$C$49,Inputs!$C$47,0)</f>
        <v>0</v>
      </c>
      <c r="N45" s="149">
        <f>0</f>
        <v>0</v>
      </c>
      <c r="O45" s="149">
        <f>IF(A45=Inputs!$C$49,MAX(0,M45-L45),0)</f>
        <v>0</v>
      </c>
      <c r="P45" s="163" t="str">
        <f>IF(A45&gt;Inputs!$C$49,"",IF(A45=Inputs!$C$49,"Cerrado por evento",IF(K45&gt;0,"En mora","Vigente al día")))</f>
        <v/>
      </c>
      <c r="Q45" s="149" t="str">
        <f>IF($A45&gt;Inputs!$C$49,"",IF($A45&lt;=Inputs!$C$48,Inputs!$B$28,0))</f>
        <v/>
      </c>
      <c r="R45" s="149" t="str">
        <f>IF($A45&gt;Inputs!$C$49,"",IF($A45&lt;=Inputs!$C$48,Inputs!$B$29,0))</f>
        <v/>
      </c>
      <c r="S45" s="149" t="str">
        <f>IF($A45&gt;Inputs!$C$49,"",IF($A45&lt;=Inputs!$C$48,Inputs!$B$30,0))</f>
        <v/>
      </c>
      <c r="T45" s="149" t="str">
        <f>IF($A45&gt;Inputs!$C$49,"",SUM(Q45:S45))</f>
        <v/>
      </c>
      <c r="U45" s="149" t="str">
        <f>IF($A45&gt;Inputs!$C$49,"",F45+T45)</f>
        <v/>
      </c>
      <c r="V45" s="149" t="str">
        <f>IF($B45="","",IF(OR($B46="",ROUNDUP(($A45+1)/Inputs!$B$14,0)&gt;$B45),SUMIF($B$4:$B45,$B45,Q$4:Q45),0))</f>
        <v/>
      </c>
      <c r="W45" s="149" t="str">
        <f>IF($B45="","",IF(OR($B46="",ROUNDUP(($A45+1)/Inputs!$B$14,0)&gt;$B45),SUMIF($B$4:$B45,$B45,R$4:R45),0))</f>
        <v/>
      </c>
      <c r="X45" s="149" t="str">
        <f>IF($B45="","",IF(OR($B46="",ROUNDUP(($A45+1)/Inputs!$B$14,0)&gt;$B45),SUMIF($B$4:$B45,$B45,S$4:S45),0))</f>
        <v/>
      </c>
      <c r="Y45" s="18"/>
      <c r="Z45" s="18"/>
      <c r="AA45" s="18"/>
      <c r="AB45" s="18"/>
      <c r="AC45" s="18"/>
      <c r="AD45" s="18"/>
      <c r="AE45" s="18"/>
      <c r="AF45" s="18"/>
      <c r="AG45" s="18"/>
    </row>
    <row r="46" spans="1:33" ht="18" customHeight="1">
      <c r="A46" s="157">
        <v>43</v>
      </c>
      <c r="B46" s="77" t="str">
        <f>IF(A46&gt;Inputs!$C$49,"",ROUNDUP(A46/Inputs!$B$14,0))</f>
        <v/>
      </c>
      <c r="C46" s="160" t="str">
        <f>IF(A46&gt;Inputs!$C$49,"",IF(A46&lt;=Inputs!$C$48,"Pago normal",IF(A46&lt;Inputs!$C$49,"Mora - sin pago","Evento de cierre")))</f>
        <v/>
      </c>
      <c r="D46" s="149" t="str">
        <f>IF(A46&gt;Inputs!$C$49,"",J45)</f>
        <v/>
      </c>
      <c r="E46" s="149" t="str">
        <f>IF(A46&gt;Inputs!$C$49,"",D46*Inputs!$B$17)</f>
        <v/>
      </c>
      <c r="F46" s="149" t="str">
        <f>IF(A46&gt;Inputs!$C$49,"",IF(A46&lt;=Inputs!$C$48,MIN(Inputs!$B$20,D46+I45+E46),0))</f>
        <v/>
      </c>
      <c r="G46" s="149" t="str">
        <f>IF(A46&gt;Inputs!$C$49,"",MIN(F46,I45+E46))</f>
        <v/>
      </c>
      <c r="H46" s="149" t="str">
        <f>IF(A46&gt;Inputs!$C$49,"",MIN(MAX(0,F46-G46),D46))</f>
        <v/>
      </c>
      <c r="I46" s="149" t="str">
        <f>IF(A46&gt;Inputs!$C$49,"",IF(A46=Inputs!$C$49,0,MAX(0,I45+E46-G46)))</f>
        <v/>
      </c>
      <c r="J46" s="149" t="str">
        <f>IF(A46&gt;Inputs!$C$49,"",IF(A46=Inputs!$C$49,0,MAX(0,D46-H46)))</f>
        <v/>
      </c>
      <c r="K46" s="149" t="str">
        <f>IF(A46&gt;Inputs!$C$49,"",IF(A46&lt;=Inputs!$C$48,0,A46-Inputs!$C$48))</f>
        <v/>
      </c>
      <c r="L46" s="149">
        <f>IF(A46=Inputs!$C$49,D46+I45+E46,0)</f>
        <v>0</v>
      </c>
      <c r="M46" s="149">
        <f>IF(A46=Inputs!$C$49,Inputs!$C$47,0)</f>
        <v>0</v>
      </c>
      <c r="N46" s="149">
        <f>0</f>
        <v>0</v>
      </c>
      <c r="O46" s="149">
        <f>IF(A46=Inputs!$C$49,MAX(0,M46-L46),0)</f>
        <v>0</v>
      </c>
      <c r="P46" s="163" t="str">
        <f>IF(A46&gt;Inputs!$C$49,"",IF(A46=Inputs!$C$49,"Cerrado por evento",IF(K46&gt;0,"En mora","Vigente al día")))</f>
        <v/>
      </c>
      <c r="Q46" s="149" t="str">
        <f>IF($A46&gt;Inputs!$C$49,"",IF($A46&lt;=Inputs!$C$48,Inputs!$B$28,0))</f>
        <v/>
      </c>
      <c r="R46" s="149" t="str">
        <f>IF($A46&gt;Inputs!$C$49,"",IF($A46&lt;=Inputs!$C$48,Inputs!$B$29,0))</f>
        <v/>
      </c>
      <c r="S46" s="149" t="str">
        <f>IF($A46&gt;Inputs!$C$49,"",IF($A46&lt;=Inputs!$C$48,Inputs!$B$30,0))</f>
        <v/>
      </c>
      <c r="T46" s="149" t="str">
        <f>IF($A46&gt;Inputs!$C$49,"",SUM(Q46:S46))</f>
        <v/>
      </c>
      <c r="U46" s="149" t="str">
        <f>IF($A46&gt;Inputs!$C$49,"",F46+T46)</f>
        <v/>
      </c>
      <c r="V46" s="149" t="str">
        <f>IF($B46="","",IF(OR($B47="",ROUNDUP(($A46+1)/Inputs!$B$14,0)&gt;$B46),SUMIF($B$4:$B46,$B46,Q$4:Q46),0))</f>
        <v/>
      </c>
      <c r="W46" s="149" t="str">
        <f>IF($B46="","",IF(OR($B47="",ROUNDUP(($A46+1)/Inputs!$B$14,0)&gt;$B46),SUMIF($B$4:$B46,$B46,R$4:R46),0))</f>
        <v/>
      </c>
      <c r="X46" s="149" t="str">
        <f>IF($B46="","",IF(OR($B47="",ROUNDUP(($A46+1)/Inputs!$B$14,0)&gt;$B46),SUMIF($B$4:$B46,$B46,S$4:S46),0))</f>
        <v/>
      </c>
      <c r="Y46" s="18"/>
      <c r="Z46" s="18"/>
      <c r="AA46" s="18"/>
      <c r="AB46" s="18"/>
      <c r="AC46" s="18"/>
      <c r="AD46" s="18"/>
      <c r="AE46" s="18"/>
      <c r="AF46" s="18"/>
      <c r="AG46" s="18"/>
    </row>
    <row r="47" spans="1:33" ht="18" customHeight="1">
      <c r="A47" s="157">
        <v>44</v>
      </c>
      <c r="B47" s="77" t="str">
        <f>IF(A47&gt;Inputs!$C$49,"",ROUNDUP(A47/Inputs!$B$14,0))</f>
        <v/>
      </c>
      <c r="C47" s="160" t="str">
        <f>IF(A47&gt;Inputs!$C$49,"",IF(A47&lt;=Inputs!$C$48,"Pago normal",IF(A47&lt;Inputs!$C$49,"Mora - sin pago","Evento de cierre")))</f>
        <v/>
      </c>
      <c r="D47" s="149" t="str">
        <f>IF(A47&gt;Inputs!$C$49,"",J46)</f>
        <v/>
      </c>
      <c r="E47" s="149" t="str">
        <f>IF(A47&gt;Inputs!$C$49,"",D47*Inputs!$B$17)</f>
        <v/>
      </c>
      <c r="F47" s="149" t="str">
        <f>IF(A47&gt;Inputs!$C$49,"",IF(A47&lt;=Inputs!$C$48,MIN(Inputs!$B$20,D47+I46+E47),0))</f>
        <v/>
      </c>
      <c r="G47" s="149" t="str">
        <f>IF(A47&gt;Inputs!$C$49,"",MIN(F47,I46+E47))</f>
        <v/>
      </c>
      <c r="H47" s="149" t="str">
        <f>IF(A47&gt;Inputs!$C$49,"",MIN(MAX(0,F47-G47),D47))</f>
        <v/>
      </c>
      <c r="I47" s="149" t="str">
        <f>IF(A47&gt;Inputs!$C$49,"",IF(A47=Inputs!$C$49,0,MAX(0,I46+E47-G47)))</f>
        <v/>
      </c>
      <c r="J47" s="149" t="str">
        <f>IF(A47&gt;Inputs!$C$49,"",IF(A47=Inputs!$C$49,0,MAX(0,D47-H47)))</f>
        <v/>
      </c>
      <c r="K47" s="149" t="str">
        <f>IF(A47&gt;Inputs!$C$49,"",IF(A47&lt;=Inputs!$C$48,0,A47-Inputs!$C$48))</f>
        <v/>
      </c>
      <c r="L47" s="149">
        <f>IF(A47=Inputs!$C$49,D47+I46+E47,0)</f>
        <v>0</v>
      </c>
      <c r="M47" s="149">
        <f>IF(A47=Inputs!$C$49,Inputs!$C$47,0)</f>
        <v>0</v>
      </c>
      <c r="N47" s="149">
        <f>0</f>
        <v>0</v>
      </c>
      <c r="O47" s="149">
        <f>IF(A47=Inputs!$C$49,MAX(0,M47-L47),0)</f>
        <v>0</v>
      </c>
      <c r="P47" s="163" t="str">
        <f>IF(A47&gt;Inputs!$C$49,"",IF(A47=Inputs!$C$49,"Cerrado por evento",IF(K47&gt;0,"En mora","Vigente al día")))</f>
        <v/>
      </c>
      <c r="Q47" s="149" t="str">
        <f>IF($A47&gt;Inputs!$C$49,"",IF($A47&lt;=Inputs!$C$48,Inputs!$B$28,0))</f>
        <v/>
      </c>
      <c r="R47" s="149" t="str">
        <f>IF($A47&gt;Inputs!$C$49,"",IF($A47&lt;=Inputs!$C$48,Inputs!$B$29,0))</f>
        <v/>
      </c>
      <c r="S47" s="149" t="str">
        <f>IF($A47&gt;Inputs!$C$49,"",IF($A47&lt;=Inputs!$C$48,Inputs!$B$30,0))</f>
        <v/>
      </c>
      <c r="T47" s="149" t="str">
        <f>IF($A47&gt;Inputs!$C$49,"",SUM(Q47:S47))</f>
        <v/>
      </c>
      <c r="U47" s="149" t="str">
        <f>IF($A47&gt;Inputs!$C$49,"",F47+T47)</f>
        <v/>
      </c>
      <c r="V47" s="149" t="str">
        <f>IF($B47="","",IF(OR($B48="",ROUNDUP(($A47+1)/Inputs!$B$14,0)&gt;$B47),SUMIF($B$4:$B47,$B47,Q$4:Q47),0))</f>
        <v/>
      </c>
      <c r="W47" s="149" t="str">
        <f>IF($B47="","",IF(OR($B48="",ROUNDUP(($A47+1)/Inputs!$B$14,0)&gt;$B47),SUMIF($B$4:$B47,$B47,R$4:R47),0))</f>
        <v/>
      </c>
      <c r="X47" s="149" t="str">
        <f>IF($B47="","",IF(OR($B48="",ROUNDUP(($A47+1)/Inputs!$B$14,0)&gt;$B47),SUMIF($B$4:$B47,$B47,S$4:S47),0))</f>
        <v/>
      </c>
      <c r="Y47" s="18"/>
      <c r="Z47" s="18"/>
      <c r="AA47" s="18"/>
      <c r="AB47" s="18"/>
      <c r="AC47" s="18"/>
      <c r="AD47" s="18"/>
      <c r="AE47" s="18"/>
      <c r="AF47" s="18"/>
      <c r="AG47" s="18"/>
    </row>
    <row r="48" spans="1:33" ht="18" customHeight="1">
      <c r="A48" s="157">
        <v>45</v>
      </c>
      <c r="B48" s="77" t="str">
        <f>IF(A48&gt;Inputs!$C$49,"",ROUNDUP(A48/Inputs!$B$14,0))</f>
        <v/>
      </c>
      <c r="C48" s="160" t="str">
        <f>IF(A48&gt;Inputs!$C$49,"",IF(A48&lt;=Inputs!$C$48,"Pago normal",IF(A48&lt;Inputs!$C$49,"Mora - sin pago","Evento de cierre")))</f>
        <v/>
      </c>
      <c r="D48" s="149" t="str">
        <f>IF(A48&gt;Inputs!$C$49,"",J47)</f>
        <v/>
      </c>
      <c r="E48" s="149" t="str">
        <f>IF(A48&gt;Inputs!$C$49,"",D48*Inputs!$B$17)</f>
        <v/>
      </c>
      <c r="F48" s="149" t="str">
        <f>IF(A48&gt;Inputs!$C$49,"",IF(A48&lt;=Inputs!$C$48,MIN(Inputs!$B$20,D48+I47+E48),0))</f>
        <v/>
      </c>
      <c r="G48" s="149" t="str">
        <f>IF(A48&gt;Inputs!$C$49,"",MIN(F48,I47+E48))</f>
        <v/>
      </c>
      <c r="H48" s="149" t="str">
        <f>IF(A48&gt;Inputs!$C$49,"",MIN(MAX(0,F48-G48),D48))</f>
        <v/>
      </c>
      <c r="I48" s="149" t="str">
        <f>IF(A48&gt;Inputs!$C$49,"",IF(A48=Inputs!$C$49,0,MAX(0,I47+E48-G48)))</f>
        <v/>
      </c>
      <c r="J48" s="149" t="str">
        <f>IF(A48&gt;Inputs!$C$49,"",IF(A48=Inputs!$C$49,0,MAX(0,D48-H48)))</f>
        <v/>
      </c>
      <c r="K48" s="149" t="str">
        <f>IF(A48&gt;Inputs!$C$49,"",IF(A48&lt;=Inputs!$C$48,0,A48-Inputs!$C$48))</f>
        <v/>
      </c>
      <c r="L48" s="149">
        <f>IF(A48=Inputs!$C$49,D48+I47+E48,0)</f>
        <v>0</v>
      </c>
      <c r="M48" s="149">
        <f>IF(A48=Inputs!$C$49,Inputs!$C$47,0)</f>
        <v>0</v>
      </c>
      <c r="N48" s="149">
        <f>0</f>
        <v>0</v>
      </c>
      <c r="O48" s="149">
        <f>IF(A48=Inputs!$C$49,MAX(0,M48-L48),0)</f>
        <v>0</v>
      </c>
      <c r="P48" s="163" t="str">
        <f>IF(A48&gt;Inputs!$C$49,"",IF(A48=Inputs!$C$49,"Cerrado por evento",IF(K48&gt;0,"En mora","Vigente al día")))</f>
        <v/>
      </c>
      <c r="Q48" s="149" t="str">
        <f>IF($A48&gt;Inputs!$C$49,"",IF($A48&lt;=Inputs!$C$48,Inputs!$B$28,0))</f>
        <v/>
      </c>
      <c r="R48" s="149" t="str">
        <f>IF($A48&gt;Inputs!$C$49,"",IF($A48&lt;=Inputs!$C$48,Inputs!$B$29,0))</f>
        <v/>
      </c>
      <c r="S48" s="149" t="str">
        <f>IF($A48&gt;Inputs!$C$49,"",IF($A48&lt;=Inputs!$C$48,Inputs!$B$30,0))</f>
        <v/>
      </c>
      <c r="T48" s="149" t="str">
        <f>IF($A48&gt;Inputs!$C$49,"",SUM(Q48:S48))</f>
        <v/>
      </c>
      <c r="U48" s="149" t="str">
        <f>IF($A48&gt;Inputs!$C$49,"",F48+T48)</f>
        <v/>
      </c>
      <c r="V48" s="149" t="str">
        <f>IF($B48="","",IF(OR($B49="",ROUNDUP(($A48+1)/Inputs!$B$14,0)&gt;$B48),SUMIF($B$4:$B48,$B48,Q$4:Q48),0))</f>
        <v/>
      </c>
      <c r="W48" s="149" t="str">
        <f>IF($B48="","",IF(OR($B49="",ROUNDUP(($A48+1)/Inputs!$B$14,0)&gt;$B48),SUMIF($B$4:$B48,$B48,R$4:R48),0))</f>
        <v/>
      </c>
      <c r="X48" s="149" t="str">
        <f>IF($B48="","",IF(OR($B49="",ROUNDUP(($A48+1)/Inputs!$B$14,0)&gt;$B48),SUMIF($B$4:$B48,$B48,S$4:S48),0))</f>
        <v/>
      </c>
      <c r="Y48" s="18"/>
      <c r="Z48" s="18"/>
      <c r="AA48" s="18"/>
      <c r="AB48" s="18"/>
      <c r="AC48" s="18"/>
      <c r="AD48" s="18"/>
      <c r="AE48" s="18"/>
      <c r="AF48" s="18"/>
      <c r="AG48" s="18"/>
    </row>
    <row r="49" spans="1:33" ht="18" customHeight="1">
      <c r="A49" s="157">
        <v>46</v>
      </c>
      <c r="B49" s="77" t="str">
        <f>IF(A49&gt;Inputs!$C$49,"",ROUNDUP(A49/Inputs!$B$14,0))</f>
        <v/>
      </c>
      <c r="C49" s="160" t="str">
        <f>IF(A49&gt;Inputs!$C$49,"",IF(A49&lt;=Inputs!$C$48,"Pago normal",IF(A49&lt;Inputs!$C$49,"Mora - sin pago","Evento de cierre")))</f>
        <v/>
      </c>
      <c r="D49" s="149" t="str">
        <f>IF(A49&gt;Inputs!$C$49,"",J48)</f>
        <v/>
      </c>
      <c r="E49" s="149" t="str">
        <f>IF(A49&gt;Inputs!$C$49,"",D49*Inputs!$B$17)</f>
        <v/>
      </c>
      <c r="F49" s="149" t="str">
        <f>IF(A49&gt;Inputs!$C$49,"",IF(A49&lt;=Inputs!$C$48,MIN(Inputs!$B$20,D49+I48+E49),0))</f>
        <v/>
      </c>
      <c r="G49" s="149" t="str">
        <f>IF(A49&gt;Inputs!$C$49,"",MIN(F49,I48+E49))</f>
        <v/>
      </c>
      <c r="H49" s="149" t="str">
        <f>IF(A49&gt;Inputs!$C$49,"",MIN(MAX(0,F49-G49),D49))</f>
        <v/>
      </c>
      <c r="I49" s="149" t="str">
        <f>IF(A49&gt;Inputs!$C$49,"",IF(A49=Inputs!$C$49,0,MAX(0,I48+E49-G49)))</f>
        <v/>
      </c>
      <c r="J49" s="149" t="str">
        <f>IF(A49&gt;Inputs!$C$49,"",IF(A49=Inputs!$C$49,0,MAX(0,D49-H49)))</f>
        <v/>
      </c>
      <c r="K49" s="149" t="str">
        <f>IF(A49&gt;Inputs!$C$49,"",IF(A49&lt;=Inputs!$C$48,0,A49-Inputs!$C$48))</f>
        <v/>
      </c>
      <c r="L49" s="149">
        <f>IF(A49=Inputs!$C$49,D49+I48+E49,0)</f>
        <v>0</v>
      </c>
      <c r="M49" s="149">
        <f>IF(A49=Inputs!$C$49,Inputs!$C$47,0)</f>
        <v>0</v>
      </c>
      <c r="N49" s="149">
        <f>0</f>
        <v>0</v>
      </c>
      <c r="O49" s="149">
        <f>IF(A49=Inputs!$C$49,MAX(0,M49-L49),0)</f>
        <v>0</v>
      </c>
      <c r="P49" s="163" t="str">
        <f>IF(A49&gt;Inputs!$C$49,"",IF(A49=Inputs!$C$49,"Cerrado por evento",IF(K49&gt;0,"En mora","Vigente al día")))</f>
        <v/>
      </c>
      <c r="Q49" s="149" t="str">
        <f>IF($A49&gt;Inputs!$C$49,"",IF($A49&lt;=Inputs!$C$48,Inputs!$B$28,0))</f>
        <v/>
      </c>
      <c r="R49" s="149" t="str">
        <f>IF($A49&gt;Inputs!$C$49,"",IF($A49&lt;=Inputs!$C$48,Inputs!$B$29,0))</f>
        <v/>
      </c>
      <c r="S49" s="149" t="str">
        <f>IF($A49&gt;Inputs!$C$49,"",IF($A49&lt;=Inputs!$C$48,Inputs!$B$30,0))</f>
        <v/>
      </c>
      <c r="T49" s="149" t="str">
        <f>IF($A49&gt;Inputs!$C$49,"",SUM(Q49:S49))</f>
        <v/>
      </c>
      <c r="U49" s="149" t="str">
        <f>IF($A49&gt;Inputs!$C$49,"",F49+T49)</f>
        <v/>
      </c>
      <c r="V49" s="149" t="str">
        <f>IF($B49="","",IF(OR($B50="",ROUNDUP(($A49+1)/Inputs!$B$14,0)&gt;$B49),SUMIF($B$4:$B49,$B49,Q$4:Q49),0))</f>
        <v/>
      </c>
      <c r="W49" s="149" t="str">
        <f>IF($B49="","",IF(OR($B50="",ROUNDUP(($A49+1)/Inputs!$B$14,0)&gt;$B49),SUMIF($B$4:$B49,$B49,R$4:R49),0))</f>
        <v/>
      </c>
      <c r="X49" s="149" t="str">
        <f>IF($B49="","",IF(OR($B50="",ROUNDUP(($A49+1)/Inputs!$B$14,0)&gt;$B49),SUMIF($B$4:$B49,$B49,S$4:S49),0))</f>
        <v/>
      </c>
      <c r="Y49" s="18"/>
      <c r="Z49" s="18"/>
      <c r="AA49" s="18"/>
      <c r="AB49" s="18"/>
      <c r="AC49" s="18"/>
      <c r="AD49" s="18"/>
      <c r="AE49" s="18"/>
      <c r="AF49" s="18"/>
      <c r="AG49" s="18"/>
    </row>
    <row r="50" spans="1:33" ht="18" customHeight="1">
      <c r="A50" s="157">
        <v>47</v>
      </c>
      <c r="B50" s="77" t="str">
        <f>IF(A50&gt;Inputs!$C$49,"",ROUNDUP(A50/Inputs!$B$14,0))</f>
        <v/>
      </c>
      <c r="C50" s="160" t="str">
        <f>IF(A50&gt;Inputs!$C$49,"",IF(A50&lt;=Inputs!$C$48,"Pago normal",IF(A50&lt;Inputs!$C$49,"Mora - sin pago","Evento de cierre")))</f>
        <v/>
      </c>
      <c r="D50" s="149" t="str">
        <f>IF(A50&gt;Inputs!$C$49,"",J49)</f>
        <v/>
      </c>
      <c r="E50" s="149" t="str">
        <f>IF(A50&gt;Inputs!$C$49,"",D50*Inputs!$B$17)</f>
        <v/>
      </c>
      <c r="F50" s="149" t="str">
        <f>IF(A50&gt;Inputs!$C$49,"",IF(A50&lt;=Inputs!$C$48,MIN(Inputs!$B$20,D50+I49+E50),0))</f>
        <v/>
      </c>
      <c r="G50" s="149" t="str">
        <f>IF(A50&gt;Inputs!$C$49,"",MIN(F50,I49+E50))</f>
        <v/>
      </c>
      <c r="H50" s="149" t="str">
        <f>IF(A50&gt;Inputs!$C$49,"",MIN(MAX(0,F50-G50),D50))</f>
        <v/>
      </c>
      <c r="I50" s="149" t="str">
        <f>IF(A50&gt;Inputs!$C$49,"",IF(A50=Inputs!$C$49,0,MAX(0,I49+E50-G50)))</f>
        <v/>
      </c>
      <c r="J50" s="149" t="str">
        <f>IF(A50&gt;Inputs!$C$49,"",IF(A50=Inputs!$C$49,0,MAX(0,D50-H50)))</f>
        <v/>
      </c>
      <c r="K50" s="149" t="str">
        <f>IF(A50&gt;Inputs!$C$49,"",IF(A50&lt;=Inputs!$C$48,0,A50-Inputs!$C$48))</f>
        <v/>
      </c>
      <c r="L50" s="149">
        <f>IF(A50=Inputs!$C$49,D50+I49+E50,0)</f>
        <v>0</v>
      </c>
      <c r="M50" s="149">
        <f>IF(A50=Inputs!$C$49,Inputs!$C$47,0)</f>
        <v>0</v>
      </c>
      <c r="N50" s="149">
        <f>0</f>
        <v>0</v>
      </c>
      <c r="O50" s="149">
        <f>IF(A50=Inputs!$C$49,MAX(0,M50-L50),0)</f>
        <v>0</v>
      </c>
      <c r="P50" s="163" t="str">
        <f>IF(A50&gt;Inputs!$C$49,"",IF(A50=Inputs!$C$49,"Cerrado por evento",IF(K50&gt;0,"En mora","Vigente al día")))</f>
        <v/>
      </c>
      <c r="Q50" s="149" t="str">
        <f>IF($A50&gt;Inputs!$C$49,"",IF($A50&lt;=Inputs!$C$48,Inputs!$B$28,0))</f>
        <v/>
      </c>
      <c r="R50" s="149" t="str">
        <f>IF($A50&gt;Inputs!$C$49,"",IF($A50&lt;=Inputs!$C$48,Inputs!$B$29,0))</f>
        <v/>
      </c>
      <c r="S50" s="149" t="str">
        <f>IF($A50&gt;Inputs!$C$49,"",IF($A50&lt;=Inputs!$C$48,Inputs!$B$30,0))</f>
        <v/>
      </c>
      <c r="T50" s="149" t="str">
        <f>IF($A50&gt;Inputs!$C$49,"",SUM(Q50:S50))</f>
        <v/>
      </c>
      <c r="U50" s="149" t="str">
        <f>IF($A50&gt;Inputs!$C$49,"",F50+T50)</f>
        <v/>
      </c>
      <c r="V50" s="149" t="str">
        <f>IF($B50="","",IF(OR($B51="",ROUNDUP(($A50+1)/Inputs!$B$14,0)&gt;$B50),SUMIF($B$4:$B50,$B50,Q$4:Q50),0))</f>
        <v/>
      </c>
      <c r="W50" s="149" t="str">
        <f>IF($B50="","",IF(OR($B51="",ROUNDUP(($A50+1)/Inputs!$B$14,0)&gt;$B50),SUMIF($B$4:$B50,$B50,R$4:R50),0))</f>
        <v/>
      </c>
      <c r="X50" s="149" t="str">
        <f>IF($B50="","",IF(OR($B51="",ROUNDUP(($A50+1)/Inputs!$B$14,0)&gt;$B50),SUMIF($B$4:$B50,$B50,S$4:S50),0))</f>
        <v/>
      </c>
      <c r="Y50" s="18"/>
      <c r="Z50" s="18"/>
      <c r="AA50" s="18"/>
      <c r="AB50" s="18"/>
      <c r="AC50" s="18"/>
      <c r="AD50" s="18"/>
      <c r="AE50" s="18"/>
      <c r="AF50" s="18"/>
      <c r="AG50" s="18"/>
    </row>
    <row r="51" spans="1:33" ht="18" customHeight="1">
      <c r="A51" s="157">
        <v>48</v>
      </c>
      <c r="B51" s="77" t="str">
        <f>IF(A51&gt;Inputs!$C$49,"",ROUNDUP(A51/Inputs!$B$14,0))</f>
        <v/>
      </c>
      <c r="C51" s="160" t="str">
        <f>IF(A51&gt;Inputs!$C$49,"",IF(A51&lt;=Inputs!$C$48,"Pago normal",IF(A51&lt;Inputs!$C$49,"Mora - sin pago","Evento de cierre")))</f>
        <v/>
      </c>
      <c r="D51" s="149" t="str">
        <f>IF(A51&gt;Inputs!$C$49,"",J50)</f>
        <v/>
      </c>
      <c r="E51" s="149" t="str">
        <f>IF(A51&gt;Inputs!$C$49,"",D51*Inputs!$B$17)</f>
        <v/>
      </c>
      <c r="F51" s="149" t="str">
        <f>IF(A51&gt;Inputs!$C$49,"",IF(A51&lt;=Inputs!$C$48,MIN(Inputs!$B$20,D51+I50+E51),0))</f>
        <v/>
      </c>
      <c r="G51" s="149" t="str">
        <f>IF(A51&gt;Inputs!$C$49,"",MIN(F51,I50+E51))</f>
        <v/>
      </c>
      <c r="H51" s="149" t="str">
        <f>IF(A51&gt;Inputs!$C$49,"",MIN(MAX(0,F51-G51),D51))</f>
        <v/>
      </c>
      <c r="I51" s="149" t="str">
        <f>IF(A51&gt;Inputs!$C$49,"",IF(A51=Inputs!$C$49,0,MAX(0,I50+E51-G51)))</f>
        <v/>
      </c>
      <c r="J51" s="149" t="str">
        <f>IF(A51&gt;Inputs!$C$49,"",IF(A51=Inputs!$C$49,0,MAX(0,D51-H51)))</f>
        <v/>
      </c>
      <c r="K51" s="149" t="str">
        <f>IF(A51&gt;Inputs!$C$49,"",IF(A51&lt;=Inputs!$C$48,0,A51-Inputs!$C$48))</f>
        <v/>
      </c>
      <c r="L51" s="149">
        <f>IF(A51=Inputs!$C$49,D51+I50+E51,0)</f>
        <v>0</v>
      </c>
      <c r="M51" s="149">
        <f>IF(A51=Inputs!$C$49,Inputs!$C$47,0)</f>
        <v>0</v>
      </c>
      <c r="N51" s="149">
        <f>0</f>
        <v>0</v>
      </c>
      <c r="O51" s="149">
        <f>IF(A51=Inputs!$C$49,MAX(0,M51-L51),0)</f>
        <v>0</v>
      </c>
      <c r="P51" s="163" t="str">
        <f>IF(A51&gt;Inputs!$C$49,"",IF(A51=Inputs!$C$49,"Cerrado por evento",IF(K51&gt;0,"En mora","Vigente al día")))</f>
        <v/>
      </c>
      <c r="Q51" s="149" t="str">
        <f>IF($A51&gt;Inputs!$C$49,"",IF($A51&lt;=Inputs!$C$48,Inputs!$B$28,0))</f>
        <v/>
      </c>
      <c r="R51" s="149" t="str">
        <f>IF($A51&gt;Inputs!$C$49,"",IF($A51&lt;=Inputs!$C$48,Inputs!$B$29,0))</f>
        <v/>
      </c>
      <c r="S51" s="149" t="str">
        <f>IF($A51&gt;Inputs!$C$49,"",IF($A51&lt;=Inputs!$C$48,Inputs!$B$30,0))</f>
        <v/>
      </c>
      <c r="T51" s="149" t="str">
        <f>IF($A51&gt;Inputs!$C$49,"",SUM(Q51:S51))</f>
        <v/>
      </c>
      <c r="U51" s="149" t="str">
        <f>IF($A51&gt;Inputs!$C$49,"",F51+T51)</f>
        <v/>
      </c>
      <c r="V51" s="149" t="str">
        <f>IF($B51="","",IF(OR($B52="",ROUNDUP(($A51+1)/Inputs!$B$14,0)&gt;$B51),SUMIF($B$4:$B51,$B51,Q$4:Q51),0))</f>
        <v/>
      </c>
      <c r="W51" s="149" t="str">
        <f>IF($B51="","",IF(OR($B52="",ROUNDUP(($A51+1)/Inputs!$B$14,0)&gt;$B51),SUMIF($B$4:$B51,$B51,R$4:R51),0))</f>
        <v/>
      </c>
      <c r="X51" s="149" t="str">
        <f>IF($B51="","",IF(OR($B52="",ROUNDUP(($A51+1)/Inputs!$B$14,0)&gt;$B51),SUMIF($B$4:$B51,$B51,S$4:S51),0))</f>
        <v/>
      </c>
      <c r="Y51" s="18"/>
      <c r="Z51" s="18"/>
      <c r="AA51" s="18"/>
      <c r="AB51" s="18"/>
      <c r="AC51" s="18"/>
      <c r="AD51" s="18"/>
      <c r="AE51" s="18"/>
      <c r="AF51" s="18"/>
      <c r="AG51" s="18"/>
    </row>
    <row r="52" spans="1:33" ht="18" customHeight="1">
      <c r="A52" s="157">
        <v>49</v>
      </c>
      <c r="B52" s="77" t="str">
        <f>IF(A52&gt;Inputs!$C$49,"",ROUNDUP(A52/Inputs!$B$14,0))</f>
        <v/>
      </c>
      <c r="C52" s="160" t="str">
        <f>IF(A52&gt;Inputs!$C$49,"",IF(A52&lt;=Inputs!$C$48,"Pago normal",IF(A52&lt;Inputs!$C$49,"Mora - sin pago","Evento de cierre")))</f>
        <v/>
      </c>
      <c r="D52" s="149" t="str">
        <f>IF(A52&gt;Inputs!$C$49,"",J51)</f>
        <v/>
      </c>
      <c r="E52" s="149" t="str">
        <f>IF(A52&gt;Inputs!$C$49,"",D52*Inputs!$B$17)</f>
        <v/>
      </c>
      <c r="F52" s="149" t="str">
        <f>IF(A52&gt;Inputs!$C$49,"",IF(A52&lt;=Inputs!$C$48,MIN(Inputs!$B$20,D52+I51+E52),0))</f>
        <v/>
      </c>
      <c r="G52" s="149" t="str">
        <f>IF(A52&gt;Inputs!$C$49,"",MIN(F52,I51+E52))</f>
        <v/>
      </c>
      <c r="H52" s="149" t="str">
        <f>IF(A52&gt;Inputs!$C$49,"",MIN(MAX(0,F52-G52),D52))</f>
        <v/>
      </c>
      <c r="I52" s="149" t="str">
        <f>IF(A52&gt;Inputs!$C$49,"",IF(A52=Inputs!$C$49,0,MAX(0,I51+E52-G52)))</f>
        <v/>
      </c>
      <c r="J52" s="149" t="str">
        <f>IF(A52&gt;Inputs!$C$49,"",IF(A52=Inputs!$C$49,0,MAX(0,D52-H52)))</f>
        <v/>
      </c>
      <c r="K52" s="149" t="str">
        <f>IF(A52&gt;Inputs!$C$49,"",IF(A52&lt;=Inputs!$C$48,0,A52-Inputs!$C$48))</f>
        <v/>
      </c>
      <c r="L52" s="149">
        <f>IF(A52=Inputs!$C$49,D52+I51+E52,0)</f>
        <v>0</v>
      </c>
      <c r="M52" s="149">
        <f>IF(A52=Inputs!$C$49,Inputs!$C$47,0)</f>
        <v>0</v>
      </c>
      <c r="N52" s="149">
        <f>0</f>
        <v>0</v>
      </c>
      <c r="O52" s="149">
        <f>IF(A52=Inputs!$C$49,MAX(0,M52-L52),0)</f>
        <v>0</v>
      </c>
      <c r="P52" s="163" t="str">
        <f>IF(A52&gt;Inputs!$C$49,"",IF(A52=Inputs!$C$49,"Cerrado por evento",IF(K52&gt;0,"En mora","Vigente al día")))</f>
        <v/>
      </c>
      <c r="Q52" s="149" t="str">
        <f>IF($A52&gt;Inputs!$C$49,"",IF($A52&lt;=Inputs!$C$48,Inputs!$B$28,0))</f>
        <v/>
      </c>
      <c r="R52" s="149" t="str">
        <f>IF($A52&gt;Inputs!$C$49,"",IF($A52&lt;=Inputs!$C$48,Inputs!$B$29,0))</f>
        <v/>
      </c>
      <c r="S52" s="149" t="str">
        <f>IF($A52&gt;Inputs!$C$49,"",IF($A52&lt;=Inputs!$C$48,Inputs!$B$30,0))</f>
        <v/>
      </c>
      <c r="T52" s="149" t="str">
        <f>IF($A52&gt;Inputs!$C$49,"",SUM(Q52:S52))</f>
        <v/>
      </c>
      <c r="U52" s="149" t="str">
        <f>IF($A52&gt;Inputs!$C$49,"",F52+T52)</f>
        <v/>
      </c>
      <c r="V52" s="149" t="str">
        <f>IF($B52="","",IF(OR($B53="",ROUNDUP(($A52+1)/Inputs!$B$14,0)&gt;$B52),SUMIF($B$4:$B52,$B52,Q$4:Q52),0))</f>
        <v/>
      </c>
      <c r="W52" s="149" t="str">
        <f>IF($B52="","",IF(OR($B53="",ROUNDUP(($A52+1)/Inputs!$B$14,0)&gt;$B52),SUMIF($B$4:$B52,$B52,R$4:R52),0))</f>
        <v/>
      </c>
      <c r="X52" s="149" t="str">
        <f>IF($B52="","",IF(OR($B53="",ROUNDUP(($A52+1)/Inputs!$B$14,0)&gt;$B52),SUMIF($B$4:$B52,$B52,S$4:S52),0))</f>
        <v/>
      </c>
      <c r="Y52" s="18"/>
      <c r="Z52" s="18"/>
      <c r="AA52" s="18"/>
      <c r="AB52" s="18"/>
      <c r="AC52" s="18"/>
      <c r="AD52" s="18"/>
      <c r="AE52" s="18"/>
      <c r="AF52" s="18"/>
      <c r="AG52" s="18"/>
    </row>
    <row r="53" spans="1:33" ht="18" customHeight="1">
      <c r="A53" s="158">
        <v>50</v>
      </c>
      <c r="B53" s="78" t="str">
        <f>IF(A53&gt;Inputs!$C$49,"",ROUNDUP(A53/Inputs!$B$14,0))</f>
        <v/>
      </c>
      <c r="C53" s="161" t="str">
        <f>IF(A53&gt;Inputs!$C$49,"",IF(A53&lt;=Inputs!$C$48,"Pago normal",IF(A53&lt;Inputs!$C$49,"Mora - sin pago","Evento de cierre")))</f>
        <v/>
      </c>
      <c r="D53" s="151" t="str">
        <f>IF(A53&gt;Inputs!$C$49,"",J52)</f>
        <v/>
      </c>
      <c r="E53" s="151" t="str">
        <f>IF(A53&gt;Inputs!$C$49,"",D53*Inputs!$B$17)</f>
        <v/>
      </c>
      <c r="F53" s="151" t="str">
        <f>IF(A53&gt;Inputs!$C$49,"",IF(A53&lt;=Inputs!$C$48,MIN(Inputs!$B$20,D53+I52+E53),0))</f>
        <v/>
      </c>
      <c r="G53" s="151" t="str">
        <f>IF(A53&gt;Inputs!$C$49,"",MIN(F53,I52+E53))</f>
        <v/>
      </c>
      <c r="H53" s="151" t="str">
        <f>IF(A53&gt;Inputs!$C$49,"",MIN(MAX(0,F53-G53),D53))</f>
        <v/>
      </c>
      <c r="I53" s="151" t="str">
        <f>IF(A53&gt;Inputs!$C$49,"",IF(A53=Inputs!$C$49,0,MAX(0,I52+E53-G53)))</f>
        <v/>
      </c>
      <c r="J53" s="151" t="str">
        <f>IF(A53&gt;Inputs!$C$49,"",IF(A53=Inputs!$C$49,0,MAX(0,D53-H53)))</f>
        <v/>
      </c>
      <c r="K53" s="151" t="str">
        <f>IF(A53&gt;Inputs!$C$49,"",IF(A53&lt;=Inputs!$C$48,0,A53-Inputs!$C$48))</f>
        <v/>
      </c>
      <c r="L53" s="151">
        <f>IF(A53=Inputs!$C$49,D53+I52+E53,0)</f>
        <v>0</v>
      </c>
      <c r="M53" s="151">
        <f>IF(A53=Inputs!$C$49,Inputs!$C$47,0)</f>
        <v>0</v>
      </c>
      <c r="N53" s="151">
        <f>0</f>
        <v>0</v>
      </c>
      <c r="O53" s="151">
        <f>IF(A53=Inputs!$C$49,MAX(0,M53-L53),0)</f>
        <v>0</v>
      </c>
      <c r="P53" s="164" t="str">
        <f>IF(A53&gt;Inputs!$C$49,"",IF(A53=Inputs!$C$49,"Cerrado por evento",IF(K53&gt;0,"En mora","Vigente al día")))</f>
        <v/>
      </c>
      <c r="Q53" s="151" t="str">
        <f>IF($A53&gt;Inputs!$C$49,"",IF($A53&lt;=Inputs!$C$48,Inputs!$B$28,0))</f>
        <v/>
      </c>
      <c r="R53" s="151" t="str">
        <f>IF($A53&gt;Inputs!$C$49,"",IF($A53&lt;=Inputs!$C$48,Inputs!$B$29,0))</f>
        <v/>
      </c>
      <c r="S53" s="151" t="str">
        <f>IF($A53&gt;Inputs!$C$49,"",IF($A53&lt;=Inputs!$C$48,Inputs!$B$30,0))</f>
        <v/>
      </c>
      <c r="T53" s="151" t="str">
        <f>IF($A53&gt;Inputs!$C$49,"",SUM(Q53:S53))</f>
        <v/>
      </c>
      <c r="U53" s="151" t="str">
        <f>IF($A53&gt;Inputs!$C$49,"",F53+T53)</f>
        <v/>
      </c>
      <c r="V53" s="151" t="str">
        <f>IF($B53="","",IF(OR($B54="",ROUNDUP(($A53+1)/Inputs!$B$14,0)&gt;$B53),SUMIF($B$4:$B53,$B53,Q$4:Q53),0))</f>
        <v/>
      </c>
      <c r="W53" s="151" t="str">
        <f>IF($B53="","",IF(OR($B54="",ROUNDUP(($A53+1)/Inputs!$B$14,0)&gt;$B53),SUMIF($B$4:$B53,$B53,R$4:R53),0))</f>
        <v/>
      </c>
      <c r="X53" s="151" t="str">
        <f>IF($B53="","",IF(OR($B54="",ROUNDUP(($A53+1)/Inputs!$B$14,0)&gt;$B53),SUMIF($B$4:$B53,$B53,S$4:S53),0))</f>
        <v/>
      </c>
      <c r="Y53" s="18"/>
      <c r="Z53" s="18"/>
      <c r="AA53" s="18"/>
      <c r="AB53" s="18"/>
      <c r="AC53" s="18"/>
      <c r="AD53" s="18"/>
      <c r="AE53" s="18"/>
      <c r="AF53" s="18"/>
      <c r="AG53" s="18"/>
    </row>
    <row r="54" spans="1:33" ht="18" customHeight="1">
      <c r="A54" s="119"/>
      <c r="B54" s="119"/>
      <c r="C54" s="129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19"/>
      <c r="Q54" s="119"/>
      <c r="R54" s="119"/>
      <c r="S54" s="119"/>
      <c r="T54" s="119"/>
      <c r="U54" s="119"/>
      <c r="V54" s="119"/>
      <c r="W54" s="119"/>
      <c r="X54" s="119"/>
      <c r="Y54" s="18"/>
      <c r="Z54" s="18"/>
      <c r="AA54" s="18"/>
      <c r="AB54" s="18"/>
      <c r="AC54" s="18"/>
      <c r="AD54" s="18"/>
      <c r="AE54" s="18"/>
      <c r="AF54" s="18"/>
      <c r="AG54" s="18"/>
    </row>
    <row r="55" spans="1:33" ht="18" customHeight="1">
      <c r="A55" s="119"/>
      <c r="B55" s="119"/>
      <c r="C55" s="129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19"/>
      <c r="Q55" s="119"/>
      <c r="R55" s="119"/>
      <c r="S55" s="119"/>
      <c r="T55" s="119"/>
      <c r="U55" s="119"/>
      <c r="V55" s="119"/>
      <c r="W55" s="119"/>
      <c r="X55" s="119"/>
      <c r="Y55" s="18"/>
      <c r="Z55" s="18"/>
      <c r="AA55" s="18"/>
      <c r="AB55" s="18"/>
      <c r="AC55" s="18"/>
      <c r="AD55" s="18"/>
      <c r="AE55" s="18"/>
      <c r="AF55" s="18"/>
      <c r="AG55" s="18"/>
    </row>
    <row r="56" spans="1:33" ht="18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spans="1:33" ht="18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spans="1:33" ht="18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spans="1:33" ht="18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spans="1:33" ht="18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</sheetData>
  <conditionalFormatting sqref="A4:X53">
    <cfRule type="expression" dxfId="53" priority="1">
      <formula>AND($C4&lt;&gt;"",$C4&lt;&gt;"Pago normal")</formula>
    </cfRule>
    <cfRule type="expression" dxfId="52" priority="2">
      <formula>AND(ISNUMBER($A4),MOD($A4,2)=0)</formula>
    </cfRule>
  </conditionalFormatting>
  <conditionalFormatting sqref="P4:P53">
    <cfRule type="containsText" dxfId="51" priority="3" operator="containsText" text="mora">
      <formula>NOT(ISERROR(SEARCH("mora",P4)))</formula>
    </cfRule>
    <cfRule type="containsText" dxfId="50" priority="4" operator="containsText" text="Vigente">
      <formula>NOT(ISERROR(SEARCH("Vigente",P4)))</formula>
    </cfRule>
    <cfRule type="containsText" dxfId="49" priority="5" operator="containsText" text="Amortiz">
      <formula>NOT(ISERROR(SEARCH("Amortiz",P4)))</formula>
    </cfRule>
    <cfRule type="containsText" dxfId="48" priority="6" operator="containsText" text="Cerrado">
      <formula>NOT(ISERROR(SEARCH("Cerrado",P4)))</formula>
    </cfRule>
    <cfRule type="containsText" dxfId="47" priority="7" operator="containsText" text="Cancel">
      <formula>NOT(ISERROR(SEARCH("Cancel",P4)))</formula>
    </cfRule>
  </conditionalFormatting>
  <conditionalFormatting sqref="AC18">
    <cfRule type="expression" dxfId="46" priority="8">
      <formula>ABS(AC18)&lt;0.5</formula>
    </cfRule>
    <cfRule type="expression" dxfId="45" priority="9">
      <formula>ABS(AC18)&gt;=0.5</formula>
    </cfRule>
  </conditionalFormatting>
  <hyperlinks>
    <hyperlink ref="Z21" location="'Casos'!A1" tooltip="Abrir Casos" display="←  Volver a Casos" xr:uid="{B1AB361E-FF27-4F4A-944E-66CE40B58822}"/>
    <hyperlink ref="Z22" location="'Inputs'!A1" tooltip="Abrir Inputs" display="←  Ir a Inputs (parámetros)" xr:uid="{7FB2F7B3-703C-4CC6-A772-59158AD6E6E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58"/>
  <sheetViews>
    <sheetView showGridLines="0" workbookViewId="0">
      <pane ySplit="2" topLeftCell="A3" activePane="bottomLeft" state="frozen"/>
      <selection pane="bottomLeft" activeCell="A8" sqref="A8"/>
    </sheetView>
  </sheetViews>
  <sheetFormatPr baseColWidth="10" defaultColWidth="8.796875" defaultRowHeight="15" customHeight="1"/>
  <cols>
    <col min="1" max="2" width="9.69921875" style="6" customWidth="1"/>
    <col min="3" max="3" width="25" style="6" customWidth="1"/>
    <col min="4" max="9" width="16.69921875" style="6" customWidth="1"/>
    <col min="10" max="18" width="20" style="6" customWidth="1"/>
    <col min="19" max="19" width="3" style="6" customWidth="1"/>
    <col min="20" max="20" width="38.296875" style="6" customWidth="1"/>
    <col min="21" max="22" width="20" style="6" customWidth="1"/>
    <col min="23" max="23" width="55" style="6" customWidth="1"/>
    <col min="24" max="31" width="10.69921875" style="6" customWidth="1"/>
    <col min="32" max="32" width="11.69921875" style="6" bestFit="1" customWidth="1"/>
    <col min="33" max="33" width="9" style="6" bestFit="1" customWidth="1"/>
    <col min="34" max="16384" width="8.796875" style="6"/>
  </cols>
  <sheetData>
    <row r="1" spans="1:31" ht="34.049999999999997" customHeight="1">
      <c r="A1" s="148" t="s">
        <v>342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8"/>
      <c r="T1" s="115" t="s">
        <v>336</v>
      </c>
      <c r="U1" s="23"/>
      <c r="V1" s="23"/>
      <c r="W1" s="23"/>
      <c r="X1" s="18"/>
      <c r="Y1" s="18"/>
      <c r="Z1" s="18"/>
      <c r="AA1" s="18"/>
      <c r="AB1" s="18"/>
      <c r="AC1" s="18"/>
      <c r="AD1" s="18"/>
      <c r="AE1" s="18"/>
    </row>
    <row r="2" spans="1:31" ht="34.049999999999997" customHeight="1">
      <c r="A2" s="140" t="s">
        <v>76</v>
      </c>
      <c r="B2" s="141" t="s">
        <v>77</v>
      </c>
      <c r="C2" s="141" t="s">
        <v>78</v>
      </c>
      <c r="D2" s="141" t="s">
        <v>79</v>
      </c>
      <c r="E2" s="141" t="s">
        <v>111</v>
      </c>
      <c r="F2" s="141" t="s">
        <v>136</v>
      </c>
      <c r="G2" s="141" t="s">
        <v>139</v>
      </c>
      <c r="H2" s="141" t="s">
        <v>137</v>
      </c>
      <c r="I2" s="141" t="s">
        <v>86</v>
      </c>
      <c r="J2" s="142" t="s">
        <v>90</v>
      </c>
      <c r="K2" s="141" t="s">
        <v>82</v>
      </c>
      <c r="L2" s="141" t="s">
        <v>83</v>
      </c>
      <c r="M2" s="141" t="s">
        <v>84</v>
      </c>
      <c r="N2" s="141" t="s">
        <v>9</v>
      </c>
      <c r="O2" s="141" t="s">
        <v>85</v>
      </c>
      <c r="P2" s="141" t="s">
        <v>87</v>
      </c>
      <c r="Q2" s="141" t="s">
        <v>88</v>
      </c>
      <c r="R2" s="141" t="s">
        <v>89</v>
      </c>
      <c r="S2" s="18"/>
      <c r="T2" s="110" t="s">
        <v>52</v>
      </c>
      <c r="U2" s="180">
        <f>Inputs!$C$51</f>
        <v>43</v>
      </c>
      <c r="V2" s="66"/>
      <c r="W2" s="66"/>
      <c r="X2" s="18"/>
      <c r="Y2" s="18"/>
      <c r="Z2" s="18"/>
      <c r="AA2" s="18"/>
      <c r="AB2" s="18"/>
      <c r="AC2" s="18"/>
      <c r="AD2" s="18"/>
      <c r="AE2" s="18"/>
    </row>
    <row r="3" spans="1:31" ht="18" customHeight="1">
      <c r="A3" s="155">
        <v>0</v>
      </c>
      <c r="B3" s="156">
        <v>0</v>
      </c>
      <c r="C3" s="159" t="s">
        <v>92</v>
      </c>
      <c r="D3" s="153">
        <f>Inputs!$B$3</f>
        <v>5904400</v>
      </c>
      <c r="E3" s="153">
        <v>0</v>
      </c>
      <c r="F3" s="153">
        <v>0</v>
      </c>
      <c r="G3" s="153">
        <v>0</v>
      </c>
      <c r="H3" s="153">
        <v>0</v>
      </c>
      <c r="I3" s="153">
        <f>D3</f>
        <v>5904400</v>
      </c>
      <c r="J3" s="162" t="s">
        <v>93</v>
      </c>
      <c r="K3" s="153">
        <v>0</v>
      </c>
      <c r="L3" s="153">
        <v>0</v>
      </c>
      <c r="M3" s="153">
        <v>0</v>
      </c>
      <c r="N3" s="153">
        <v>0</v>
      </c>
      <c r="O3" s="153">
        <v>0</v>
      </c>
      <c r="P3" s="153">
        <v>0</v>
      </c>
      <c r="Q3" s="153">
        <v>0</v>
      </c>
      <c r="R3" s="153">
        <v>0</v>
      </c>
      <c r="S3" s="18"/>
      <c r="T3" s="111" t="s">
        <v>135</v>
      </c>
      <c r="U3" s="167">
        <f>INDEX(D4:D53,Inputs!$C$51)</f>
        <v>3766846.5117740124</v>
      </c>
      <c r="V3" s="146"/>
      <c r="W3" s="146"/>
      <c r="X3" s="18"/>
      <c r="Y3" s="18"/>
      <c r="Z3" s="18"/>
      <c r="AA3" s="18"/>
      <c r="AB3" s="18"/>
      <c r="AC3" s="18"/>
      <c r="AD3" s="18"/>
      <c r="AE3" s="18"/>
    </row>
    <row r="4" spans="1:31" ht="18" customHeight="1">
      <c r="A4" s="157">
        <v>1</v>
      </c>
      <c r="B4" s="77">
        <f>IF(A4&gt;Inputs!$C$51,"",ROUNDUP(A4/Inputs!$B$14,0))</f>
        <v>1</v>
      </c>
      <c r="C4" s="160" t="str">
        <f>IF(A4&gt;Inputs!$C$51,"",IF(A4=Inputs!$C$51,"Cuota + prepago total","Pago normal"))</f>
        <v>Pago normal</v>
      </c>
      <c r="D4" s="149">
        <f>IF(A4&gt;Inputs!$C$51,"",I3)</f>
        <v>5904400</v>
      </c>
      <c r="E4" s="149">
        <f>IF(A4&gt;Inputs!$C$51,"",D4*Inputs!$B$17)</f>
        <v>71698.876787700196</v>
      </c>
      <c r="F4" s="149">
        <f>IF(A4&gt;Inputs!$C$51,"",MIN(Inputs!$B$20,D4+E4))</f>
        <v>111014.82187676849</v>
      </c>
      <c r="G4" s="149">
        <f>IF(A4&gt;Inputs!$C$51,"",MIN(D4,F4-E4))</f>
        <v>39315.945089068293</v>
      </c>
      <c r="H4" s="149">
        <f>IF(A4=Inputs!$C$51,MAX(0,D4-G4),0)</f>
        <v>0</v>
      </c>
      <c r="I4" s="149">
        <f>IF(A4&gt;Inputs!$C$51,"",MAX(0,D4-G4-H4))</f>
        <v>5865084.0549109317</v>
      </c>
      <c r="J4" s="163" t="str">
        <f>IF(A4&gt;Inputs!$C$51,"",IF(I4&lt;=0.005,"Cancelado","Vigente al día"))</f>
        <v>Vigente al día</v>
      </c>
      <c r="K4" s="149">
        <f>IF($A4&gt;Inputs!$C$51,"",Inputs!$B$28)</f>
        <v>48643.172307692315</v>
      </c>
      <c r="L4" s="149">
        <f>IF($A4&gt;Inputs!$C$51,"",Inputs!$B$29)</f>
        <v>10984.615384615387</v>
      </c>
      <c r="M4" s="149">
        <f>IF($A4&gt;Inputs!$C$51,"",Inputs!$B$30)</f>
        <v>3406.3846153846157</v>
      </c>
      <c r="N4" s="149">
        <f>IF($A4&gt;Inputs!$C$51,"",SUM(K4:M4))</f>
        <v>63034.172307692315</v>
      </c>
      <c r="O4" s="149">
        <f>IF($A4&gt;Inputs!$C$51,"",F4+H4+N4)</f>
        <v>174048.99418446081</v>
      </c>
      <c r="P4" s="149">
        <f>IF($B4="","",IF(OR($B5="",ROUNDUP(($A4+1)/Inputs!$B$14,0)&gt;$B4),SUMIF($B$4:$B4,$B4,K$4:K4),0))</f>
        <v>0</v>
      </c>
      <c r="Q4" s="149">
        <f>IF($B4="","",IF(OR($B5="",ROUNDUP(($A4+1)/Inputs!$B$14,0)&gt;$B4),SUMIF($B$4:$B4,$B4,L$4:L4),0))</f>
        <v>0</v>
      </c>
      <c r="R4" s="149">
        <f>IF($B4="","",IF(OR($B5="",ROUNDUP(($A4+1)/Inputs!$B$14,0)&gt;$B4),SUMIF($B$4:$B4,$B4,M$4:M4),0))</f>
        <v>0</v>
      </c>
      <c r="S4" s="18"/>
      <c r="T4" s="111" t="s">
        <v>136</v>
      </c>
      <c r="U4" s="167">
        <f>INDEX(F4:F53,Inputs!$C$51)</f>
        <v>111014.82187676849</v>
      </c>
      <c r="V4" s="146"/>
      <c r="W4" s="146"/>
      <c r="X4" s="18"/>
      <c r="Y4" s="18"/>
      <c r="Z4" s="18"/>
      <c r="AA4" s="18"/>
      <c r="AB4" s="18"/>
      <c r="AC4" s="18"/>
      <c r="AD4" s="18"/>
      <c r="AE4" s="18"/>
    </row>
    <row r="5" spans="1:31" ht="18" customHeight="1">
      <c r="A5" s="157">
        <v>2</v>
      </c>
      <c r="B5" s="77">
        <f>IF(A5&gt;Inputs!$C$51,"",ROUNDUP(A5/Inputs!$B$14,0))</f>
        <v>1</v>
      </c>
      <c r="C5" s="160" t="str">
        <f>IF(A5&gt;Inputs!$C$51,"",IF(A5=Inputs!$C$51,"Cuota + prepago total","Pago normal"))</f>
        <v>Pago normal</v>
      </c>
      <c r="D5" s="149">
        <f>IF(A5&gt;Inputs!$C$51,"",I4)</f>
        <v>5865084.0549109317</v>
      </c>
      <c r="E5" s="149">
        <f>IF(A5&gt;Inputs!$C$51,"",D5*Inputs!$B$17)</f>
        <v>71221.451629727657</v>
      </c>
      <c r="F5" s="149">
        <f>IF(A5&gt;Inputs!$C$51,"",MIN(Inputs!$B$20,D5+E5))</f>
        <v>111014.82187676849</v>
      </c>
      <c r="G5" s="149">
        <f>IF(A5&gt;Inputs!$C$51,"",MIN(D5,F5-E5))</f>
        <v>39793.370247040832</v>
      </c>
      <c r="H5" s="149">
        <f>IF(A5=Inputs!$C$51,MAX(0,D5-G5),0)</f>
        <v>0</v>
      </c>
      <c r="I5" s="149">
        <f>IF(A5&gt;Inputs!$C$51,"",MAX(0,D5-G5-H5))</f>
        <v>5825290.6846638909</v>
      </c>
      <c r="J5" s="163" t="str">
        <f>IF(A5&gt;Inputs!$C$51,"",IF(I5&lt;=0.005,"Cancelado","Vigente al día"))</f>
        <v>Vigente al día</v>
      </c>
      <c r="K5" s="149">
        <f>IF($A5&gt;Inputs!$C$51,"",Inputs!$B$28)</f>
        <v>48643.172307692315</v>
      </c>
      <c r="L5" s="149">
        <f>IF($A5&gt;Inputs!$C$51,"",Inputs!$B$29)</f>
        <v>10984.615384615387</v>
      </c>
      <c r="M5" s="149">
        <f>IF($A5&gt;Inputs!$C$51,"",Inputs!$B$30)</f>
        <v>3406.3846153846157</v>
      </c>
      <c r="N5" s="149">
        <f>IF($A5&gt;Inputs!$C$51,"",SUM(K5:M5))</f>
        <v>63034.172307692315</v>
      </c>
      <c r="O5" s="149">
        <f>IF($A5&gt;Inputs!$C$51,"",F5+H5+N5)</f>
        <v>174048.99418446081</v>
      </c>
      <c r="P5" s="149">
        <f>IF($B5="","",IF(OR($B6="",ROUNDUP(($A5+1)/Inputs!$B$14,0)&gt;$B5),SUMIF($B$4:$B5,$B5,K$4:K5),0))</f>
        <v>0</v>
      </c>
      <c r="Q5" s="149">
        <f>IF($B5="","",IF(OR($B6="",ROUNDUP(($A5+1)/Inputs!$B$14,0)&gt;$B5),SUMIF($B$4:$B5,$B5,L$4:L5),0))</f>
        <v>0</v>
      </c>
      <c r="R5" s="149">
        <f>IF($B5="","",IF(OR($B6="",ROUNDUP(($A5+1)/Inputs!$B$14,0)&gt;$B5),SUMIF($B$4:$B5,$B5,M$4:M5),0))</f>
        <v>0</v>
      </c>
      <c r="S5" s="18"/>
      <c r="T5" s="111" t="s">
        <v>137</v>
      </c>
      <c r="U5" s="167">
        <f>INDEX(H4:H53,Inputs!$C$51)</f>
        <v>3701573.6220031078</v>
      </c>
      <c r="V5" s="146"/>
      <c r="W5" s="146"/>
      <c r="X5" s="18"/>
      <c r="Y5" s="18"/>
      <c r="Z5" s="18"/>
      <c r="AA5" s="18"/>
      <c r="AB5" s="18"/>
      <c r="AC5" s="18"/>
      <c r="AD5" s="18"/>
      <c r="AE5" s="18"/>
    </row>
    <row r="6" spans="1:31" ht="18" customHeight="1">
      <c r="A6" s="157">
        <v>3</v>
      </c>
      <c r="B6" s="77">
        <f>IF(A6&gt;Inputs!$C$51,"",ROUNDUP(A6/Inputs!$B$14,0))</f>
        <v>1</v>
      </c>
      <c r="C6" s="160" t="str">
        <f>IF(A6&gt;Inputs!$C$51,"",IF(A6=Inputs!$C$51,"Cuota + prepago total","Pago normal"))</f>
        <v>Pago normal</v>
      </c>
      <c r="D6" s="149">
        <f>IF(A6&gt;Inputs!$C$51,"",I5)</f>
        <v>5825290.6846638909</v>
      </c>
      <c r="E6" s="149">
        <f>IF(A6&gt;Inputs!$C$51,"",D6*Inputs!$B$17)</f>
        <v>70738.228956753272</v>
      </c>
      <c r="F6" s="149">
        <f>IF(A6&gt;Inputs!$C$51,"",MIN(Inputs!$B$20,D6+E6))</f>
        <v>111014.82187676849</v>
      </c>
      <c r="G6" s="149">
        <f>IF(A6&gt;Inputs!$C$51,"",MIN(D6,F6-E6))</f>
        <v>40276.592920015217</v>
      </c>
      <c r="H6" s="149">
        <f>IF(A6=Inputs!$C$51,MAX(0,D6-G6),0)</f>
        <v>0</v>
      </c>
      <c r="I6" s="149">
        <f>IF(A6&gt;Inputs!$C$51,"",MAX(0,D6-G6-H6))</f>
        <v>5785014.0917438753</v>
      </c>
      <c r="J6" s="163" t="str">
        <f>IF(A6&gt;Inputs!$C$51,"",IF(I6&lt;=0.005,"Cancelado","Vigente al día"))</f>
        <v>Vigente al día</v>
      </c>
      <c r="K6" s="149">
        <f>IF($A6&gt;Inputs!$C$51,"",Inputs!$B$28)</f>
        <v>48643.172307692315</v>
      </c>
      <c r="L6" s="149">
        <f>IF($A6&gt;Inputs!$C$51,"",Inputs!$B$29)</f>
        <v>10984.615384615387</v>
      </c>
      <c r="M6" s="149">
        <f>IF($A6&gt;Inputs!$C$51,"",Inputs!$B$30)</f>
        <v>3406.3846153846157</v>
      </c>
      <c r="N6" s="149">
        <f>IF($A6&gt;Inputs!$C$51,"",SUM(K6:M6))</f>
        <v>63034.172307692315</v>
      </c>
      <c r="O6" s="149">
        <f>IF($A6&gt;Inputs!$C$51,"",F6+H6+N6)</f>
        <v>174048.99418446081</v>
      </c>
      <c r="P6" s="149">
        <f>IF($B6="","",IF(OR($B7="",ROUNDUP(($A6+1)/Inputs!$B$14,0)&gt;$B6),SUMIF($B$4:$B6,$B6,K$4:K6),0))</f>
        <v>0</v>
      </c>
      <c r="Q6" s="149">
        <f>IF($B6="","",IF(OR($B7="",ROUNDUP(($A6+1)/Inputs!$B$14,0)&gt;$B6),SUMIF($B$4:$B6,$B6,L$4:L6),0))</f>
        <v>0</v>
      </c>
      <c r="R6" s="149">
        <f>IF($B6="","",IF(OR($B7="",ROUNDUP(($A6+1)/Inputs!$B$14,0)&gt;$B6),SUMIF($B$4:$B6,$B6,M$4:M6),0))</f>
        <v>0</v>
      </c>
      <c r="S6" s="18"/>
      <c r="T6" s="111" t="s">
        <v>138</v>
      </c>
      <c r="U6" s="167">
        <f>INDEX(F4:F53,Inputs!$C$51)+INDEX(H4:H53,Inputs!$C$51)</f>
        <v>3812588.4438798763</v>
      </c>
      <c r="V6" s="146"/>
      <c r="W6" s="146"/>
      <c r="X6" s="18"/>
      <c r="Y6" s="18"/>
      <c r="Z6" s="18"/>
      <c r="AA6" s="18"/>
      <c r="AB6" s="18"/>
      <c r="AC6" s="18"/>
      <c r="AD6" s="18"/>
      <c r="AE6" s="18"/>
    </row>
    <row r="7" spans="1:31" ht="18" customHeight="1">
      <c r="A7" s="157">
        <v>4</v>
      </c>
      <c r="B7" s="77">
        <f>IF(A7&gt;Inputs!$C$51,"",ROUNDUP(A7/Inputs!$B$14,0))</f>
        <v>1</v>
      </c>
      <c r="C7" s="160" t="str">
        <f>IF(A7&gt;Inputs!$C$51,"",IF(A7=Inputs!$C$51,"Cuota + prepago total","Pago normal"))</f>
        <v>Pago normal</v>
      </c>
      <c r="D7" s="149">
        <f>IF(A7&gt;Inputs!$C$51,"",I6)</f>
        <v>5785014.0917438753</v>
      </c>
      <c r="E7" s="149">
        <f>IF(A7&gt;Inputs!$C$51,"",D7*Inputs!$B$17)</f>
        <v>70249.138367836436</v>
      </c>
      <c r="F7" s="149">
        <f>IF(A7&gt;Inputs!$C$51,"",MIN(Inputs!$B$20,D7+E7))</f>
        <v>111014.82187676849</v>
      </c>
      <c r="G7" s="149">
        <f>IF(A7&gt;Inputs!$C$51,"",MIN(D7,F7-E7))</f>
        <v>40765.683508932052</v>
      </c>
      <c r="H7" s="149">
        <f>IF(A7=Inputs!$C$51,MAX(0,D7-G7),0)</f>
        <v>0</v>
      </c>
      <c r="I7" s="149">
        <f>IF(A7&gt;Inputs!$C$51,"",MAX(0,D7-G7-H7))</f>
        <v>5744248.4082349436</v>
      </c>
      <c r="J7" s="163" t="str">
        <f>IF(A7&gt;Inputs!$C$51,"",IF(I7&lt;=0.005,"Cancelado","Vigente al día"))</f>
        <v>Vigente al día</v>
      </c>
      <c r="K7" s="149">
        <f>IF($A7&gt;Inputs!$C$51,"",Inputs!$B$28)</f>
        <v>48643.172307692315</v>
      </c>
      <c r="L7" s="149">
        <f>IF($A7&gt;Inputs!$C$51,"",Inputs!$B$29)</f>
        <v>10984.615384615387</v>
      </c>
      <c r="M7" s="149">
        <f>IF($A7&gt;Inputs!$C$51,"",Inputs!$B$30)</f>
        <v>3406.3846153846157</v>
      </c>
      <c r="N7" s="149">
        <f>IF($A7&gt;Inputs!$C$51,"",SUM(K7:M7))</f>
        <v>63034.172307692315</v>
      </c>
      <c r="O7" s="149">
        <f>IF($A7&gt;Inputs!$C$51,"",F7+H7+N7)</f>
        <v>174048.99418446081</v>
      </c>
      <c r="P7" s="149">
        <f>IF($B7="","",IF(OR($B8="",ROUNDUP(($A7+1)/Inputs!$B$14,0)&gt;$B7),SUMIF($B$4:$B7,$B7,K$4:K7),0))</f>
        <v>194572.68923076926</v>
      </c>
      <c r="Q7" s="149">
        <f>IF($B7="","",IF(OR($B8="",ROUNDUP(($A7+1)/Inputs!$B$14,0)&gt;$B7),SUMIF($B$4:$B7,$B7,L$4:L7),0))</f>
        <v>43938.461538461546</v>
      </c>
      <c r="R7" s="149">
        <f>IF($B7="","",IF(OR($B8="",ROUNDUP(($A7+1)/Inputs!$B$14,0)&gt;$B7),SUMIF($B$4:$B7,$B7,M$4:M7),0))</f>
        <v>13625.538461538463</v>
      </c>
      <c r="S7" s="18"/>
      <c r="T7" s="111" t="s">
        <v>140</v>
      </c>
      <c r="U7" s="167">
        <f>SUMIF(Caso1_Normal!A4:A89,"&gt;"&amp;Inputs!$C$51,Caso1_Normal!F4:F89)</f>
        <v>1072063.7186979419</v>
      </c>
      <c r="V7" s="146"/>
      <c r="W7" s="146"/>
      <c r="X7" s="18"/>
      <c r="Y7" s="18"/>
      <c r="Z7" s="18"/>
      <c r="AA7" s="18"/>
      <c r="AB7" s="18"/>
      <c r="AC7" s="18"/>
      <c r="AD7" s="18"/>
      <c r="AE7" s="18"/>
    </row>
    <row r="8" spans="1:31" ht="18" customHeight="1">
      <c r="A8" s="157">
        <v>5</v>
      </c>
      <c r="B8" s="77">
        <f>IF(A8&gt;Inputs!$C$51,"",ROUNDUP(A8/Inputs!$B$14,0))</f>
        <v>2</v>
      </c>
      <c r="C8" s="160" t="str">
        <f>IF(A8&gt;Inputs!$C$51,"",IF(A8=Inputs!$C$51,"Cuota + prepago total","Pago normal"))</f>
        <v>Pago normal</v>
      </c>
      <c r="D8" s="149">
        <f>IF(A8&gt;Inputs!$C$51,"",I7)</f>
        <v>5744248.4082349436</v>
      </c>
      <c r="E8" s="149">
        <f>IF(A8&gt;Inputs!$C$51,"",D8*Inputs!$B$17)</f>
        <v>69754.108607137081</v>
      </c>
      <c r="F8" s="149">
        <f>IF(A8&gt;Inputs!$C$51,"",MIN(Inputs!$B$20,D8+E8))</f>
        <v>111014.82187676849</v>
      </c>
      <c r="G8" s="149">
        <f>IF(A8&gt;Inputs!$C$51,"",MIN(D8,F8-E8))</f>
        <v>41260.713269631407</v>
      </c>
      <c r="H8" s="149">
        <f>IF(A8=Inputs!$C$51,MAX(0,D8-G8),0)</f>
        <v>0</v>
      </c>
      <c r="I8" s="149">
        <f>IF(A8&gt;Inputs!$C$51,"",MAX(0,D8-G8-H8))</f>
        <v>5702987.6949653123</v>
      </c>
      <c r="J8" s="163" t="str">
        <f>IF(A8&gt;Inputs!$C$51,"",IF(I8&lt;=0.005,"Cancelado","Vigente al día"))</f>
        <v>Vigente al día</v>
      </c>
      <c r="K8" s="149">
        <f>IF($A8&gt;Inputs!$C$51,"",Inputs!$B$28)</f>
        <v>48643.172307692315</v>
      </c>
      <c r="L8" s="149">
        <f>IF($A8&gt;Inputs!$C$51,"",Inputs!$B$29)</f>
        <v>10984.615384615387</v>
      </c>
      <c r="M8" s="149">
        <f>IF($A8&gt;Inputs!$C$51,"",Inputs!$B$30)</f>
        <v>3406.3846153846157</v>
      </c>
      <c r="N8" s="149">
        <f>IF($A8&gt;Inputs!$C$51,"",SUM(K8:M8))</f>
        <v>63034.172307692315</v>
      </c>
      <c r="O8" s="149">
        <f>IF($A8&gt;Inputs!$C$51,"",F8+H8+N8)</f>
        <v>174048.99418446081</v>
      </c>
      <c r="P8" s="149">
        <f>IF($B8="","",IF(OR($B9="",ROUNDUP(($A8+1)/Inputs!$B$14,0)&gt;$B8),SUMIF($B$4:$B8,$B8,K$4:K8),0))</f>
        <v>0</v>
      </c>
      <c r="Q8" s="149">
        <f>IF($B8="","",IF(OR($B9="",ROUNDUP(($A8+1)/Inputs!$B$14,0)&gt;$B8),SUMIF($B$4:$B8,$B8,L$4:L8),0))</f>
        <v>0</v>
      </c>
      <c r="R8" s="149">
        <f>IF($B8="","",IF(OR($B9="",ROUNDUP(($A8+1)/Inputs!$B$14,0)&gt;$B8),SUMIF($B$4:$B8,$B8,M$4:M8),0))</f>
        <v>0</v>
      </c>
      <c r="S8" s="18"/>
      <c r="T8" s="113" t="s">
        <v>141</v>
      </c>
      <c r="U8" s="168">
        <f>INDEX(I4:I53,Inputs!$C$51)</f>
        <v>0</v>
      </c>
      <c r="V8" s="146"/>
      <c r="W8" s="146"/>
      <c r="X8" s="18"/>
      <c r="Y8" s="18"/>
      <c r="Z8" s="18"/>
      <c r="AA8" s="18"/>
      <c r="AB8" s="18"/>
      <c r="AC8" s="18"/>
      <c r="AD8" s="18"/>
      <c r="AE8" s="18"/>
    </row>
    <row r="9" spans="1:31" ht="18" customHeight="1">
      <c r="A9" s="157">
        <v>6</v>
      </c>
      <c r="B9" s="77">
        <f>IF(A9&gt;Inputs!$C$51,"",ROUNDUP(A9/Inputs!$B$14,0))</f>
        <v>2</v>
      </c>
      <c r="C9" s="160" t="str">
        <f>IF(A9&gt;Inputs!$C$51,"",IF(A9=Inputs!$C$51,"Cuota + prepago total","Pago normal"))</f>
        <v>Pago normal</v>
      </c>
      <c r="D9" s="149">
        <f>IF(A9&gt;Inputs!$C$51,"",I8)</f>
        <v>5702987.6949653123</v>
      </c>
      <c r="E9" s="149">
        <f>IF(A9&gt;Inputs!$C$51,"",D9*Inputs!$B$17)</f>
        <v>69253.067553534362</v>
      </c>
      <c r="F9" s="149">
        <f>IF(A9&gt;Inputs!$C$51,"",MIN(Inputs!$B$20,D9+E9))</f>
        <v>111014.82187676849</v>
      </c>
      <c r="G9" s="149">
        <f>IF(A9&gt;Inputs!$C$51,"",MIN(D9,F9-E9))</f>
        <v>41761.754323234127</v>
      </c>
      <c r="H9" s="149">
        <f>IF(A9=Inputs!$C$51,MAX(0,D9-G9),0)</f>
        <v>0</v>
      </c>
      <c r="I9" s="149">
        <f>IF(A9&gt;Inputs!$C$51,"",MAX(0,D9-G9-H9))</f>
        <v>5661225.9406420784</v>
      </c>
      <c r="J9" s="163" t="str">
        <f>IF(A9&gt;Inputs!$C$51,"",IF(I9&lt;=0.005,"Cancelado","Vigente al día"))</f>
        <v>Vigente al día</v>
      </c>
      <c r="K9" s="149">
        <f>IF($A9&gt;Inputs!$C$51,"",Inputs!$B$28)</f>
        <v>48643.172307692315</v>
      </c>
      <c r="L9" s="149">
        <f>IF($A9&gt;Inputs!$C$51,"",Inputs!$B$29)</f>
        <v>10984.615384615387</v>
      </c>
      <c r="M9" s="149">
        <f>IF($A9&gt;Inputs!$C$51,"",Inputs!$B$30)</f>
        <v>3406.3846153846157</v>
      </c>
      <c r="N9" s="149">
        <f>IF($A9&gt;Inputs!$C$51,"",SUM(K9:M9))</f>
        <v>63034.172307692315</v>
      </c>
      <c r="O9" s="149">
        <f>IF($A9&gt;Inputs!$C$51,"",F9+H9+N9)</f>
        <v>174048.99418446081</v>
      </c>
      <c r="P9" s="149">
        <f>IF($B9="","",IF(OR($B10="",ROUNDUP(($A9+1)/Inputs!$B$14,0)&gt;$B9),SUMIF($B$4:$B9,$B9,K$4:K9),0))</f>
        <v>0</v>
      </c>
      <c r="Q9" s="149">
        <f>IF($B9="","",IF(OR($B10="",ROUNDUP(($A9+1)/Inputs!$B$14,0)&gt;$B9),SUMIF($B$4:$B9,$B9,L$4:L9),0))</f>
        <v>0</v>
      </c>
      <c r="R9" s="149">
        <f>IF($B9="","",IF(OR($B10="",ROUNDUP(($A9+1)/Inputs!$B$14,0)&gt;$B9),SUMIF($B$4:$B9,$B9,M$4:M9),0))</f>
        <v>0</v>
      </c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</row>
    <row r="10" spans="1:31" ht="18" customHeight="1">
      <c r="A10" s="157">
        <v>7</v>
      </c>
      <c r="B10" s="77">
        <f>IF(A10&gt;Inputs!$C$51,"",ROUNDUP(A10/Inputs!$B$14,0))</f>
        <v>2</v>
      </c>
      <c r="C10" s="160" t="str">
        <f>IF(A10&gt;Inputs!$C$51,"",IF(A10=Inputs!$C$51,"Cuota + prepago total","Pago normal"))</f>
        <v>Pago normal</v>
      </c>
      <c r="D10" s="149">
        <f>IF(A10&gt;Inputs!$C$51,"",I9)</f>
        <v>5661225.9406420784</v>
      </c>
      <c r="E10" s="149">
        <f>IF(A10&gt;Inputs!$C$51,"",D10*Inputs!$B$17)</f>
        <v>68745.942210119319</v>
      </c>
      <c r="F10" s="149">
        <f>IF(A10&gt;Inputs!$C$51,"",MIN(Inputs!$B$20,D10+E10))</f>
        <v>111014.82187676849</v>
      </c>
      <c r="G10" s="149">
        <f>IF(A10&gt;Inputs!$C$51,"",MIN(D10,F10-E10))</f>
        <v>42268.879666649169</v>
      </c>
      <c r="H10" s="149">
        <f>IF(A10=Inputs!$C$51,MAX(0,D10-G10),0)</f>
        <v>0</v>
      </c>
      <c r="I10" s="149">
        <f>IF(A10&gt;Inputs!$C$51,"",MAX(0,D10-G10-H10))</f>
        <v>5618957.0609754296</v>
      </c>
      <c r="J10" s="163" t="str">
        <f>IF(A10&gt;Inputs!$C$51,"",IF(I10&lt;=0.005,"Cancelado","Vigente al día"))</f>
        <v>Vigente al día</v>
      </c>
      <c r="K10" s="149">
        <f>IF($A10&gt;Inputs!$C$51,"",Inputs!$B$28)</f>
        <v>48643.172307692315</v>
      </c>
      <c r="L10" s="149">
        <f>IF($A10&gt;Inputs!$C$51,"",Inputs!$B$29)</f>
        <v>10984.615384615387</v>
      </c>
      <c r="M10" s="149">
        <f>IF($A10&gt;Inputs!$C$51,"",Inputs!$B$30)</f>
        <v>3406.3846153846157</v>
      </c>
      <c r="N10" s="149">
        <f>IF($A10&gt;Inputs!$C$51,"",SUM(K10:M10))</f>
        <v>63034.172307692315</v>
      </c>
      <c r="O10" s="149">
        <f>IF($A10&gt;Inputs!$C$51,"",F10+H10+N10)</f>
        <v>174048.99418446081</v>
      </c>
      <c r="P10" s="149">
        <f>IF($B10="","",IF(OR($B11="",ROUNDUP(($A10+1)/Inputs!$B$14,0)&gt;$B10),SUMIF($B$4:$B10,$B10,K$4:K10),0))</f>
        <v>0</v>
      </c>
      <c r="Q10" s="149">
        <f>IF($B10="","",IF(OR($B11="",ROUNDUP(($A10+1)/Inputs!$B$14,0)&gt;$B10),SUMIF($B$4:$B10,$B10,L$4:L10),0))</f>
        <v>0</v>
      </c>
      <c r="R10" s="149">
        <f>IF($B10="","",IF(OR($B11="",ROUNDUP(($A10+1)/Inputs!$B$14,0)&gt;$B10),SUMIF($B$4:$B10,$B10,M$4:M10),0))</f>
        <v>0</v>
      </c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spans="1:31" ht="25.95" customHeight="1">
      <c r="A11" s="157">
        <v>8</v>
      </c>
      <c r="B11" s="77">
        <f>IF(A11&gt;Inputs!$C$51,"",ROUNDUP(A11/Inputs!$B$14,0))</f>
        <v>2</v>
      </c>
      <c r="C11" s="160" t="str">
        <f>IF(A11&gt;Inputs!$C$51,"",IF(A11=Inputs!$C$51,"Cuota + prepago total","Pago normal"))</f>
        <v>Pago normal</v>
      </c>
      <c r="D11" s="149">
        <f>IF(A11&gt;Inputs!$C$51,"",I10)</f>
        <v>5618957.0609754296</v>
      </c>
      <c r="E11" s="149">
        <f>IF(A11&gt;Inputs!$C$51,"",D11*Inputs!$B$17)</f>
        <v>68232.658693559948</v>
      </c>
      <c r="F11" s="149">
        <f>IF(A11&gt;Inputs!$C$51,"",MIN(Inputs!$B$20,D11+E11))</f>
        <v>111014.82187676849</v>
      </c>
      <c r="G11" s="149">
        <f>IF(A11&gt;Inputs!$C$51,"",MIN(D11,F11-E11))</f>
        <v>42782.16318320854</v>
      </c>
      <c r="H11" s="149">
        <f>IF(A11=Inputs!$C$51,MAX(0,D11-G11),0)</f>
        <v>0</v>
      </c>
      <c r="I11" s="149">
        <f>IF(A11&gt;Inputs!$C$51,"",MAX(0,D11-G11-H11))</f>
        <v>5576174.897792221</v>
      </c>
      <c r="J11" s="163" t="str">
        <f>IF(A11&gt;Inputs!$C$51,"",IF(I11&lt;=0.005,"Cancelado","Vigente al día"))</f>
        <v>Vigente al día</v>
      </c>
      <c r="K11" s="149">
        <f>IF($A11&gt;Inputs!$C$51,"",Inputs!$B$28)</f>
        <v>48643.172307692315</v>
      </c>
      <c r="L11" s="149">
        <f>IF($A11&gt;Inputs!$C$51,"",Inputs!$B$29)</f>
        <v>10984.615384615387</v>
      </c>
      <c r="M11" s="149">
        <f>IF($A11&gt;Inputs!$C$51,"",Inputs!$B$30)</f>
        <v>3406.3846153846157</v>
      </c>
      <c r="N11" s="149">
        <f>IF($A11&gt;Inputs!$C$51,"",SUM(K11:M11))</f>
        <v>63034.172307692315</v>
      </c>
      <c r="O11" s="149">
        <f>IF($A11&gt;Inputs!$C$51,"",F11+H11+N11)</f>
        <v>174048.99418446081</v>
      </c>
      <c r="P11" s="149">
        <f>IF($B11="","",IF(OR($B12="",ROUNDUP(($A11+1)/Inputs!$B$14,0)&gt;$B11),SUMIF($B$4:$B11,$B11,K$4:K11),0))</f>
        <v>194572.68923076926</v>
      </c>
      <c r="Q11" s="149">
        <f>IF($B11="","",IF(OR($B12="",ROUNDUP(($A11+1)/Inputs!$B$14,0)&gt;$B11),SUMIF($B$4:$B11,$B11,L$4:L11),0))</f>
        <v>43938.461538461546</v>
      </c>
      <c r="R11" s="149">
        <f>IF($B11="","",IF(OR($B12="",ROUNDUP(($A11+1)/Inputs!$B$14,0)&gt;$B11),SUMIF($B$4:$B11,$B11,M$4:M11),0))</f>
        <v>13625.538461538463</v>
      </c>
      <c r="S11" s="18"/>
      <c r="T11" s="115" t="s">
        <v>95</v>
      </c>
      <c r="U11" s="23"/>
      <c r="V11" s="23"/>
      <c r="W11" s="23"/>
      <c r="X11" s="18"/>
      <c r="Y11" s="18"/>
      <c r="Z11" s="18"/>
      <c r="AA11" s="18"/>
      <c r="AB11" s="18"/>
      <c r="AC11" s="18"/>
      <c r="AD11" s="18"/>
      <c r="AE11" s="18"/>
    </row>
    <row r="12" spans="1:31" ht="18" customHeight="1">
      <c r="A12" s="157">
        <v>9</v>
      </c>
      <c r="B12" s="77">
        <f>IF(A12&gt;Inputs!$C$51,"",ROUNDUP(A12/Inputs!$B$14,0))</f>
        <v>3</v>
      </c>
      <c r="C12" s="160" t="str">
        <f>IF(A12&gt;Inputs!$C$51,"",IF(A12=Inputs!$C$51,"Cuota + prepago total","Pago normal"))</f>
        <v>Pago normal</v>
      </c>
      <c r="D12" s="149">
        <f>IF(A12&gt;Inputs!$C$51,"",I11)</f>
        <v>5576174.897792221</v>
      </c>
      <c r="E12" s="149">
        <f>IF(A12&gt;Inputs!$C$51,"",D12*Inputs!$B$17)</f>
        <v>67713.142223337039</v>
      </c>
      <c r="F12" s="149">
        <f>IF(A12&gt;Inputs!$C$51,"",MIN(Inputs!$B$20,D12+E12))</f>
        <v>111014.82187676849</v>
      </c>
      <c r="G12" s="149">
        <f>IF(A12&gt;Inputs!$C$51,"",MIN(D12,F12-E12))</f>
        <v>43301.679653431449</v>
      </c>
      <c r="H12" s="149">
        <f>IF(A12=Inputs!$C$51,MAX(0,D12-G12),0)</f>
        <v>0</v>
      </c>
      <c r="I12" s="149">
        <f>IF(A12&gt;Inputs!$C$51,"",MAX(0,D12-G12-H12))</f>
        <v>5532873.2181387898</v>
      </c>
      <c r="J12" s="163" t="str">
        <f>IF(A12&gt;Inputs!$C$51,"",IF(I12&lt;=0.005,"Cancelado","Vigente al día"))</f>
        <v>Vigente al día</v>
      </c>
      <c r="K12" s="149">
        <f>IF($A12&gt;Inputs!$C$51,"",Inputs!$B$28)</f>
        <v>48643.172307692315</v>
      </c>
      <c r="L12" s="149">
        <f>IF($A12&gt;Inputs!$C$51,"",Inputs!$B$29)</f>
        <v>10984.615384615387</v>
      </c>
      <c r="M12" s="149">
        <f>IF($A12&gt;Inputs!$C$51,"",Inputs!$B$30)</f>
        <v>3406.3846153846157</v>
      </c>
      <c r="N12" s="149">
        <f>IF($A12&gt;Inputs!$C$51,"",SUM(K12:M12))</f>
        <v>63034.172307692315</v>
      </c>
      <c r="O12" s="149">
        <f>IF($A12&gt;Inputs!$C$51,"",F12+H12+N12)</f>
        <v>174048.99418446081</v>
      </c>
      <c r="P12" s="149">
        <f>IF($B12="","",IF(OR($B13="",ROUNDUP(($A12+1)/Inputs!$B$14,0)&gt;$B12),SUMIF($B$4:$B12,$B12,K$4:K12),0))</f>
        <v>0</v>
      </c>
      <c r="Q12" s="149">
        <f>IF($B12="","",IF(OR($B13="",ROUNDUP(($A12+1)/Inputs!$B$14,0)&gt;$B12),SUMIF($B$4:$B12,$B12,L$4:L12),0))</f>
        <v>0</v>
      </c>
      <c r="R12" s="149">
        <f>IF($B12="","",IF(OR($B13="",ROUNDUP(($A12+1)/Inputs!$B$14,0)&gt;$B12),SUMIF($B$4:$B12,$B12,M$4:M12),0))</f>
        <v>0</v>
      </c>
      <c r="S12" s="18"/>
      <c r="T12" s="122" t="s">
        <v>96</v>
      </c>
      <c r="U12" s="122" t="s">
        <v>97</v>
      </c>
      <c r="V12" s="122" t="s">
        <v>98</v>
      </c>
      <c r="W12" s="121" t="s">
        <v>99</v>
      </c>
      <c r="X12" s="18"/>
      <c r="Y12" s="18"/>
      <c r="Z12" s="18"/>
      <c r="AA12" s="18"/>
      <c r="AB12" s="18"/>
      <c r="AC12" s="18"/>
      <c r="AD12" s="18"/>
      <c r="AE12" s="18"/>
    </row>
    <row r="13" spans="1:31" ht="18" customHeight="1">
      <c r="A13" s="157">
        <v>10</v>
      </c>
      <c r="B13" s="77">
        <f>IF(A13&gt;Inputs!$C$51,"",ROUNDUP(A13/Inputs!$B$14,0))</f>
        <v>3</v>
      </c>
      <c r="C13" s="160" t="str">
        <f>IF(A13&gt;Inputs!$C$51,"",IF(A13=Inputs!$C$51,"Cuota + prepago total","Pago normal"))</f>
        <v>Pago normal</v>
      </c>
      <c r="D13" s="149">
        <f>IF(A13&gt;Inputs!$C$51,"",I12)</f>
        <v>5532873.2181387898</v>
      </c>
      <c r="E13" s="149">
        <f>IF(A13&gt;Inputs!$C$51,"",D13*Inputs!$B$17)</f>
        <v>67187.317110849428</v>
      </c>
      <c r="F13" s="149">
        <f>IF(A13&gt;Inputs!$C$51,"",MIN(Inputs!$B$20,D13+E13))</f>
        <v>111014.82187676849</v>
      </c>
      <c r="G13" s="149">
        <f>IF(A13&gt;Inputs!$C$51,"",MIN(D13,F13-E13))</f>
        <v>43827.50476591906</v>
      </c>
      <c r="H13" s="149">
        <f>IF(A13=Inputs!$C$51,MAX(0,D13-G13),0)</f>
        <v>0</v>
      </c>
      <c r="I13" s="149">
        <f>IF(A13&gt;Inputs!$C$51,"",MAX(0,D13-G13-H13))</f>
        <v>5489045.7133728703</v>
      </c>
      <c r="J13" s="163" t="str">
        <f>IF(A13&gt;Inputs!$C$51,"",IF(I13&lt;=0.005,"Cancelado","Vigente al día"))</f>
        <v>Vigente al día</v>
      </c>
      <c r="K13" s="149">
        <f>IF($A13&gt;Inputs!$C$51,"",Inputs!$B$28)</f>
        <v>48643.172307692315</v>
      </c>
      <c r="L13" s="149">
        <f>IF($A13&gt;Inputs!$C$51,"",Inputs!$B$29)</f>
        <v>10984.615384615387</v>
      </c>
      <c r="M13" s="149">
        <f>IF($A13&gt;Inputs!$C$51,"",Inputs!$B$30)</f>
        <v>3406.3846153846157</v>
      </c>
      <c r="N13" s="149">
        <f>IF($A13&gt;Inputs!$C$51,"",SUM(K13:M13))</f>
        <v>63034.172307692315</v>
      </c>
      <c r="O13" s="149">
        <f>IF($A13&gt;Inputs!$C$51,"",F13+H13+N13)</f>
        <v>174048.99418446081</v>
      </c>
      <c r="P13" s="149">
        <f>IF($B13="","",IF(OR($B14="",ROUNDUP(($A13+1)/Inputs!$B$14,0)&gt;$B13),SUMIF($B$4:$B13,$B13,K$4:K13),0))</f>
        <v>0</v>
      </c>
      <c r="Q13" s="149">
        <f>IF($B13="","",IF(OR($B14="",ROUNDUP(($A13+1)/Inputs!$B$14,0)&gt;$B13),SUMIF($B$4:$B13,$B13,L$4:L13),0))</f>
        <v>0</v>
      </c>
      <c r="R13" s="149">
        <f>IF($B13="","",IF(OR($B14="",ROUNDUP(($A13+1)/Inputs!$B$14,0)&gt;$B13),SUMIF($B$4:$B13,$B13,M$4:M13),0))</f>
        <v>0</v>
      </c>
      <c r="S13" s="18"/>
      <c r="T13" s="110" t="s">
        <v>100</v>
      </c>
      <c r="U13" s="169">
        <f>INDEX(H4:H53,Inputs!$C$51)</f>
        <v>3701573.6220031078</v>
      </c>
      <c r="V13" s="169"/>
      <c r="W13" s="195" t="s">
        <v>142</v>
      </c>
      <c r="X13" s="18"/>
      <c r="Y13" s="18"/>
      <c r="Z13" s="18"/>
      <c r="AA13" s="18"/>
      <c r="AB13" s="18"/>
      <c r="AC13" s="18"/>
      <c r="AD13" s="18"/>
      <c r="AE13" s="18"/>
    </row>
    <row r="14" spans="1:31" ht="18" customHeight="1">
      <c r="A14" s="157">
        <v>11</v>
      </c>
      <c r="B14" s="77">
        <f>IF(A14&gt;Inputs!$C$51,"",ROUNDUP(A14/Inputs!$B$14,0))</f>
        <v>3</v>
      </c>
      <c r="C14" s="160" t="str">
        <f>IF(A14&gt;Inputs!$C$51,"",IF(A14=Inputs!$C$51,"Cuota + prepago total","Pago normal"))</f>
        <v>Pago normal</v>
      </c>
      <c r="D14" s="149">
        <f>IF(A14&gt;Inputs!$C$51,"",I13)</f>
        <v>5489045.7133728703</v>
      </c>
      <c r="E14" s="149">
        <f>IF(A14&gt;Inputs!$C$51,"",D14*Inputs!$B$17)</f>
        <v>66655.106748386854</v>
      </c>
      <c r="F14" s="149">
        <f>IF(A14&gt;Inputs!$C$51,"",MIN(Inputs!$B$20,D14+E14))</f>
        <v>111014.82187676849</v>
      </c>
      <c r="G14" s="149">
        <f>IF(A14&gt;Inputs!$C$51,"",MIN(D14,F14-E14))</f>
        <v>44359.715128381635</v>
      </c>
      <c r="H14" s="149">
        <f>IF(A14=Inputs!$C$51,MAX(0,D14-G14),0)</f>
        <v>0</v>
      </c>
      <c r="I14" s="149">
        <f>IF(A14&gt;Inputs!$C$51,"",MAX(0,D14-G14-H14))</f>
        <v>5444685.9982444886</v>
      </c>
      <c r="J14" s="163" t="str">
        <f>IF(A14&gt;Inputs!$C$51,"",IF(I14&lt;=0.005,"Cancelado","Vigente al día"))</f>
        <v>Vigente al día</v>
      </c>
      <c r="K14" s="149">
        <f>IF($A14&gt;Inputs!$C$51,"",Inputs!$B$28)</f>
        <v>48643.172307692315</v>
      </c>
      <c r="L14" s="149">
        <f>IF($A14&gt;Inputs!$C$51,"",Inputs!$B$29)</f>
        <v>10984.615384615387</v>
      </c>
      <c r="M14" s="149">
        <f>IF($A14&gt;Inputs!$C$51,"",Inputs!$B$30)</f>
        <v>3406.3846153846157</v>
      </c>
      <c r="N14" s="149">
        <f>IF($A14&gt;Inputs!$C$51,"",SUM(K14:M14))</f>
        <v>63034.172307692315</v>
      </c>
      <c r="O14" s="149">
        <f>IF($A14&gt;Inputs!$C$51,"",F14+H14+N14)</f>
        <v>174048.99418446081</v>
      </c>
      <c r="P14" s="149">
        <f>IF($B14="","",IF(OR($B15="",ROUNDUP(($A14+1)/Inputs!$B$14,0)&gt;$B14),SUMIF($B$4:$B14,$B14,K$4:K14),0))</f>
        <v>0</v>
      </c>
      <c r="Q14" s="149">
        <f>IF($B14="","",IF(OR($B15="",ROUNDUP(($A14+1)/Inputs!$B$14,0)&gt;$B14),SUMIF($B$4:$B14,$B14,L$4:L14),0))</f>
        <v>0</v>
      </c>
      <c r="R14" s="149">
        <f>IF($B14="","",IF(OR($B15="",ROUNDUP(($A14+1)/Inputs!$B$14,0)&gt;$B14),SUMIF($B$4:$B14,$B14,M$4:M14),0))</f>
        <v>0</v>
      </c>
      <c r="S14" s="18"/>
      <c r="T14" s="173" t="s">
        <v>104</v>
      </c>
      <c r="U14" s="174"/>
      <c r="V14" s="174">
        <f>INDEX(H4:H53,Inputs!$C$51)</f>
        <v>3701573.6220031078</v>
      </c>
      <c r="W14" s="199" t="s">
        <v>143</v>
      </c>
      <c r="X14" s="18"/>
      <c r="Y14" s="18"/>
      <c r="Z14" s="18"/>
      <c r="AA14" s="18"/>
      <c r="AB14" s="18"/>
      <c r="AC14" s="18"/>
      <c r="AD14" s="18"/>
      <c r="AE14" s="18"/>
    </row>
    <row r="15" spans="1:31" ht="18" customHeight="1">
      <c r="A15" s="157">
        <v>12</v>
      </c>
      <c r="B15" s="77">
        <f>IF(A15&gt;Inputs!$C$51,"",ROUNDUP(A15/Inputs!$B$14,0))</f>
        <v>3</v>
      </c>
      <c r="C15" s="160" t="str">
        <f>IF(A15&gt;Inputs!$C$51,"",IF(A15=Inputs!$C$51,"Cuota + prepago total","Pago normal"))</f>
        <v>Pago normal</v>
      </c>
      <c r="D15" s="149">
        <f>IF(A15&gt;Inputs!$C$51,"",I14)</f>
        <v>5444685.9982444886</v>
      </c>
      <c r="E15" s="149">
        <f>IF(A15&gt;Inputs!$C$51,"",D15*Inputs!$B$17)</f>
        <v>66116.433597968979</v>
      </c>
      <c r="F15" s="149">
        <f>IF(A15&gt;Inputs!$C$51,"",MIN(Inputs!$B$20,D15+E15))</f>
        <v>111014.82187676849</v>
      </c>
      <c r="G15" s="149">
        <f>IF(A15&gt;Inputs!$C$51,"",MIN(D15,F15-E15))</f>
        <v>44898.38827879951</v>
      </c>
      <c r="H15" s="149">
        <f>IF(A15=Inputs!$C$51,MAX(0,D15-G15),0)</f>
        <v>0</v>
      </c>
      <c r="I15" s="149">
        <f>IF(A15&gt;Inputs!$C$51,"",MAX(0,D15-G15-H15))</f>
        <v>5399787.6099656895</v>
      </c>
      <c r="J15" s="163" t="str">
        <f>IF(A15&gt;Inputs!$C$51,"",IF(I15&lt;=0.005,"Cancelado","Vigente al día"))</f>
        <v>Vigente al día</v>
      </c>
      <c r="K15" s="149">
        <f>IF($A15&gt;Inputs!$C$51,"",Inputs!$B$28)</f>
        <v>48643.172307692315</v>
      </c>
      <c r="L15" s="149">
        <f>IF($A15&gt;Inputs!$C$51,"",Inputs!$B$29)</f>
        <v>10984.615384615387</v>
      </c>
      <c r="M15" s="149">
        <f>IF($A15&gt;Inputs!$C$51,"",Inputs!$B$30)</f>
        <v>3406.3846153846157</v>
      </c>
      <c r="N15" s="149">
        <f>IF($A15&gt;Inputs!$C$51,"",SUM(K15:M15))</f>
        <v>63034.172307692315</v>
      </c>
      <c r="O15" s="149">
        <f>IF($A15&gt;Inputs!$C$51,"",F15+H15+N15)</f>
        <v>174048.99418446081</v>
      </c>
      <c r="P15" s="149">
        <f>IF($B15="","",IF(OR($B16="",ROUNDUP(($A15+1)/Inputs!$B$14,0)&gt;$B15),SUMIF($B$4:$B15,$B15,K$4:K15),0))</f>
        <v>0</v>
      </c>
      <c r="Q15" s="149">
        <f>IF($B15="","",IF(OR($B16="",ROUNDUP(($A15+1)/Inputs!$B$14,0)&gt;$B15),SUMIF($B$4:$B15,$B15,L$4:L15),0))</f>
        <v>0</v>
      </c>
      <c r="R15" s="149">
        <f>IF($B15="","",IF(OR($B16="",ROUNDUP(($A15+1)/Inputs!$B$14,0)&gt;$B15),SUMIF($B$4:$B15,$B15,M$4:M15),0))</f>
        <v>0</v>
      </c>
      <c r="S15" s="18"/>
      <c r="T15" s="176" t="s">
        <v>108</v>
      </c>
      <c r="U15" s="177">
        <f>SUM(U13:U14)</f>
        <v>3701573.6220031078</v>
      </c>
      <c r="V15" s="177">
        <f>SUM(V13:V14)</f>
        <v>3701573.6220031078</v>
      </c>
      <c r="W15" s="178">
        <f>U15-V15</f>
        <v>0</v>
      </c>
      <c r="X15" s="18"/>
      <c r="Y15" s="18"/>
      <c r="Z15" s="18"/>
      <c r="AA15" s="18"/>
      <c r="AB15" s="204"/>
      <c r="AC15" s="18"/>
      <c r="AD15" s="18"/>
      <c r="AE15" s="18"/>
    </row>
    <row r="16" spans="1:31" ht="18" customHeight="1">
      <c r="A16" s="157">
        <v>13</v>
      </c>
      <c r="B16" s="77">
        <f>IF(A16&gt;Inputs!$C$51,"",ROUNDUP(A16/Inputs!$B$14,0))</f>
        <v>3</v>
      </c>
      <c r="C16" s="160" t="str">
        <f>IF(A16&gt;Inputs!$C$51,"",IF(A16=Inputs!$C$51,"Cuota + prepago total","Pago normal"))</f>
        <v>Pago normal</v>
      </c>
      <c r="D16" s="149">
        <f>IF(A16&gt;Inputs!$C$51,"",I15)</f>
        <v>5399787.6099656895</v>
      </c>
      <c r="E16" s="149">
        <f>IF(A16&gt;Inputs!$C$51,"",D16*Inputs!$B$17)</f>
        <v>65571.219180048793</v>
      </c>
      <c r="F16" s="149">
        <f>IF(A16&gt;Inputs!$C$51,"",MIN(Inputs!$B$20,D16+E16))</f>
        <v>111014.82187676849</v>
      </c>
      <c r="G16" s="149">
        <f>IF(A16&gt;Inputs!$C$51,"",MIN(D16,F16-E16))</f>
        <v>45443.602696719696</v>
      </c>
      <c r="H16" s="149">
        <f>IF(A16=Inputs!$C$51,MAX(0,D16-G16),0)</f>
        <v>0</v>
      </c>
      <c r="I16" s="149">
        <f>IF(A16&gt;Inputs!$C$51,"",MAX(0,D16-G16-H16))</f>
        <v>5354344.0072689699</v>
      </c>
      <c r="J16" s="163" t="str">
        <f>IF(A16&gt;Inputs!$C$51,"",IF(I16&lt;=0.005,"Cancelado","Vigente al día"))</f>
        <v>Vigente al día</v>
      </c>
      <c r="K16" s="149">
        <f>IF($A16&gt;Inputs!$C$51,"",Inputs!$B$28)</f>
        <v>48643.172307692315</v>
      </c>
      <c r="L16" s="149">
        <f>IF($A16&gt;Inputs!$C$51,"",Inputs!$B$29)</f>
        <v>10984.615384615387</v>
      </c>
      <c r="M16" s="149">
        <f>IF($A16&gt;Inputs!$C$51,"",Inputs!$B$30)</f>
        <v>3406.3846153846157</v>
      </c>
      <c r="N16" s="149">
        <f>IF($A16&gt;Inputs!$C$51,"",SUM(K16:M16))</f>
        <v>63034.172307692315</v>
      </c>
      <c r="O16" s="149">
        <f>IF($A16&gt;Inputs!$C$51,"",F16+H16+N16)</f>
        <v>174048.99418446081</v>
      </c>
      <c r="P16" s="149">
        <f>IF($B16="","",IF(OR($B17="",ROUNDUP(($A16+1)/Inputs!$B$14,0)&gt;$B16),SUMIF($B$4:$B16,$B16,K$4:K16),0))</f>
        <v>243215.86153846158</v>
      </c>
      <c r="Q16" s="149">
        <f>IF($B16="","",IF(OR($B17="",ROUNDUP(($A16+1)/Inputs!$B$14,0)&gt;$B16),SUMIF($B$4:$B16,$B16,L$4:L16),0))</f>
        <v>54923.076923076937</v>
      </c>
      <c r="R16" s="149">
        <f>IF($B16="","",IF(OR($B17="",ROUNDUP(($A16+1)/Inputs!$B$14,0)&gt;$B16),SUMIF($B$4:$B16,$B16,M$4:M16),0))</f>
        <v>17031.923076923078</v>
      </c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spans="1:31" ht="18" customHeight="1">
      <c r="A17" s="157">
        <v>14</v>
      </c>
      <c r="B17" s="77">
        <f>IF(A17&gt;Inputs!$C$51,"",ROUNDUP(A17/Inputs!$B$14,0))</f>
        <v>4</v>
      </c>
      <c r="C17" s="160" t="str">
        <f>IF(A17&gt;Inputs!$C$51,"",IF(A17=Inputs!$C$51,"Cuota + prepago total","Pago normal"))</f>
        <v>Pago normal</v>
      </c>
      <c r="D17" s="149">
        <f>IF(A17&gt;Inputs!$C$51,"",I16)</f>
        <v>5354344.0072689699</v>
      </c>
      <c r="E17" s="149">
        <f>IF(A17&gt;Inputs!$C$51,"",D17*Inputs!$B$17)</f>
        <v>65019.384062078927</v>
      </c>
      <c r="F17" s="149">
        <f>IF(A17&gt;Inputs!$C$51,"",MIN(Inputs!$B$20,D17+E17))</f>
        <v>111014.82187676849</v>
      </c>
      <c r="G17" s="149">
        <f>IF(A17&gt;Inputs!$C$51,"",MIN(D17,F17-E17))</f>
        <v>45995.437814689561</v>
      </c>
      <c r="H17" s="149">
        <f>IF(A17=Inputs!$C$51,MAX(0,D17-G17),0)</f>
        <v>0</v>
      </c>
      <c r="I17" s="149">
        <f>IF(A17&gt;Inputs!$C$51,"",MAX(0,D17-G17-H17))</f>
        <v>5308348.5694542807</v>
      </c>
      <c r="J17" s="163" t="str">
        <f>IF(A17&gt;Inputs!$C$51,"",IF(I17&lt;=0.005,"Cancelado","Vigente al día"))</f>
        <v>Vigente al día</v>
      </c>
      <c r="K17" s="149">
        <f>IF($A17&gt;Inputs!$C$51,"",Inputs!$B$28)</f>
        <v>48643.172307692315</v>
      </c>
      <c r="L17" s="149">
        <f>IF($A17&gt;Inputs!$C$51,"",Inputs!$B$29)</f>
        <v>10984.615384615387</v>
      </c>
      <c r="M17" s="149">
        <f>IF($A17&gt;Inputs!$C$51,"",Inputs!$B$30)</f>
        <v>3406.3846153846157</v>
      </c>
      <c r="N17" s="149">
        <f>IF($A17&gt;Inputs!$C$51,"",SUM(K17:M17))</f>
        <v>63034.172307692315</v>
      </c>
      <c r="O17" s="149">
        <f>IF($A17&gt;Inputs!$C$51,"",F17+H17+N17)</f>
        <v>174048.99418446081</v>
      </c>
      <c r="P17" s="149">
        <f>IF($B17="","",IF(OR($B18="",ROUNDUP(($A17+1)/Inputs!$B$14,0)&gt;$B17),SUMIF($B$4:$B17,$B17,K$4:K17),0))</f>
        <v>0</v>
      </c>
      <c r="Q17" s="149">
        <f>IF($B17="","",IF(OR($B18="",ROUNDUP(($A17+1)/Inputs!$B$14,0)&gt;$B17),SUMIF($B$4:$B17,$B17,L$4:L17),0))</f>
        <v>0</v>
      </c>
      <c r="R17" s="149">
        <f>IF($B17="","",IF(OR($B18="",ROUNDUP(($A17+1)/Inputs!$B$14,0)&gt;$B17),SUMIF($B$4:$B17,$B17,M$4:M17),0))</f>
        <v>0</v>
      </c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spans="1:31" ht="18" customHeight="1">
      <c r="A18" s="157">
        <v>15</v>
      </c>
      <c r="B18" s="77">
        <f>IF(A18&gt;Inputs!$C$51,"",ROUNDUP(A18/Inputs!$B$14,0))</f>
        <v>4</v>
      </c>
      <c r="C18" s="160" t="str">
        <f>IF(A18&gt;Inputs!$C$51,"",IF(A18=Inputs!$C$51,"Cuota + prepago total","Pago normal"))</f>
        <v>Pago normal</v>
      </c>
      <c r="D18" s="149">
        <f>IF(A18&gt;Inputs!$C$51,"",I17)</f>
        <v>5308348.5694542807</v>
      </c>
      <c r="E18" s="149">
        <f>IF(A18&gt;Inputs!$C$51,"",D18*Inputs!$B$17)</f>
        <v>64460.847846939076</v>
      </c>
      <c r="F18" s="149">
        <f>IF(A18&gt;Inputs!$C$51,"",MIN(Inputs!$B$20,D18+E18))</f>
        <v>111014.82187676849</v>
      </c>
      <c r="G18" s="149">
        <f>IF(A18&gt;Inputs!$C$51,"",MIN(D18,F18-E18))</f>
        <v>46553.974029829413</v>
      </c>
      <c r="H18" s="149">
        <f>IF(A18=Inputs!$C$51,MAX(0,D18-G18),0)</f>
        <v>0</v>
      </c>
      <c r="I18" s="149">
        <f>IF(A18&gt;Inputs!$C$51,"",MAX(0,D18-G18-H18))</f>
        <v>5261794.5954244509</v>
      </c>
      <c r="J18" s="163" t="str">
        <f>IF(A18&gt;Inputs!$C$51,"",IF(I18&lt;=0.005,"Cancelado","Vigente al día"))</f>
        <v>Vigente al día</v>
      </c>
      <c r="K18" s="149">
        <f>IF($A18&gt;Inputs!$C$51,"",Inputs!$B$28)</f>
        <v>48643.172307692315</v>
      </c>
      <c r="L18" s="149">
        <f>IF($A18&gt;Inputs!$C$51,"",Inputs!$B$29)</f>
        <v>10984.615384615387</v>
      </c>
      <c r="M18" s="149">
        <f>IF($A18&gt;Inputs!$C$51,"",Inputs!$B$30)</f>
        <v>3406.3846153846157</v>
      </c>
      <c r="N18" s="149">
        <f>IF($A18&gt;Inputs!$C$51,"",SUM(K18:M18))</f>
        <v>63034.172307692315</v>
      </c>
      <c r="O18" s="149">
        <f>IF($A18&gt;Inputs!$C$51,"",F18+H18+N18)</f>
        <v>174048.99418446081</v>
      </c>
      <c r="P18" s="149">
        <f>IF($B18="","",IF(OR($B19="",ROUNDUP(($A18+1)/Inputs!$B$14,0)&gt;$B18),SUMIF($B$4:$B18,$B18,K$4:K18),0))</f>
        <v>0</v>
      </c>
      <c r="Q18" s="149">
        <f>IF($B18="","",IF(OR($B19="",ROUNDUP(($A18+1)/Inputs!$B$14,0)&gt;$B18),SUMIF($B$4:$B18,$B18,L$4:L18),0))</f>
        <v>0</v>
      </c>
      <c r="R18" s="149">
        <f>IF($B18="","",IF(OR($B19="",ROUNDUP(($A18+1)/Inputs!$B$14,0)&gt;$B18),SUMIF($B$4:$B18,$B18,M$4:M18),0))</f>
        <v>0</v>
      </c>
      <c r="S18" s="18"/>
      <c r="T18" s="179" t="s">
        <v>337</v>
      </c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spans="1:31" ht="18" customHeight="1">
      <c r="A19" s="157">
        <v>16</v>
      </c>
      <c r="B19" s="77">
        <f>IF(A19&gt;Inputs!$C$51,"",ROUNDUP(A19/Inputs!$B$14,0))</f>
        <v>4</v>
      </c>
      <c r="C19" s="160" t="str">
        <f>IF(A19&gt;Inputs!$C$51,"",IF(A19=Inputs!$C$51,"Cuota + prepago total","Pago normal"))</f>
        <v>Pago normal</v>
      </c>
      <c r="D19" s="149">
        <f>IF(A19&gt;Inputs!$C$51,"",I18)</f>
        <v>5261794.5954244509</v>
      </c>
      <c r="E19" s="149">
        <f>IF(A19&gt;Inputs!$C$51,"",D19*Inputs!$B$17)</f>
        <v>63895.529161222905</v>
      </c>
      <c r="F19" s="149">
        <f>IF(A19&gt;Inputs!$C$51,"",MIN(Inputs!$B$20,D19+E19))</f>
        <v>111014.82187676849</v>
      </c>
      <c r="G19" s="149">
        <f>IF(A19&gt;Inputs!$C$51,"",MIN(D19,F19-E19))</f>
        <v>47119.292715545584</v>
      </c>
      <c r="H19" s="149">
        <f>IF(A19=Inputs!$C$51,MAX(0,D19-G19),0)</f>
        <v>0</v>
      </c>
      <c r="I19" s="149">
        <f>IF(A19&gt;Inputs!$C$51,"",MAX(0,D19-G19-H19))</f>
        <v>5214675.3027089052</v>
      </c>
      <c r="J19" s="163" t="str">
        <f>IF(A19&gt;Inputs!$C$51,"",IF(I19&lt;=0.005,"Cancelado","Vigente al día"))</f>
        <v>Vigente al día</v>
      </c>
      <c r="K19" s="149">
        <f>IF($A19&gt;Inputs!$C$51,"",Inputs!$B$28)</f>
        <v>48643.172307692315</v>
      </c>
      <c r="L19" s="149">
        <f>IF($A19&gt;Inputs!$C$51,"",Inputs!$B$29)</f>
        <v>10984.615384615387</v>
      </c>
      <c r="M19" s="149">
        <f>IF($A19&gt;Inputs!$C$51,"",Inputs!$B$30)</f>
        <v>3406.3846153846157</v>
      </c>
      <c r="N19" s="149">
        <f>IF($A19&gt;Inputs!$C$51,"",SUM(K19:M19))</f>
        <v>63034.172307692315</v>
      </c>
      <c r="O19" s="149">
        <f>IF($A19&gt;Inputs!$C$51,"",F19+H19+N19)</f>
        <v>174048.99418446081</v>
      </c>
      <c r="P19" s="149">
        <f>IF($B19="","",IF(OR($B20="",ROUNDUP(($A19+1)/Inputs!$B$14,0)&gt;$B19),SUMIF($B$4:$B19,$B19,K$4:K19),0))</f>
        <v>0</v>
      </c>
      <c r="Q19" s="149">
        <f>IF($B19="","",IF(OR($B20="",ROUNDUP(($A19+1)/Inputs!$B$14,0)&gt;$B19),SUMIF($B$4:$B19,$B19,L$4:L19),0))</f>
        <v>0</v>
      </c>
      <c r="R19" s="149">
        <f>IF($B19="","",IF(OR($B20="",ROUNDUP(($A19+1)/Inputs!$B$14,0)&gt;$B19),SUMIF($B$4:$B19,$B19,M$4:M19),0))</f>
        <v>0</v>
      </c>
      <c r="S19" s="18"/>
      <c r="T19" s="179" t="s">
        <v>338</v>
      </c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spans="1:31" ht="18" customHeight="1">
      <c r="A20" s="157">
        <v>17</v>
      </c>
      <c r="B20" s="77">
        <f>IF(A20&gt;Inputs!$C$51,"",ROUNDUP(A20/Inputs!$B$14,0))</f>
        <v>4</v>
      </c>
      <c r="C20" s="160" t="str">
        <f>IF(A20&gt;Inputs!$C$51,"",IF(A20=Inputs!$C$51,"Cuota + prepago total","Pago normal"))</f>
        <v>Pago normal</v>
      </c>
      <c r="D20" s="149">
        <f>IF(A20&gt;Inputs!$C$51,"",I19)</f>
        <v>5214675.3027089052</v>
      </c>
      <c r="E20" s="149">
        <f>IF(A20&gt;Inputs!$C$51,"",D20*Inputs!$B$17)</f>
        <v>63323.345643382738</v>
      </c>
      <c r="F20" s="149">
        <f>IF(A20&gt;Inputs!$C$51,"",MIN(Inputs!$B$20,D20+E20))</f>
        <v>111014.82187676849</v>
      </c>
      <c r="G20" s="149">
        <f>IF(A20&gt;Inputs!$C$51,"",MIN(D20,F20-E20))</f>
        <v>47691.476233385751</v>
      </c>
      <c r="H20" s="149">
        <f>IF(A20=Inputs!$C$51,MAX(0,D20-G20),0)</f>
        <v>0</v>
      </c>
      <c r="I20" s="149">
        <f>IF(A20&gt;Inputs!$C$51,"",MAX(0,D20-G20-H20))</f>
        <v>5166983.8264755197</v>
      </c>
      <c r="J20" s="163" t="str">
        <f>IF(A20&gt;Inputs!$C$51,"",IF(I20&lt;=0.005,"Cancelado","Vigente al día"))</f>
        <v>Vigente al día</v>
      </c>
      <c r="K20" s="149">
        <f>IF($A20&gt;Inputs!$C$51,"",Inputs!$B$28)</f>
        <v>48643.172307692315</v>
      </c>
      <c r="L20" s="149">
        <f>IF($A20&gt;Inputs!$C$51,"",Inputs!$B$29)</f>
        <v>10984.615384615387</v>
      </c>
      <c r="M20" s="149">
        <f>IF($A20&gt;Inputs!$C$51,"",Inputs!$B$30)</f>
        <v>3406.3846153846157</v>
      </c>
      <c r="N20" s="149">
        <f>IF($A20&gt;Inputs!$C$51,"",SUM(K20:M20))</f>
        <v>63034.172307692315</v>
      </c>
      <c r="O20" s="149">
        <f>IF($A20&gt;Inputs!$C$51,"",F20+H20+N20)</f>
        <v>174048.99418446081</v>
      </c>
      <c r="P20" s="149">
        <f>IF($B20="","",IF(OR($B21="",ROUNDUP(($A20+1)/Inputs!$B$14,0)&gt;$B20),SUMIF($B$4:$B20,$B20,K$4:K20),0))</f>
        <v>194572.68923076926</v>
      </c>
      <c r="Q20" s="149">
        <f>IF($B20="","",IF(OR($B21="",ROUNDUP(($A20+1)/Inputs!$B$14,0)&gt;$B20),SUMIF($B$4:$B20,$B20,L$4:L20),0))</f>
        <v>43938.461538461546</v>
      </c>
      <c r="R20" s="149">
        <f>IF($B20="","",IF(OR($B21="",ROUNDUP(($A20+1)/Inputs!$B$14,0)&gt;$B20),SUMIF($B$4:$B20,$B20,M$4:M20),0))</f>
        <v>13625.538461538463</v>
      </c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 spans="1:31" ht="18" customHeight="1">
      <c r="A21" s="157">
        <v>18</v>
      </c>
      <c r="B21" s="77">
        <f>IF(A21&gt;Inputs!$C$51,"",ROUNDUP(A21/Inputs!$B$14,0))</f>
        <v>5</v>
      </c>
      <c r="C21" s="160" t="str">
        <f>IF(A21&gt;Inputs!$C$51,"",IF(A21=Inputs!$C$51,"Cuota + prepago total","Pago normal"))</f>
        <v>Pago normal</v>
      </c>
      <c r="D21" s="149">
        <f>IF(A21&gt;Inputs!$C$51,"",I20)</f>
        <v>5166983.8264755197</v>
      </c>
      <c r="E21" s="149">
        <f>IF(A21&gt;Inputs!$C$51,"",D21*Inputs!$B$17)</f>
        <v>62744.213931730235</v>
      </c>
      <c r="F21" s="149">
        <f>IF(A21&gt;Inputs!$C$51,"",MIN(Inputs!$B$20,D21+E21))</f>
        <v>111014.82187676849</v>
      </c>
      <c r="G21" s="149">
        <f>IF(A21&gt;Inputs!$C$51,"",MIN(D21,F21-E21))</f>
        <v>48270.607945038253</v>
      </c>
      <c r="H21" s="149">
        <f>IF(A21=Inputs!$C$51,MAX(0,D21-G21),0)</f>
        <v>0</v>
      </c>
      <c r="I21" s="149">
        <f>IF(A21&gt;Inputs!$C$51,"",MAX(0,D21-G21-H21))</f>
        <v>5118713.2185304817</v>
      </c>
      <c r="J21" s="163" t="str">
        <f>IF(A21&gt;Inputs!$C$51,"",IF(I21&lt;=0.005,"Cancelado","Vigente al día"))</f>
        <v>Vigente al día</v>
      </c>
      <c r="K21" s="149">
        <f>IF($A21&gt;Inputs!$C$51,"",Inputs!$B$28)</f>
        <v>48643.172307692315</v>
      </c>
      <c r="L21" s="149">
        <f>IF($A21&gt;Inputs!$C$51,"",Inputs!$B$29)</f>
        <v>10984.615384615387</v>
      </c>
      <c r="M21" s="149">
        <f>IF($A21&gt;Inputs!$C$51,"",Inputs!$B$30)</f>
        <v>3406.3846153846157</v>
      </c>
      <c r="N21" s="149">
        <f>IF($A21&gt;Inputs!$C$51,"",SUM(K21:M21))</f>
        <v>63034.172307692315</v>
      </c>
      <c r="O21" s="149">
        <f>IF($A21&gt;Inputs!$C$51,"",F21+H21+N21)</f>
        <v>174048.99418446081</v>
      </c>
      <c r="P21" s="149">
        <f>IF($B21="","",IF(OR($B22="",ROUNDUP(($A21+1)/Inputs!$B$14,0)&gt;$B21),SUMIF($B$4:$B21,$B21,K$4:K21),0))</f>
        <v>0</v>
      </c>
      <c r="Q21" s="149">
        <f>IF($B21="","",IF(OR($B22="",ROUNDUP(($A21+1)/Inputs!$B$14,0)&gt;$B21),SUMIF($B$4:$B21,$B21,L$4:L21),0))</f>
        <v>0</v>
      </c>
      <c r="R21" s="149">
        <f>IF($B21="","",IF(OR($B22="",ROUNDUP(($A21+1)/Inputs!$B$14,0)&gt;$B21),SUMIF($B$4:$B21,$B21,M$4:M21),0))</f>
        <v>0</v>
      </c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</row>
    <row r="22" spans="1:31" ht="18" customHeight="1">
      <c r="A22" s="157">
        <v>19</v>
      </c>
      <c r="B22" s="77">
        <f>IF(A22&gt;Inputs!$C$51,"",ROUNDUP(A22/Inputs!$B$14,0))</f>
        <v>5</v>
      </c>
      <c r="C22" s="160" t="str">
        <f>IF(A22&gt;Inputs!$C$51,"",IF(A22=Inputs!$C$51,"Cuota + prepago total","Pago normal"))</f>
        <v>Pago normal</v>
      </c>
      <c r="D22" s="149">
        <f>IF(A22&gt;Inputs!$C$51,"",I21)</f>
        <v>5118713.2185304817</v>
      </c>
      <c r="E22" s="149">
        <f>IF(A22&gt;Inputs!$C$51,"",D22*Inputs!$B$17)</f>
        <v>62158.049652291396</v>
      </c>
      <c r="F22" s="149">
        <f>IF(A22&gt;Inputs!$C$51,"",MIN(Inputs!$B$20,D22+E22))</f>
        <v>111014.82187676849</v>
      </c>
      <c r="G22" s="149">
        <f>IF(A22&gt;Inputs!$C$51,"",MIN(D22,F22-E22))</f>
        <v>48856.772224477092</v>
      </c>
      <c r="H22" s="149">
        <f>IF(A22=Inputs!$C$51,MAX(0,D22-G22),0)</f>
        <v>0</v>
      </c>
      <c r="I22" s="149">
        <f>IF(A22&gt;Inputs!$C$51,"",MAX(0,D22-G22-H22))</f>
        <v>5069856.4463060042</v>
      </c>
      <c r="J22" s="163" t="str">
        <f>IF(A22&gt;Inputs!$C$51,"",IF(I22&lt;=0.005,"Cancelado","Vigente al día"))</f>
        <v>Vigente al día</v>
      </c>
      <c r="K22" s="149">
        <f>IF($A22&gt;Inputs!$C$51,"",Inputs!$B$28)</f>
        <v>48643.172307692315</v>
      </c>
      <c r="L22" s="149">
        <f>IF($A22&gt;Inputs!$C$51,"",Inputs!$B$29)</f>
        <v>10984.615384615387</v>
      </c>
      <c r="M22" s="149">
        <f>IF($A22&gt;Inputs!$C$51,"",Inputs!$B$30)</f>
        <v>3406.3846153846157</v>
      </c>
      <c r="N22" s="149">
        <f>IF($A22&gt;Inputs!$C$51,"",SUM(K22:M22))</f>
        <v>63034.172307692315</v>
      </c>
      <c r="O22" s="149">
        <f>IF($A22&gt;Inputs!$C$51,"",F22+H22+N22)</f>
        <v>174048.99418446081</v>
      </c>
      <c r="P22" s="149">
        <f>IF($B22="","",IF(OR($B23="",ROUNDUP(($A22+1)/Inputs!$B$14,0)&gt;$B22),SUMIF($B$4:$B22,$B22,K$4:K22),0))</f>
        <v>0</v>
      </c>
      <c r="Q22" s="149">
        <f>IF($B22="","",IF(OR($B23="",ROUNDUP(($A22+1)/Inputs!$B$14,0)&gt;$B22),SUMIF($B$4:$B22,$B22,L$4:L22),0))</f>
        <v>0</v>
      </c>
      <c r="R22" s="149">
        <f>IF($B22="","",IF(OR($B23="",ROUNDUP(($A22+1)/Inputs!$B$14,0)&gt;$B22),SUMIF($B$4:$B22,$B22,M$4:M22),0))</f>
        <v>0</v>
      </c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spans="1:31" ht="18" customHeight="1">
      <c r="A23" s="157">
        <v>20</v>
      </c>
      <c r="B23" s="77">
        <f>IF(A23&gt;Inputs!$C$51,"",ROUNDUP(A23/Inputs!$B$14,0))</f>
        <v>5</v>
      </c>
      <c r="C23" s="160" t="str">
        <f>IF(A23&gt;Inputs!$C$51,"",IF(A23=Inputs!$C$51,"Cuota + prepago total","Pago normal"))</f>
        <v>Pago normal</v>
      </c>
      <c r="D23" s="149">
        <f>IF(A23&gt;Inputs!$C$51,"",I22)</f>
        <v>5069856.4463060042</v>
      </c>
      <c r="E23" s="149">
        <f>IF(A23&gt;Inputs!$C$51,"",D23*Inputs!$B$17)</f>
        <v>61564.767406514089</v>
      </c>
      <c r="F23" s="149">
        <f>IF(A23&gt;Inputs!$C$51,"",MIN(Inputs!$B$20,D23+E23))</f>
        <v>111014.82187676849</v>
      </c>
      <c r="G23" s="149">
        <f>IF(A23&gt;Inputs!$C$51,"",MIN(D23,F23-E23))</f>
        <v>49450.054470254399</v>
      </c>
      <c r="H23" s="149">
        <f>IF(A23=Inputs!$C$51,MAX(0,D23-G23),0)</f>
        <v>0</v>
      </c>
      <c r="I23" s="149">
        <f>IF(A23&gt;Inputs!$C$51,"",MAX(0,D23-G23-H23))</f>
        <v>5020406.3918357501</v>
      </c>
      <c r="J23" s="163" t="str">
        <f>IF(A23&gt;Inputs!$C$51,"",IF(I23&lt;=0.005,"Cancelado","Vigente al día"))</f>
        <v>Vigente al día</v>
      </c>
      <c r="K23" s="149">
        <f>IF($A23&gt;Inputs!$C$51,"",Inputs!$B$28)</f>
        <v>48643.172307692315</v>
      </c>
      <c r="L23" s="149">
        <f>IF($A23&gt;Inputs!$C$51,"",Inputs!$B$29)</f>
        <v>10984.615384615387</v>
      </c>
      <c r="M23" s="149">
        <f>IF($A23&gt;Inputs!$C$51,"",Inputs!$B$30)</f>
        <v>3406.3846153846157</v>
      </c>
      <c r="N23" s="149">
        <f>IF($A23&gt;Inputs!$C$51,"",SUM(K23:M23))</f>
        <v>63034.172307692315</v>
      </c>
      <c r="O23" s="149">
        <f>IF($A23&gt;Inputs!$C$51,"",F23+H23+N23)</f>
        <v>174048.99418446081</v>
      </c>
      <c r="P23" s="149">
        <f>IF($B23="","",IF(OR($B24="",ROUNDUP(($A23+1)/Inputs!$B$14,0)&gt;$B23),SUMIF($B$4:$B23,$B23,K$4:K23),0))</f>
        <v>0</v>
      </c>
      <c r="Q23" s="149">
        <f>IF($B23="","",IF(OR($B24="",ROUNDUP(($A23+1)/Inputs!$B$14,0)&gt;$B23),SUMIF($B$4:$B23,$B23,L$4:L23),0))</f>
        <v>0</v>
      </c>
      <c r="R23" s="149">
        <f>IF($B23="","",IF(OR($B24="",ROUNDUP(($A23+1)/Inputs!$B$14,0)&gt;$B23),SUMIF($B$4:$B23,$B23,M$4:M23),0))</f>
        <v>0</v>
      </c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 spans="1:31" ht="18" customHeight="1">
      <c r="A24" s="157">
        <v>21</v>
      </c>
      <c r="B24" s="77">
        <f>IF(A24&gt;Inputs!$C$51,"",ROUNDUP(A24/Inputs!$B$14,0))</f>
        <v>5</v>
      </c>
      <c r="C24" s="160" t="str">
        <f>IF(A24&gt;Inputs!$C$51,"",IF(A24=Inputs!$C$51,"Cuota + prepago total","Pago normal"))</f>
        <v>Pago normal</v>
      </c>
      <c r="D24" s="149">
        <f>IF(A24&gt;Inputs!$C$51,"",I23)</f>
        <v>5020406.3918357501</v>
      </c>
      <c r="E24" s="149">
        <f>IF(A24&gt;Inputs!$C$51,"",D24*Inputs!$B$17)</f>
        <v>60964.280758826295</v>
      </c>
      <c r="F24" s="149">
        <f>IF(A24&gt;Inputs!$C$51,"",MIN(Inputs!$B$20,D24+E24))</f>
        <v>111014.82187676849</v>
      </c>
      <c r="G24" s="149">
        <f>IF(A24&gt;Inputs!$C$51,"",MIN(D24,F24-E24))</f>
        <v>50050.541117942194</v>
      </c>
      <c r="H24" s="149">
        <f>IF(A24=Inputs!$C$51,MAX(0,D24-G24),0)</f>
        <v>0</v>
      </c>
      <c r="I24" s="149">
        <f>IF(A24&gt;Inputs!$C$51,"",MAX(0,D24-G24-H24))</f>
        <v>4970355.8507178081</v>
      </c>
      <c r="J24" s="163" t="str">
        <f>IF(A24&gt;Inputs!$C$51,"",IF(I24&lt;=0.005,"Cancelado","Vigente al día"))</f>
        <v>Vigente al día</v>
      </c>
      <c r="K24" s="149">
        <f>IF($A24&gt;Inputs!$C$51,"",Inputs!$B$28)</f>
        <v>48643.172307692315</v>
      </c>
      <c r="L24" s="149">
        <f>IF($A24&gt;Inputs!$C$51,"",Inputs!$B$29)</f>
        <v>10984.615384615387</v>
      </c>
      <c r="M24" s="149">
        <f>IF($A24&gt;Inputs!$C$51,"",Inputs!$B$30)</f>
        <v>3406.3846153846157</v>
      </c>
      <c r="N24" s="149">
        <f>IF($A24&gt;Inputs!$C$51,"",SUM(K24:M24))</f>
        <v>63034.172307692315</v>
      </c>
      <c r="O24" s="149">
        <f>IF($A24&gt;Inputs!$C$51,"",F24+H24+N24)</f>
        <v>174048.99418446081</v>
      </c>
      <c r="P24" s="149">
        <f>IF($B24="","",IF(OR($B25="",ROUNDUP(($A24+1)/Inputs!$B$14,0)&gt;$B24),SUMIF($B$4:$B24,$B24,K$4:K24),0))</f>
        <v>194572.68923076926</v>
      </c>
      <c r="Q24" s="149">
        <f>IF($B24="","",IF(OR($B25="",ROUNDUP(($A24+1)/Inputs!$B$14,0)&gt;$B24),SUMIF($B$4:$B24,$B24,L$4:L24),0))</f>
        <v>43938.461538461546</v>
      </c>
      <c r="R24" s="149">
        <f>IF($B24="","",IF(OR($B25="",ROUNDUP(($A24+1)/Inputs!$B$14,0)&gt;$B24),SUMIF($B$4:$B24,$B24,M$4:M24),0))</f>
        <v>13625.538461538463</v>
      </c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spans="1:31" ht="18" customHeight="1">
      <c r="A25" s="157">
        <v>22</v>
      </c>
      <c r="B25" s="77">
        <f>IF(A25&gt;Inputs!$C$51,"",ROUNDUP(A25/Inputs!$B$14,0))</f>
        <v>6</v>
      </c>
      <c r="C25" s="160" t="str">
        <f>IF(A25&gt;Inputs!$C$51,"",IF(A25=Inputs!$C$51,"Cuota + prepago total","Pago normal"))</f>
        <v>Pago normal</v>
      </c>
      <c r="D25" s="149">
        <f>IF(A25&gt;Inputs!$C$51,"",I24)</f>
        <v>4970355.8507178081</v>
      </c>
      <c r="E25" s="149">
        <f>IF(A25&gt;Inputs!$C$51,"",D25*Inputs!$B$17)</f>
        <v>60356.502224043244</v>
      </c>
      <c r="F25" s="149">
        <f>IF(A25&gt;Inputs!$C$51,"",MIN(Inputs!$B$20,D25+E25))</f>
        <v>111014.82187676849</v>
      </c>
      <c r="G25" s="149">
        <f>IF(A25&gt;Inputs!$C$51,"",MIN(D25,F25-E25))</f>
        <v>50658.319652725244</v>
      </c>
      <c r="H25" s="149">
        <f>IF(A25=Inputs!$C$51,MAX(0,D25-G25),0)</f>
        <v>0</v>
      </c>
      <c r="I25" s="149">
        <f>IF(A25&gt;Inputs!$C$51,"",MAX(0,D25-G25-H25))</f>
        <v>4919697.5310650831</v>
      </c>
      <c r="J25" s="163" t="str">
        <f>IF(A25&gt;Inputs!$C$51,"",IF(I25&lt;=0.005,"Cancelado","Vigente al día"))</f>
        <v>Vigente al día</v>
      </c>
      <c r="K25" s="149">
        <f>IF($A25&gt;Inputs!$C$51,"",Inputs!$B$28)</f>
        <v>48643.172307692315</v>
      </c>
      <c r="L25" s="149">
        <f>IF($A25&gt;Inputs!$C$51,"",Inputs!$B$29)</f>
        <v>10984.615384615387</v>
      </c>
      <c r="M25" s="149">
        <f>IF($A25&gt;Inputs!$C$51,"",Inputs!$B$30)</f>
        <v>3406.3846153846157</v>
      </c>
      <c r="N25" s="149">
        <f>IF($A25&gt;Inputs!$C$51,"",SUM(K25:M25))</f>
        <v>63034.172307692315</v>
      </c>
      <c r="O25" s="149">
        <f>IF($A25&gt;Inputs!$C$51,"",F25+H25+N25)</f>
        <v>174048.99418446081</v>
      </c>
      <c r="P25" s="149">
        <f>IF($B25="","",IF(OR($B26="",ROUNDUP(($A25+1)/Inputs!$B$14,0)&gt;$B25),SUMIF($B$4:$B25,$B25,K$4:K25),0))</f>
        <v>0</v>
      </c>
      <c r="Q25" s="149">
        <f>IF($B25="","",IF(OR($B26="",ROUNDUP(($A25+1)/Inputs!$B$14,0)&gt;$B25),SUMIF($B$4:$B25,$B25,L$4:L25),0))</f>
        <v>0</v>
      </c>
      <c r="R25" s="149">
        <f>IF($B25="","",IF(OR($B26="",ROUNDUP(($A25+1)/Inputs!$B$14,0)&gt;$B25),SUMIF($B$4:$B25,$B25,M$4:M25),0))</f>
        <v>0</v>
      </c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spans="1:31" ht="18" customHeight="1">
      <c r="A26" s="157">
        <v>23</v>
      </c>
      <c r="B26" s="77">
        <f>IF(A26&gt;Inputs!$C$51,"",ROUNDUP(A26/Inputs!$B$14,0))</f>
        <v>6</v>
      </c>
      <c r="C26" s="160" t="str">
        <f>IF(A26&gt;Inputs!$C$51,"",IF(A26=Inputs!$C$51,"Cuota + prepago total","Pago normal"))</f>
        <v>Pago normal</v>
      </c>
      <c r="D26" s="149">
        <f>IF(A26&gt;Inputs!$C$51,"",I25)</f>
        <v>4919697.5310650831</v>
      </c>
      <c r="E26" s="149">
        <f>IF(A26&gt;Inputs!$C$51,"",D26*Inputs!$B$17)</f>
        <v>59741.343254621679</v>
      </c>
      <c r="F26" s="149">
        <f>IF(A26&gt;Inputs!$C$51,"",MIN(Inputs!$B$20,D26+E26))</f>
        <v>111014.82187676849</v>
      </c>
      <c r="G26" s="149">
        <f>IF(A26&gt;Inputs!$C$51,"",MIN(D26,F26-E26))</f>
        <v>51273.478622146809</v>
      </c>
      <c r="H26" s="149">
        <f>IF(A26=Inputs!$C$51,MAX(0,D26-G26),0)</f>
        <v>0</v>
      </c>
      <c r="I26" s="149">
        <f>IF(A26&gt;Inputs!$C$51,"",MAX(0,D26-G26-H26))</f>
        <v>4868424.0524429362</v>
      </c>
      <c r="J26" s="163" t="str">
        <f>IF(A26&gt;Inputs!$C$51,"",IF(I26&lt;=0.005,"Cancelado","Vigente al día"))</f>
        <v>Vigente al día</v>
      </c>
      <c r="K26" s="149">
        <f>IF($A26&gt;Inputs!$C$51,"",Inputs!$B$28)</f>
        <v>48643.172307692315</v>
      </c>
      <c r="L26" s="149">
        <f>IF($A26&gt;Inputs!$C$51,"",Inputs!$B$29)</f>
        <v>10984.615384615387</v>
      </c>
      <c r="M26" s="149">
        <f>IF($A26&gt;Inputs!$C$51,"",Inputs!$B$30)</f>
        <v>3406.3846153846157</v>
      </c>
      <c r="N26" s="149">
        <f>IF($A26&gt;Inputs!$C$51,"",SUM(K26:M26))</f>
        <v>63034.172307692315</v>
      </c>
      <c r="O26" s="149">
        <f>IF($A26&gt;Inputs!$C$51,"",F26+H26+N26)</f>
        <v>174048.99418446081</v>
      </c>
      <c r="P26" s="149">
        <f>IF($B26="","",IF(OR($B27="",ROUNDUP(($A26+1)/Inputs!$B$14,0)&gt;$B26),SUMIF($B$4:$B26,$B26,K$4:K26),0))</f>
        <v>0</v>
      </c>
      <c r="Q26" s="149">
        <f>IF($B26="","",IF(OR($B27="",ROUNDUP(($A26+1)/Inputs!$B$14,0)&gt;$B26),SUMIF($B$4:$B26,$B26,L$4:L26),0))</f>
        <v>0</v>
      </c>
      <c r="R26" s="149">
        <f>IF($B26="","",IF(OR($B27="",ROUNDUP(($A26+1)/Inputs!$B$14,0)&gt;$B26),SUMIF($B$4:$B26,$B26,M$4:M26),0))</f>
        <v>0</v>
      </c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</row>
    <row r="27" spans="1:31" ht="18" customHeight="1">
      <c r="A27" s="157">
        <v>24</v>
      </c>
      <c r="B27" s="77">
        <f>IF(A27&gt;Inputs!$C$51,"",ROUNDUP(A27/Inputs!$B$14,0))</f>
        <v>6</v>
      </c>
      <c r="C27" s="160" t="str">
        <f>IF(A27&gt;Inputs!$C$51,"",IF(A27=Inputs!$C$51,"Cuota + prepago total","Pago normal"))</f>
        <v>Pago normal</v>
      </c>
      <c r="D27" s="149">
        <f>IF(A27&gt;Inputs!$C$51,"",I26)</f>
        <v>4868424.0524429362</v>
      </c>
      <c r="E27" s="149">
        <f>IF(A27&gt;Inputs!$C$51,"",D27*Inputs!$B$17)</f>
        <v>59118.714227759323</v>
      </c>
      <c r="F27" s="149">
        <f>IF(A27&gt;Inputs!$C$51,"",MIN(Inputs!$B$20,D27+E27))</f>
        <v>111014.82187676849</v>
      </c>
      <c r="G27" s="149">
        <f>IF(A27&gt;Inputs!$C$51,"",MIN(D27,F27-E27))</f>
        <v>51896.107649009165</v>
      </c>
      <c r="H27" s="149">
        <f>IF(A27=Inputs!$C$51,MAX(0,D27-G27),0)</f>
        <v>0</v>
      </c>
      <c r="I27" s="149">
        <f>IF(A27&gt;Inputs!$C$51,"",MAX(0,D27-G27-H27))</f>
        <v>4816527.9447939275</v>
      </c>
      <c r="J27" s="163" t="str">
        <f>IF(A27&gt;Inputs!$C$51,"",IF(I27&lt;=0.005,"Cancelado","Vigente al día"))</f>
        <v>Vigente al día</v>
      </c>
      <c r="K27" s="149">
        <f>IF($A27&gt;Inputs!$C$51,"",Inputs!$B$28)</f>
        <v>48643.172307692315</v>
      </c>
      <c r="L27" s="149">
        <f>IF($A27&gt;Inputs!$C$51,"",Inputs!$B$29)</f>
        <v>10984.615384615387</v>
      </c>
      <c r="M27" s="149">
        <f>IF($A27&gt;Inputs!$C$51,"",Inputs!$B$30)</f>
        <v>3406.3846153846157</v>
      </c>
      <c r="N27" s="149">
        <f>IF($A27&gt;Inputs!$C$51,"",SUM(K27:M27))</f>
        <v>63034.172307692315</v>
      </c>
      <c r="O27" s="149">
        <f>IF($A27&gt;Inputs!$C$51,"",F27+H27+N27)</f>
        <v>174048.99418446081</v>
      </c>
      <c r="P27" s="149">
        <f>IF($B27="","",IF(OR($B28="",ROUNDUP(($A27+1)/Inputs!$B$14,0)&gt;$B27),SUMIF($B$4:$B27,$B27,K$4:K27),0))</f>
        <v>0</v>
      </c>
      <c r="Q27" s="149">
        <f>IF($B27="","",IF(OR($B28="",ROUNDUP(($A27+1)/Inputs!$B$14,0)&gt;$B27),SUMIF($B$4:$B27,$B27,L$4:L27),0))</f>
        <v>0</v>
      </c>
      <c r="R27" s="149">
        <f>IF($B27="","",IF(OR($B28="",ROUNDUP(($A27+1)/Inputs!$B$14,0)&gt;$B27),SUMIF($B$4:$B27,$B27,M$4:M27),0))</f>
        <v>0</v>
      </c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spans="1:31" ht="18" customHeight="1">
      <c r="A28" s="157">
        <v>25</v>
      </c>
      <c r="B28" s="77">
        <f>IF(A28&gt;Inputs!$C$51,"",ROUNDUP(A28/Inputs!$B$14,0))</f>
        <v>6</v>
      </c>
      <c r="C28" s="160" t="str">
        <f>IF(A28&gt;Inputs!$C$51,"",IF(A28=Inputs!$C$51,"Cuota + prepago total","Pago normal"))</f>
        <v>Pago normal</v>
      </c>
      <c r="D28" s="149">
        <f>IF(A28&gt;Inputs!$C$51,"",I27)</f>
        <v>4816527.9447939275</v>
      </c>
      <c r="E28" s="149">
        <f>IF(A28&gt;Inputs!$C$51,"",D28*Inputs!$B$17)</f>
        <v>58488.52443233769</v>
      </c>
      <c r="F28" s="149">
        <f>IF(A28&gt;Inputs!$C$51,"",MIN(Inputs!$B$20,D28+E28))</f>
        <v>111014.82187676849</v>
      </c>
      <c r="G28" s="149">
        <f>IF(A28&gt;Inputs!$C$51,"",MIN(D28,F28-E28))</f>
        <v>52526.297444430798</v>
      </c>
      <c r="H28" s="149">
        <f>IF(A28=Inputs!$C$51,MAX(0,D28-G28),0)</f>
        <v>0</v>
      </c>
      <c r="I28" s="149">
        <f>IF(A28&gt;Inputs!$C$51,"",MAX(0,D28-G28-H28))</f>
        <v>4764001.6473494964</v>
      </c>
      <c r="J28" s="163" t="str">
        <f>IF(A28&gt;Inputs!$C$51,"",IF(I28&lt;=0.005,"Cancelado","Vigente al día"))</f>
        <v>Vigente al día</v>
      </c>
      <c r="K28" s="149">
        <f>IF($A28&gt;Inputs!$C$51,"",Inputs!$B$28)</f>
        <v>48643.172307692315</v>
      </c>
      <c r="L28" s="149">
        <f>IF($A28&gt;Inputs!$C$51,"",Inputs!$B$29)</f>
        <v>10984.615384615387</v>
      </c>
      <c r="M28" s="149">
        <f>IF($A28&gt;Inputs!$C$51,"",Inputs!$B$30)</f>
        <v>3406.3846153846157</v>
      </c>
      <c r="N28" s="149">
        <f>IF($A28&gt;Inputs!$C$51,"",SUM(K28:M28))</f>
        <v>63034.172307692315</v>
      </c>
      <c r="O28" s="149">
        <f>IF($A28&gt;Inputs!$C$51,"",F28+H28+N28)</f>
        <v>174048.99418446081</v>
      </c>
      <c r="P28" s="149">
        <f>IF($B28="","",IF(OR($B29="",ROUNDUP(($A28+1)/Inputs!$B$14,0)&gt;$B28),SUMIF($B$4:$B28,$B28,K$4:K28),0))</f>
        <v>0</v>
      </c>
      <c r="Q28" s="149">
        <f>IF($B28="","",IF(OR($B29="",ROUNDUP(($A28+1)/Inputs!$B$14,0)&gt;$B28),SUMIF($B$4:$B28,$B28,L$4:L28),0))</f>
        <v>0</v>
      </c>
      <c r="R28" s="149">
        <f>IF($B28="","",IF(OR($B29="",ROUNDUP(($A28+1)/Inputs!$B$14,0)&gt;$B28),SUMIF($B$4:$B28,$B28,M$4:M28),0))</f>
        <v>0</v>
      </c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spans="1:31" ht="18" customHeight="1">
      <c r="A29" s="157">
        <v>26</v>
      </c>
      <c r="B29" s="77">
        <f>IF(A29&gt;Inputs!$C$51,"",ROUNDUP(A29/Inputs!$B$14,0))</f>
        <v>6</v>
      </c>
      <c r="C29" s="160" t="str">
        <f>IF(A29&gt;Inputs!$C$51,"",IF(A29=Inputs!$C$51,"Cuota + prepago total","Pago normal"))</f>
        <v>Pago normal</v>
      </c>
      <c r="D29" s="149">
        <f>IF(A29&gt;Inputs!$C$51,"",I28)</f>
        <v>4764001.6473494964</v>
      </c>
      <c r="E29" s="149">
        <f>IF(A29&gt;Inputs!$C$51,"",D29*Inputs!$B$17)</f>
        <v>57850.682055706304</v>
      </c>
      <c r="F29" s="149">
        <f>IF(A29&gt;Inputs!$C$51,"",MIN(Inputs!$B$20,D29+E29))</f>
        <v>111014.82187676849</v>
      </c>
      <c r="G29" s="149">
        <f>IF(A29&gt;Inputs!$C$51,"",MIN(D29,F29-E29))</f>
        <v>53164.139821062185</v>
      </c>
      <c r="H29" s="149">
        <f>IF(A29=Inputs!$C$51,MAX(0,D29-G29),0)</f>
        <v>0</v>
      </c>
      <c r="I29" s="149">
        <f>IF(A29&gt;Inputs!$C$51,"",MAX(0,D29-G29-H29))</f>
        <v>4710837.5075284345</v>
      </c>
      <c r="J29" s="163" t="str">
        <f>IF(A29&gt;Inputs!$C$51,"",IF(I29&lt;=0.005,"Cancelado","Vigente al día"))</f>
        <v>Vigente al día</v>
      </c>
      <c r="K29" s="149">
        <f>IF($A29&gt;Inputs!$C$51,"",Inputs!$B$28)</f>
        <v>48643.172307692315</v>
      </c>
      <c r="L29" s="149">
        <f>IF($A29&gt;Inputs!$C$51,"",Inputs!$B$29)</f>
        <v>10984.615384615387</v>
      </c>
      <c r="M29" s="149">
        <f>IF($A29&gt;Inputs!$C$51,"",Inputs!$B$30)</f>
        <v>3406.3846153846157</v>
      </c>
      <c r="N29" s="149">
        <f>IF($A29&gt;Inputs!$C$51,"",SUM(K29:M29))</f>
        <v>63034.172307692315</v>
      </c>
      <c r="O29" s="149">
        <f>IF($A29&gt;Inputs!$C$51,"",F29+H29+N29)</f>
        <v>174048.99418446081</v>
      </c>
      <c r="P29" s="149">
        <f>IF($B29="","",IF(OR($B30="",ROUNDUP(($A29+1)/Inputs!$B$14,0)&gt;$B29),SUMIF($B$4:$B29,$B29,K$4:K29),0))</f>
        <v>243215.86153846158</v>
      </c>
      <c r="Q29" s="149">
        <f>IF($B29="","",IF(OR($B30="",ROUNDUP(($A29+1)/Inputs!$B$14,0)&gt;$B29),SUMIF($B$4:$B29,$B29,L$4:L29),0))</f>
        <v>54923.076923076937</v>
      </c>
      <c r="R29" s="149">
        <f>IF($B29="","",IF(OR($B30="",ROUNDUP(($A29+1)/Inputs!$B$14,0)&gt;$B29),SUMIF($B$4:$B29,$B29,M$4:M29),0))</f>
        <v>17031.923076923078</v>
      </c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spans="1:31" ht="18" customHeight="1">
      <c r="A30" s="157">
        <v>27</v>
      </c>
      <c r="B30" s="77">
        <f>IF(A30&gt;Inputs!$C$51,"",ROUNDUP(A30/Inputs!$B$14,0))</f>
        <v>7</v>
      </c>
      <c r="C30" s="160" t="str">
        <f>IF(A30&gt;Inputs!$C$51,"",IF(A30=Inputs!$C$51,"Cuota + prepago total","Pago normal"))</f>
        <v>Pago normal</v>
      </c>
      <c r="D30" s="149">
        <f>IF(A30&gt;Inputs!$C$51,"",I29)</f>
        <v>4710837.5075284345</v>
      </c>
      <c r="E30" s="149">
        <f>IF(A30&gt;Inputs!$C$51,"",D30*Inputs!$B$17)</f>
        <v>57205.09417030654</v>
      </c>
      <c r="F30" s="149">
        <f>IF(A30&gt;Inputs!$C$51,"",MIN(Inputs!$B$20,D30+E30))</f>
        <v>111014.82187676849</v>
      </c>
      <c r="G30" s="149">
        <f>IF(A30&gt;Inputs!$C$51,"",MIN(D30,F30-E30))</f>
        <v>53809.727706461948</v>
      </c>
      <c r="H30" s="149">
        <f>IF(A30=Inputs!$C$51,MAX(0,D30-G30),0)</f>
        <v>0</v>
      </c>
      <c r="I30" s="149">
        <f>IF(A30&gt;Inputs!$C$51,"",MAX(0,D30-G30-H30))</f>
        <v>4657027.7798219724</v>
      </c>
      <c r="J30" s="163" t="str">
        <f>IF(A30&gt;Inputs!$C$51,"",IF(I30&lt;=0.005,"Cancelado","Vigente al día"))</f>
        <v>Vigente al día</v>
      </c>
      <c r="K30" s="149">
        <f>IF($A30&gt;Inputs!$C$51,"",Inputs!$B$28)</f>
        <v>48643.172307692315</v>
      </c>
      <c r="L30" s="149">
        <f>IF($A30&gt;Inputs!$C$51,"",Inputs!$B$29)</f>
        <v>10984.615384615387</v>
      </c>
      <c r="M30" s="149">
        <f>IF($A30&gt;Inputs!$C$51,"",Inputs!$B$30)</f>
        <v>3406.3846153846157</v>
      </c>
      <c r="N30" s="149">
        <f>IF($A30&gt;Inputs!$C$51,"",SUM(K30:M30))</f>
        <v>63034.172307692315</v>
      </c>
      <c r="O30" s="149">
        <f>IF($A30&gt;Inputs!$C$51,"",F30+H30+N30)</f>
        <v>174048.99418446081</v>
      </c>
      <c r="P30" s="149">
        <f>IF($B30="","",IF(OR($B31="",ROUNDUP(($A30+1)/Inputs!$B$14,0)&gt;$B30),SUMIF($B$4:$B30,$B30,K$4:K30),0))</f>
        <v>0</v>
      </c>
      <c r="Q30" s="149">
        <f>IF($B30="","",IF(OR($B31="",ROUNDUP(($A30+1)/Inputs!$B$14,0)&gt;$B30),SUMIF($B$4:$B30,$B30,L$4:L30),0))</f>
        <v>0</v>
      </c>
      <c r="R30" s="149">
        <f>IF($B30="","",IF(OR($B31="",ROUNDUP(($A30+1)/Inputs!$B$14,0)&gt;$B30),SUMIF($B$4:$B30,$B30,M$4:M30),0))</f>
        <v>0</v>
      </c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spans="1:31" ht="18" customHeight="1">
      <c r="A31" s="157">
        <v>28</v>
      </c>
      <c r="B31" s="77">
        <f>IF(A31&gt;Inputs!$C$51,"",ROUNDUP(A31/Inputs!$B$14,0))</f>
        <v>7</v>
      </c>
      <c r="C31" s="160" t="str">
        <f>IF(A31&gt;Inputs!$C$51,"",IF(A31=Inputs!$C$51,"Cuota + prepago total","Pago normal"))</f>
        <v>Pago normal</v>
      </c>
      <c r="D31" s="149">
        <f>IF(A31&gt;Inputs!$C$51,"",I30)</f>
        <v>4657027.7798219724</v>
      </c>
      <c r="E31" s="149">
        <f>IF(A31&gt;Inputs!$C$51,"",D31*Inputs!$B$17)</f>
        <v>56551.666720132882</v>
      </c>
      <c r="F31" s="149">
        <f>IF(A31&gt;Inputs!$C$51,"",MIN(Inputs!$B$20,D31+E31))</f>
        <v>111014.82187676849</v>
      </c>
      <c r="G31" s="149">
        <f>IF(A31&gt;Inputs!$C$51,"",MIN(D31,F31-E31))</f>
        <v>54463.155156635607</v>
      </c>
      <c r="H31" s="149">
        <f>IF(A31=Inputs!$C$51,MAX(0,D31-G31),0)</f>
        <v>0</v>
      </c>
      <c r="I31" s="149">
        <f>IF(A31&gt;Inputs!$C$51,"",MAX(0,D31-G31-H31))</f>
        <v>4602564.6246653367</v>
      </c>
      <c r="J31" s="163" t="str">
        <f>IF(A31&gt;Inputs!$C$51,"",IF(I31&lt;=0.005,"Cancelado","Vigente al día"))</f>
        <v>Vigente al día</v>
      </c>
      <c r="K31" s="149">
        <f>IF($A31&gt;Inputs!$C$51,"",Inputs!$B$28)</f>
        <v>48643.172307692315</v>
      </c>
      <c r="L31" s="149">
        <f>IF($A31&gt;Inputs!$C$51,"",Inputs!$B$29)</f>
        <v>10984.615384615387</v>
      </c>
      <c r="M31" s="149">
        <f>IF($A31&gt;Inputs!$C$51,"",Inputs!$B$30)</f>
        <v>3406.3846153846157</v>
      </c>
      <c r="N31" s="149">
        <f>IF($A31&gt;Inputs!$C$51,"",SUM(K31:M31))</f>
        <v>63034.172307692315</v>
      </c>
      <c r="O31" s="149">
        <f>IF($A31&gt;Inputs!$C$51,"",F31+H31+N31)</f>
        <v>174048.99418446081</v>
      </c>
      <c r="P31" s="149">
        <f>IF($B31="","",IF(OR($B32="",ROUNDUP(($A31+1)/Inputs!$B$14,0)&gt;$B31),SUMIF($B$4:$B31,$B31,K$4:K31),0))</f>
        <v>0</v>
      </c>
      <c r="Q31" s="149">
        <f>IF($B31="","",IF(OR($B32="",ROUNDUP(($A31+1)/Inputs!$B$14,0)&gt;$B31),SUMIF($B$4:$B31,$B31,L$4:L31),0))</f>
        <v>0</v>
      </c>
      <c r="R31" s="149">
        <f>IF($B31="","",IF(OR($B32="",ROUNDUP(($A31+1)/Inputs!$B$14,0)&gt;$B31),SUMIF($B$4:$B31,$B31,M$4:M31),0))</f>
        <v>0</v>
      </c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spans="1:31" ht="18" customHeight="1">
      <c r="A32" s="157">
        <v>29</v>
      </c>
      <c r="B32" s="77">
        <f>IF(A32&gt;Inputs!$C$51,"",ROUNDUP(A32/Inputs!$B$14,0))</f>
        <v>7</v>
      </c>
      <c r="C32" s="160" t="str">
        <f>IF(A32&gt;Inputs!$C$51,"",IF(A32=Inputs!$C$51,"Cuota + prepago total","Pago normal"))</f>
        <v>Pago normal</v>
      </c>
      <c r="D32" s="149">
        <f>IF(A32&gt;Inputs!$C$51,"",I31)</f>
        <v>4602564.6246653367</v>
      </c>
      <c r="E32" s="149">
        <f>IF(A32&gt;Inputs!$C$51,"",D32*Inputs!$B$17)</f>
        <v>55890.304507029941</v>
      </c>
      <c r="F32" s="149">
        <f>IF(A32&gt;Inputs!$C$51,"",MIN(Inputs!$B$20,D32+E32))</f>
        <v>111014.82187676849</v>
      </c>
      <c r="G32" s="149">
        <f>IF(A32&gt;Inputs!$C$51,"",MIN(D32,F32-E32))</f>
        <v>55124.517369738547</v>
      </c>
      <c r="H32" s="149">
        <f>IF(A32=Inputs!$C$51,MAX(0,D32-G32),0)</f>
        <v>0</v>
      </c>
      <c r="I32" s="149">
        <f>IF(A32&gt;Inputs!$C$51,"",MAX(0,D32-G32-H32))</f>
        <v>4547440.1072955979</v>
      </c>
      <c r="J32" s="163" t="str">
        <f>IF(A32&gt;Inputs!$C$51,"",IF(I32&lt;=0.005,"Cancelado","Vigente al día"))</f>
        <v>Vigente al día</v>
      </c>
      <c r="K32" s="149">
        <f>IF($A32&gt;Inputs!$C$51,"",Inputs!$B$28)</f>
        <v>48643.172307692315</v>
      </c>
      <c r="L32" s="149">
        <f>IF($A32&gt;Inputs!$C$51,"",Inputs!$B$29)</f>
        <v>10984.615384615387</v>
      </c>
      <c r="M32" s="149">
        <f>IF($A32&gt;Inputs!$C$51,"",Inputs!$B$30)</f>
        <v>3406.3846153846157</v>
      </c>
      <c r="N32" s="149">
        <f>IF($A32&gt;Inputs!$C$51,"",SUM(K32:M32))</f>
        <v>63034.172307692315</v>
      </c>
      <c r="O32" s="149">
        <f>IF($A32&gt;Inputs!$C$51,"",F32+H32+N32)</f>
        <v>174048.99418446081</v>
      </c>
      <c r="P32" s="149">
        <f>IF($B32="","",IF(OR($B33="",ROUNDUP(($A32+1)/Inputs!$B$14,0)&gt;$B32),SUMIF($B$4:$B32,$B32,K$4:K32),0))</f>
        <v>0</v>
      </c>
      <c r="Q32" s="149">
        <f>IF($B32="","",IF(OR($B33="",ROUNDUP(($A32+1)/Inputs!$B$14,0)&gt;$B32),SUMIF($B$4:$B32,$B32,L$4:L32),0))</f>
        <v>0</v>
      </c>
      <c r="R32" s="149">
        <f>IF($B32="","",IF(OR($B33="",ROUNDUP(($A32+1)/Inputs!$B$14,0)&gt;$B32),SUMIF($B$4:$B32,$B32,M$4:M32),0))</f>
        <v>0</v>
      </c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spans="1:31" ht="18" customHeight="1">
      <c r="A33" s="157">
        <v>30</v>
      </c>
      <c r="B33" s="77">
        <f>IF(A33&gt;Inputs!$C$51,"",ROUNDUP(A33/Inputs!$B$14,0))</f>
        <v>7</v>
      </c>
      <c r="C33" s="160" t="str">
        <f>IF(A33&gt;Inputs!$C$51,"",IF(A33=Inputs!$C$51,"Cuota + prepago total","Pago normal"))</f>
        <v>Pago normal</v>
      </c>
      <c r="D33" s="149">
        <f>IF(A33&gt;Inputs!$C$51,"",I32)</f>
        <v>4547440.1072955979</v>
      </c>
      <c r="E33" s="149">
        <f>IF(A33&gt;Inputs!$C$51,"",D33*Inputs!$B$17)</f>
        <v>55220.91117682292</v>
      </c>
      <c r="F33" s="149">
        <f>IF(A33&gt;Inputs!$C$51,"",MIN(Inputs!$B$20,D33+E33))</f>
        <v>111014.82187676849</v>
      </c>
      <c r="G33" s="149">
        <f>IF(A33&gt;Inputs!$C$51,"",MIN(D33,F33-E33))</f>
        <v>55793.910699945569</v>
      </c>
      <c r="H33" s="149">
        <f>IF(A33=Inputs!$C$51,MAX(0,D33-G33),0)</f>
        <v>0</v>
      </c>
      <c r="I33" s="149">
        <f>IF(A33&gt;Inputs!$C$51,"",MAX(0,D33-G33-H33))</f>
        <v>4491646.196595652</v>
      </c>
      <c r="J33" s="163" t="str">
        <f>IF(A33&gt;Inputs!$C$51,"",IF(I33&lt;=0.005,"Cancelado","Vigente al día"))</f>
        <v>Vigente al día</v>
      </c>
      <c r="K33" s="149">
        <f>IF($A33&gt;Inputs!$C$51,"",Inputs!$B$28)</f>
        <v>48643.172307692315</v>
      </c>
      <c r="L33" s="149">
        <f>IF($A33&gt;Inputs!$C$51,"",Inputs!$B$29)</f>
        <v>10984.615384615387</v>
      </c>
      <c r="M33" s="149">
        <f>IF($A33&gt;Inputs!$C$51,"",Inputs!$B$30)</f>
        <v>3406.3846153846157</v>
      </c>
      <c r="N33" s="149">
        <f>IF($A33&gt;Inputs!$C$51,"",SUM(K33:M33))</f>
        <v>63034.172307692315</v>
      </c>
      <c r="O33" s="149">
        <f>IF($A33&gt;Inputs!$C$51,"",F33+H33+N33)</f>
        <v>174048.99418446081</v>
      </c>
      <c r="P33" s="149">
        <f>IF($B33="","",IF(OR($B34="",ROUNDUP(($A33+1)/Inputs!$B$14,0)&gt;$B33),SUMIF($B$4:$B33,$B33,K$4:K33),0))</f>
        <v>194572.68923076926</v>
      </c>
      <c r="Q33" s="149">
        <f>IF($B33="","",IF(OR($B34="",ROUNDUP(($A33+1)/Inputs!$B$14,0)&gt;$B33),SUMIF($B$4:$B33,$B33,L$4:L33),0))</f>
        <v>43938.461538461546</v>
      </c>
      <c r="R33" s="149">
        <f>IF($B33="","",IF(OR($B34="",ROUNDUP(($A33+1)/Inputs!$B$14,0)&gt;$B33),SUMIF($B$4:$B33,$B33,M$4:M33),0))</f>
        <v>13625.538461538463</v>
      </c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spans="1:31" ht="18" customHeight="1">
      <c r="A34" s="157">
        <v>31</v>
      </c>
      <c r="B34" s="77">
        <f>IF(A34&gt;Inputs!$C$51,"",ROUNDUP(A34/Inputs!$B$14,0))</f>
        <v>8</v>
      </c>
      <c r="C34" s="160" t="str">
        <f>IF(A34&gt;Inputs!$C$51,"",IF(A34=Inputs!$C$51,"Cuota + prepago total","Pago normal"))</f>
        <v>Pago normal</v>
      </c>
      <c r="D34" s="149">
        <f>IF(A34&gt;Inputs!$C$51,"",I33)</f>
        <v>4491646.196595652</v>
      </c>
      <c r="E34" s="149">
        <f>IF(A34&gt;Inputs!$C$51,"",D34*Inputs!$B$17)</f>
        <v>54543.389205279767</v>
      </c>
      <c r="F34" s="149">
        <f>IF(A34&gt;Inputs!$C$51,"",MIN(Inputs!$B$20,D34+E34))</f>
        <v>111014.82187676849</v>
      </c>
      <c r="G34" s="149">
        <f>IF(A34&gt;Inputs!$C$51,"",MIN(D34,F34-E34))</f>
        <v>56471.432671488721</v>
      </c>
      <c r="H34" s="149">
        <f>IF(A34=Inputs!$C$51,MAX(0,D34-G34),0)</f>
        <v>0</v>
      </c>
      <c r="I34" s="149">
        <f>IF(A34&gt;Inputs!$C$51,"",MAX(0,D34-G34-H34))</f>
        <v>4435174.7639241638</v>
      </c>
      <c r="J34" s="163" t="str">
        <f>IF(A34&gt;Inputs!$C$51,"",IF(I34&lt;=0.005,"Cancelado","Vigente al día"))</f>
        <v>Vigente al día</v>
      </c>
      <c r="K34" s="149">
        <f>IF($A34&gt;Inputs!$C$51,"",Inputs!$B$28)</f>
        <v>48643.172307692315</v>
      </c>
      <c r="L34" s="149">
        <f>IF($A34&gt;Inputs!$C$51,"",Inputs!$B$29)</f>
        <v>10984.615384615387</v>
      </c>
      <c r="M34" s="149">
        <f>IF($A34&gt;Inputs!$C$51,"",Inputs!$B$30)</f>
        <v>3406.3846153846157</v>
      </c>
      <c r="N34" s="149">
        <f>IF($A34&gt;Inputs!$C$51,"",SUM(K34:M34))</f>
        <v>63034.172307692315</v>
      </c>
      <c r="O34" s="149">
        <f>IF($A34&gt;Inputs!$C$51,"",F34+H34+N34)</f>
        <v>174048.99418446081</v>
      </c>
      <c r="P34" s="149">
        <f>IF($B34="","",IF(OR($B35="",ROUNDUP(($A34+1)/Inputs!$B$14,0)&gt;$B34),SUMIF($B$4:$B34,$B34,K$4:K34),0))</f>
        <v>0</v>
      </c>
      <c r="Q34" s="149">
        <f>IF($B34="","",IF(OR($B35="",ROUNDUP(($A34+1)/Inputs!$B$14,0)&gt;$B34),SUMIF($B$4:$B34,$B34,L$4:L34),0))</f>
        <v>0</v>
      </c>
      <c r="R34" s="149">
        <f>IF($B34="","",IF(OR($B35="",ROUNDUP(($A34+1)/Inputs!$B$14,0)&gt;$B34),SUMIF($B$4:$B34,$B34,M$4:M34),0))</f>
        <v>0</v>
      </c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spans="1:31" ht="18" customHeight="1">
      <c r="A35" s="157">
        <v>32</v>
      </c>
      <c r="B35" s="77">
        <f>IF(A35&gt;Inputs!$C$51,"",ROUNDUP(A35/Inputs!$B$14,0))</f>
        <v>8</v>
      </c>
      <c r="C35" s="160" t="str">
        <f>IF(A35&gt;Inputs!$C$51,"",IF(A35=Inputs!$C$51,"Cuota + prepago total","Pago normal"))</f>
        <v>Pago normal</v>
      </c>
      <c r="D35" s="149">
        <f>IF(A35&gt;Inputs!$C$51,"",I34)</f>
        <v>4435174.7639241638</v>
      </c>
      <c r="E35" s="149">
        <f>IF(A35&gt;Inputs!$C$51,"",D35*Inputs!$B$17)</f>
        <v>53857.639883902841</v>
      </c>
      <c r="F35" s="149">
        <f>IF(A35&gt;Inputs!$C$51,"",MIN(Inputs!$B$20,D35+E35))</f>
        <v>111014.82187676849</v>
      </c>
      <c r="G35" s="149">
        <f>IF(A35&gt;Inputs!$C$51,"",MIN(D35,F35-E35))</f>
        <v>57157.181992865648</v>
      </c>
      <c r="H35" s="149">
        <f>IF(A35=Inputs!$C$51,MAX(0,D35-G35),0)</f>
        <v>0</v>
      </c>
      <c r="I35" s="149">
        <f>IF(A35&gt;Inputs!$C$51,"",MAX(0,D35-G35-H35))</f>
        <v>4378017.5819312977</v>
      </c>
      <c r="J35" s="163" t="str">
        <f>IF(A35&gt;Inputs!$C$51,"",IF(I35&lt;=0.005,"Cancelado","Vigente al día"))</f>
        <v>Vigente al día</v>
      </c>
      <c r="K35" s="149">
        <f>IF($A35&gt;Inputs!$C$51,"",Inputs!$B$28)</f>
        <v>48643.172307692315</v>
      </c>
      <c r="L35" s="149">
        <f>IF($A35&gt;Inputs!$C$51,"",Inputs!$B$29)</f>
        <v>10984.615384615387</v>
      </c>
      <c r="M35" s="149">
        <f>IF($A35&gt;Inputs!$C$51,"",Inputs!$B$30)</f>
        <v>3406.3846153846157</v>
      </c>
      <c r="N35" s="149">
        <f>IF($A35&gt;Inputs!$C$51,"",SUM(K35:M35))</f>
        <v>63034.172307692315</v>
      </c>
      <c r="O35" s="149">
        <f>IF($A35&gt;Inputs!$C$51,"",F35+H35+N35)</f>
        <v>174048.99418446081</v>
      </c>
      <c r="P35" s="149">
        <f>IF($B35="","",IF(OR($B36="",ROUNDUP(($A35+1)/Inputs!$B$14,0)&gt;$B35),SUMIF($B$4:$B35,$B35,K$4:K35),0))</f>
        <v>0</v>
      </c>
      <c r="Q35" s="149">
        <f>IF($B35="","",IF(OR($B36="",ROUNDUP(($A35+1)/Inputs!$B$14,0)&gt;$B35),SUMIF($B$4:$B35,$B35,L$4:L35),0))</f>
        <v>0</v>
      </c>
      <c r="R35" s="149">
        <f>IF($B35="","",IF(OR($B36="",ROUNDUP(($A35+1)/Inputs!$B$14,0)&gt;$B35),SUMIF($B$4:$B35,$B35,M$4:M35),0))</f>
        <v>0</v>
      </c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spans="1:31" ht="18" customHeight="1">
      <c r="A36" s="157">
        <v>33</v>
      </c>
      <c r="B36" s="77">
        <f>IF(A36&gt;Inputs!$C$51,"",ROUNDUP(A36/Inputs!$B$14,0))</f>
        <v>8</v>
      </c>
      <c r="C36" s="160" t="str">
        <f>IF(A36&gt;Inputs!$C$51,"",IF(A36=Inputs!$C$51,"Cuota + prepago total","Pago normal"))</f>
        <v>Pago normal</v>
      </c>
      <c r="D36" s="149">
        <f>IF(A36&gt;Inputs!$C$51,"",I35)</f>
        <v>4378017.5819312977</v>
      </c>
      <c r="E36" s="149">
        <f>IF(A36&gt;Inputs!$C$51,"",D36*Inputs!$B$17)</f>
        <v>53163.563305547941</v>
      </c>
      <c r="F36" s="149">
        <f>IF(A36&gt;Inputs!$C$51,"",MIN(Inputs!$B$20,D36+E36))</f>
        <v>111014.82187676849</v>
      </c>
      <c r="G36" s="149">
        <f>IF(A36&gt;Inputs!$C$51,"",MIN(D36,F36-E36))</f>
        <v>57851.258571220547</v>
      </c>
      <c r="H36" s="149">
        <f>IF(A36=Inputs!$C$51,MAX(0,D36-G36),0)</f>
        <v>0</v>
      </c>
      <c r="I36" s="149">
        <f>IF(A36&gt;Inputs!$C$51,"",MAX(0,D36-G36-H36))</f>
        <v>4320166.3233600771</v>
      </c>
      <c r="J36" s="163" t="str">
        <f>IF(A36&gt;Inputs!$C$51,"",IF(I36&lt;=0.005,"Cancelado","Vigente al día"))</f>
        <v>Vigente al día</v>
      </c>
      <c r="K36" s="149">
        <f>IF($A36&gt;Inputs!$C$51,"",Inputs!$B$28)</f>
        <v>48643.172307692315</v>
      </c>
      <c r="L36" s="149">
        <f>IF($A36&gt;Inputs!$C$51,"",Inputs!$B$29)</f>
        <v>10984.615384615387</v>
      </c>
      <c r="M36" s="149">
        <f>IF($A36&gt;Inputs!$C$51,"",Inputs!$B$30)</f>
        <v>3406.3846153846157</v>
      </c>
      <c r="N36" s="149">
        <f>IF($A36&gt;Inputs!$C$51,"",SUM(K36:M36))</f>
        <v>63034.172307692315</v>
      </c>
      <c r="O36" s="149">
        <f>IF($A36&gt;Inputs!$C$51,"",F36+H36+N36)</f>
        <v>174048.99418446081</v>
      </c>
      <c r="P36" s="149">
        <f>IF($B36="","",IF(OR($B37="",ROUNDUP(($A36+1)/Inputs!$B$14,0)&gt;$B36),SUMIF($B$4:$B36,$B36,K$4:K36),0))</f>
        <v>0</v>
      </c>
      <c r="Q36" s="149">
        <f>IF($B36="","",IF(OR($B37="",ROUNDUP(($A36+1)/Inputs!$B$14,0)&gt;$B36),SUMIF($B$4:$B36,$B36,L$4:L36),0))</f>
        <v>0</v>
      </c>
      <c r="R36" s="149">
        <f>IF($B36="","",IF(OR($B37="",ROUNDUP(($A36+1)/Inputs!$B$14,0)&gt;$B36),SUMIF($B$4:$B36,$B36,M$4:M36),0))</f>
        <v>0</v>
      </c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spans="1:31" ht="18" customHeight="1">
      <c r="A37" s="157">
        <v>34</v>
      </c>
      <c r="B37" s="77">
        <f>IF(A37&gt;Inputs!$C$51,"",ROUNDUP(A37/Inputs!$B$14,0))</f>
        <v>8</v>
      </c>
      <c r="C37" s="160" t="str">
        <f>IF(A37&gt;Inputs!$C$51,"",IF(A37=Inputs!$C$51,"Cuota + prepago total","Pago normal"))</f>
        <v>Pago normal</v>
      </c>
      <c r="D37" s="149">
        <f>IF(A37&gt;Inputs!$C$51,"",I36)</f>
        <v>4320166.3233600771</v>
      </c>
      <c r="E37" s="149">
        <f>IF(A37&gt;Inputs!$C$51,"",D37*Inputs!$B$17)</f>
        <v>52461.058349868901</v>
      </c>
      <c r="F37" s="149">
        <f>IF(A37&gt;Inputs!$C$51,"",MIN(Inputs!$B$20,D37+E37))</f>
        <v>111014.82187676849</v>
      </c>
      <c r="G37" s="149">
        <f>IF(A37&gt;Inputs!$C$51,"",MIN(D37,F37-E37))</f>
        <v>58553.763526899587</v>
      </c>
      <c r="H37" s="149">
        <f>IF(A37=Inputs!$C$51,MAX(0,D37-G37),0)</f>
        <v>0</v>
      </c>
      <c r="I37" s="149">
        <f>IF(A37&gt;Inputs!$C$51,"",MAX(0,D37-G37-H37))</f>
        <v>4261612.5598331774</v>
      </c>
      <c r="J37" s="163" t="str">
        <f>IF(A37&gt;Inputs!$C$51,"",IF(I37&lt;=0.005,"Cancelado","Vigente al día"))</f>
        <v>Vigente al día</v>
      </c>
      <c r="K37" s="149">
        <f>IF($A37&gt;Inputs!$C$51,"",Inputs!$B$28)</f>
        <v>48643.172307692315</v>
      </c>
      <c r="L37" s="149">
        <f>IF($A37&gt;Inputs!$C$51,"",Inputs!$B$29)</f>
        <v>10984.615384615387</v>
      </c>
      <c r="M37" s="149">
        <f>IF($A37&gt;Inputs!$C$51,"",Inputs!$B$30)</f>
        <v>3406.3846153846157</v>
      </c>
      <c r="N37" s="149">
        <f>IF($A37&gt;Inputs!$C$51,"",SUM(K37:M37))</f>
        <v>63034.172307692315</v>
      </c>
      <c r="O37" s="149">
        <f>IF($A37&gt;Inputs!$C$51,"",F37+H37+N37)</f>
        <v>174048.99418446081</v>
      </c>
      <c r="P37" s="149">
        <f>IF($B37="","",IF(OR($B38="",ROUNDUP(($A37+1)/Inputs!$B$14,0)&gt;$B37),SUMIF($B$4:$B37,$B37,K$4:K37),0))</f>
        <v>194572.68923076926</v>
      </c>
      <c r="Q37" s="149">
        <f>IF($B37="","",IF(OR($B38="",ROUNDUP(($A37+1)/Inputs!$B$14,0)&gt;$B37),SUMIF($B$4:$B37,$B37,L$4:L37),0))</f>
        <v>43938.461538461546</v>
      </c>
      <c r="R37" s="149">
        <f>IF($B37="","",IF(OR($B38="",ROUNDUP(($A37+1)/Inputs!$B$14,0)&gt;$B37),SUMIF($B$4:$B37,$B37,M$4:M37),0))</f>
        <v>13625.538461538463</v>
      </c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spans="1:31" ht="18" customHeight="1">
      <c r="A38" s="157">
        <v>35</v>
      </c>
      <c r="B38" s="77">
        <f>IF(A38&gt;Inputs!$C$51,"",ROUNDUP(A38/Inputs!$B$14,0))</f>
        <v>9</v>
      </c>
      <c r="C38" s="160" t="str">
        <f>IF(A38&gt;Inputs!$C$51,"",IF(A38=Inputs!$C$51,"Cuota + prepago total","Pago normal"))</f>
        <v>Pago normal</v>
      </c>
      <c r="D38" s="149">
        <f>IF(A38&gt;Inputs!$C$51,"",I37)</f>
        <v>4261612.5598331774</v>
      </c>
      <c r="E38" s="149">
        <f>IF(A38&gt;Inputs!$C$51,"",D38*Inputs!$B$17)</f>
        <v>51750.022668585225</v>
      </c>
      <c r="F38" s="149">
        <f>IF(A38&gt;Inputs!$C$51,"",MIN(Inputs!$B$20,D38+E38))</f>
        <v>111014.82187676849</v>
      </c>
      <c r="G38" s="149">
        <f>IF(A38&gt;Inputs!$C$51,"",MIN(D38,F38-E38))</f>
        <v>59264.799208183264</v>
      </c>
      <c r="H38" s="149">
        <f>IF(A38=Inputs!$C$51,MAX(0,D38-G38),0)</f>
        <v>0</v>
      </c>
      <c r="I38" s="149">
        <f>IF(A38&gt;Inputs!$C$51,"",MAX(0,D38-G38-H38))</f>
        <v>4202347.7606249945</v>
      </c>
      <c r="J38" s="163" t="str">
        <f>IF(A38&gt;Inputs!$C$51,"",IF(I38&lt;=0.005,"Cancelado","Vigente al día"))</f>
        <v>Vigente al día</v>
      </c>
      <c r="K38" s="149">
        <f>IF($A38&gt;Inputs!$C$51,"",Inputs!$B$28)</f>
        <v>48643.172307692315</v>
      </c>
      <c r="L38" s="149">
        <f>IF($A38&gt;Inputs!$C$51,"",Inputs!$B$29)</f>
        <v>10984.615384615387</v>
      </c>
      <c r="M38" s="149">
        <f>IF($A38&gt;Inputs!$C$51,"",Inputs!$B$30)</f>
        <v>3406.3846153846157</v>
      </c>
      <c r="N38" s="149">
        <f>IF($A38&gt;Inputs!$C$51,"",SUM(K38:M38))</f>
        <v>63034.172307692315</v>
      </c>
      <c r="O38" s="149">
        <f>IF($A38&gt;Inputs!$C$51,"",F38+H38+N38)</f>
        <v>174048.99418446081</v>
      </c>
      <c r="P38" s="149">
        <f>IF($B38="","",IF(OR($B39="",ROUNDUP(($A38+1)/Inputs!$B$14,0)&gt;$B38),SUMIF($B$4:$B38,$B38,K$4:K38),0))</f>
        <v>0</v>
      </c>
      <c r="Q38" s="149">
        <f>IF($B38="","",IF(OR($B39="",ROUNDUP(($A38+1)/Inputs!$B$14,0)&gt;$B38),SUMIF($B$4:$B38,$B38,L$4:L38),0))</f>
        <v>0</v>
      </c>
      <c r="R38" s="149">
        <f>IF($B38="","",IF(OR($B39="",ROUNDUP(($A38+1)/Inputs!$B$14,0)&gt;$B38),SUMIF($B$4:$B38,$B38,M$4:M38),0))</f>
        <v>0</v>
      </c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spans="1:31" ht="18" customHeight="1">
      <c r="A39" s="157">
        <v>36</v>
      </c>
      <c r="B39" s="77">
        <f>IF(A39&gt;Inputs!$C$51,"",ROUNDUP(A39/Inputs!$B$14,0))</f>
        <v>9</v>
      </c>
      <c r="C39" s="160" t="str">
        <f>IF(A39&gt;Inputs!$C$51,"",IF(A39=Inputs!$C$51,"Cuota + prepago total","Pago normal"))</f>
        <v>Pago normal</v>
      </c>
      <c r="D39" s="149">
        <f>IF(A39&gt;Inputs!$C$51,"",I38)</f>
        <v>4202347.7606249945</v>
      </c>
      <c r="E39" s="149">
        <f>IF(A39&gt;Inputs!$C$51,"",D39*Inputs!$B$17)</f>
        <v>51030.352670570988</v>
      </c>
      <c r="F39" s="149">
        <f>IF(A39&gt;Inputs!$C$51,"",MIN(Inputs!$B$20,D39+E39))</f>
        <v>111014.82187676849</v>
      </c>
      <c r="G39" s="149">
        <f>IF(A39&gt;Inputs!$C$51,"",MIN(D39,F39-E39))</f>
        <v>59984.4692061975</v>
      </c>
      <c r="H39" s="149">
        <f>IF(A39=Inputs!$C$51,MAX(0,D39-G39),0)</f>
        <v>0</v>
      </c>
      <c r="I39" s="149">
        <f>IF(A39&gt;Inputs!$C$51,"",MAX(0,D39-G39-H39))</f>
        <v>4142363.2914187969</v>
      </c>
      <c r="J39" s="163" t="str">
        <f>IF(A39&gt;Inputs!$C$51,"",IF(I39&lt;=0.005,"Cancelado","Vigente al día"))</f>
        <v>Vigente al día</v>
      </c>
      <c r="K39" s="149">
        <f>IF($A39&gt;Inputs!$C$51,"",Inputs!$B$28)</f>
        <v>48643.172307692315</v>
      </c>
      <c r="L39" s="149">
        <f>IF($A39&gt;Inputs!$C$51,"",Inputs!$B$29)</f>
        <v>10984.615384615387</v>
      </c>
      <c r="M39" s="149">
        <f>IF($A39&gt;Inputs!$C$51,"",Inputs!$B$30)</f>
        <v>3406.3846153846157</v>
      </c>
      <c r="N39" s="149">
        <f>IF($A39&gt;Inputs!$C$51,"",SUM(K39:M39))</f>
        <v>63034.172307692315</v>
      </c>
      <c r="O39" s="149">
        <f>IF($A39&gt;Inputs!$C$51,"",F39+H39+N39)</f>
        <v>174048.99418446081</v>
      </c>
      <c r="P39" s="149">
        <f>IF($B39="","",IF(OR($B40="",ROUNDUP(($A39+1)/Inputs!$B$14,0)&gt;$B39),SUMIF($B$4:$B39,$B39,K$4:K39),0))</f>
        <v>0</v>
      </c>
      <c r="Q39" s="149">
        <f>IF($B39="","",IF(OR($B40="",ROUNDUP(($A39+1)/Inputs!$B$14,0)&gt;$B39),SUMIF($B$4:$B39,$B39,L$4:L39),0))</f>
        <v>0</v>
      </c>
      <c r="R39" s="149">
        <f>IF($B39="","",IF(OR($B40="",ROUNDUP(($A39+1)/Inputs!$B$14,0)&gt;$B39),SUMIF($B$4:$B39,$B39,M$4:M39),0))</f>
        <v>0</v>
      </c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spans="1:31" ht="18" customHeight="1">
      <c r="A40" s="157">
        <v>37</v>
      </c>
      <c r="B40" s="77">
        <f>IF(A40&gt;Inputs!$C$51,"",ROUNDUP(A40/Inputs!$B$14,0))</f>
        <v>9</v>
      </c>
      <c r="C40" s="160" t="str">
        <f>IF(A40&gt;Inputs!$C$51,"",IF(A40=Inputs!$C$51,"Cuota + prepago total","Pago normal"))</f>
        <v>Pago normal</v>
      </c>
      <c r="D40" s="149">
        <f>IF(A40&gt;Inputs!$C$51,"",I39)</f>
        <v>4142363.2914187969</v>
      </c>
      <c r="E40" s="149">
        <f>IF(A40&gt;Inputs!$C$51,"",D40*Inputs!$B$17)</f>
        <v>50301.943506762509</v>
      </c>
      <c r="F40" s="149">
        <f>IF(A40&gt;Inputs!$C$51,"",MIN(Inputs!$B$20,D40+E40))</f>
        <v>111014.82187676849</v>
      </c>
      <c r="G40" s="149">
        <f>IF(A40&gt;Inputs!$C$51,"",MIN(D40,F40-E40))</f>
        <v>60712.878370005979</v>
      </c>
      <c r="H40" s="149">
        <f>IF(A40=Inputs!$C$51,MAX(0,D40-G40),0)</f>
        <v>0</v>
      </c>
      <c r="I40" s="149">
        <f>IF(A40&gt;Inputs!$C$51,"",MAX(0,D40-G40-H40))</f>
        <v>4081650.4130487908</v>
      </c>
      <c r="J40" s="163" t="str">
        <f>IF(A40&gt;Inputs!$C$51,"",IF(I40&lt;=0.005,"Cancelado","Vigente al día"))</f>
        <v>Vigente al día</v>
      </c>
      <c r="K40" s="149">
        <f>IF($A40&gt;Inputs!$C$51,"",Inputs!$B$28)</f>
        <v>48643.172307692315</v>
      </c>
      <c r="L40" s="149">
        <f>IF($A40&gt;Inputs!$C$51,"",Inputs!$B$29)</f>
        <v>10984.615384615387</v>
      </c>
      <c r="M40" s="149">
        <f>IF($A40&gt;Inputs!$C$51,"",Inputs!$B$30)</f>
        <v>3406.3846153846157</v>
      </c>
      <c r="N40" s="149">
        <f>IF($A40&gt;Inputs!$C$51,"",SUM(K40:M40))</f>
        <v>63034.172307692315</v>
      </c>
      <c r="O40" s="149">
        <f>IF($A40&gt;Inputs!$C$51,"",F40+H40+N40)</f>
        <v>174048.99418446081</v>
      </c>
      <c r="P40" s="149">
        <f>IF($B40="","",IF(OR($B41="",ROUNDUP(($A40+1)/Inputs!$B$14,0)&gt;$B40),SUMIF($B$4:$B40,$B40,K$4:K40),0))</f>
        <v>0</v>
      </c>
      <c r="Q40" s="149">
        <f>IF($B40="","",IF(OR($B41="",ROUNDUP(($A40+1)/Inputs!$B$14,0)&gt;$B40),SUMIF($B$4:$B40,$B40,L$4:L40),0))</f>
        <v>0</v>
      </c>
      <c r="R40" s="149">
        <f>IF($B40="","",IF(OR($B41="",ROUNDUP(($A40+1)/Inputs!$B$14,0)&gt;$B40),SUMIF($B$4:$B40,$B40,M$4:M40),0))</f>
        <v>0</v>
      </c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spans="1:31" ht="18" customHeight="1">
      <c r="A41" s="157">
        <v>38</v>
      </c>
      <c r="B41" s="77">
        <f>IF(A41&gt;Inputs!$C$51,"",ROUNDUP(A41/Inputs!$B$14,0))</f>
        <v>9</v>
      </c>
      <c r="C41" s="160" t="str">
        <f>IF(A41&gt;Inputs!$C$51,"",IF(A41=Inputs!$C$51,"Cuota + prepago total","Pago normal"))</f>
        <v>Pago normal</v>
      </c>
      <c r="D41" s="149">
        <f>IF(A41&gt;Inputs!$C$51,"",I40)</f>
        <v>4081650.4130487908</v>
      </c>
      <c r="E41" s="149">
        <f>IF(A41&gt;Inputs!$C$51,"",D41*Inputs!$B$17)</f>
        <v>49564.689054882947</v>
      </c>
      <c r="F41" s="149">
        <f>IF(A41&gt;Inputs!$C$51,"",MIN(Inputs!$B$20,D41+E41))</f>
        <v>111014.82187676849</v>
      </c>
      <c r="G41" s="149">
        <f>IF(A41&gt;Inputs!$C$51,"",MIN(D41,F41-E41))</f>
        <v>61450.132821885541</v>
      </c>
      <c r="H41" s="149">
        <f>IF(A41=Inputs!$C$51,MAX(0,D41-G41),0)</f>
        <v>0</v>
      </c>
      <c r="I41" s="149">
        <f>IF(A41&gt;Inputs!$C$51,"",MAX(0,D41-G41-H41))</f>
        <v>4020200.2802269054</v>
      </c>
      <c r="J41" s="163" t="str">
        <f>IF(A41&gt;Inputs!$C$51,"",IF(I41&lt;=0.005,"Cancelado","Vigente al día"))</f>
        <v>Vigente al día</v>
      </c>
      <c r="K41" s="149">
        <f>IF($A41&gt;Inputs!$C$51,"",Inputs!$B$28)</f>
        <v>48643.172307692315</v>
      </c>
      <c r="L41" s="149">
        <f>IF($A41&gt;Inputs!$C$51,"",Inputs!$B$29)</f>
        <v>10984.615384615387</v>
      </c>
      <c r="M41" s="149">
        <f>IF($A41&gt;Inputs!$C$51,"",Inputs!$B$30)</f>
        <v>3406.3846153846157</v>
      </c>
      <c r="N41" s="149">
        <f>IF($A41&gt;Inputs!$C$51,"",SUM(K41:M41))</f>
        <v>63034.172307692315</v>
      </c>
      <c r="O41" s="149">
        <f>IF($A41&gt;Inputs!$C$51,"",F41+H41+N41)</f>
        <v>174048.99418446081</v>
      </c>
      <c r="P41" s="149">
        <f>IF($B41="","",IF(OR($B42="",ROUNDUP(($A41+1)/Inputs!$B$14,0)&gt;$B41),SUMIF($B$4:$B41,$B41,K$4:K41),0))</f>
        <v>0</v>
      </c>
      <c r="Q41" s="149">
        <f>IF($B41="","",IF(OR($B42="",ROUNDUP(($A41+1)/Inputs!$B$14,0)&gt;$B41),SUMIF($B$4:$B41,$B41,L$4:L41),0))</f>
        <v>0</v>
      </c>
      <c r="R41" s="149">
        <f>IF($B41="","",IF(OR($B42="",ROUNDUP(($A41+1)/Inputs!$B$14,0)&gt;$B41),SUMIF($B$4:$B41,$B41,M$4:M41),0))</f>
        <v>0</v>
      </c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spans="1:31" ht="18" customHeight="1">
      <c r="A42" s="157">
        <v>39</v>
      </c>
      <c r="B42" s="77">
        <f>IF(A42&gt;Inputs!$C$51,"",ROUNDUP(A42/Inputs!$B$14,0))</f>
        <v>9</v>
      </c>
      <c r="C42" s="160" t="str">
        <f>IF(A42&gt;Inputs!$C$51,"",IF(A42=Inputs!$C$51,"Cuota + prepago total","Pago normal"))</f>
        <v>Pago normal</v>
      </c>
      <c r="D42" s="149">
        <f>IF(A42&gt;Inputs!$C$51,"",I41)</f>
        <v>4020200.2802269054</v>
      </c>
      <c r="E42" s="149">
        <f>IF(A42&gt;Inputs!$C$51,"",D42*Inputs!$B$17)</f>
        <v>48818.481903981214</v>
      </c>
      <c r="F42" s="149">
        <f>IF(A42&gt;Inputs!$C$51,"",MIN(Inputs!$B$20,D42+E42))</f>
        <v>111014.82187676849</v>
      </c>
      <c r="G42" s="149">
        <f>IF(A42&gt;Inputs!$C$51,"",MIN(D42,F42-E42))</f>
        <v>62196.339972787275</v>
      </c>
      <c r="H42" s="149">
        <f>IF(A42=Inputs!$C$51,MAX(0,D42-G42),0)</f>
        <v>0</v>
      </c>
      <c r="I42" s="149">
        <f>IF(A42&gt;Inputs!$C$51,"",MAX(0,D42-G42-H42))</f>
        <v>3958003.9402541183</v>
      </c>
      <c r="J42" s="163" t="str">
        <f>IF(A42&gt;Inputs!$C$51,"",IF(I42&lt;=0.005,"Cancelado","Vigente al día"))</f>
        <v>Vigente al día</v>
      </c>
      <c r="K42" s="149">
        <f>IF($A42&gt;Inputs!$C$51,"",Inputs!$B$28)</f>
        <v>48643.172307692315</v>
      </c>
      <c r="L42" s="149">
        <f>IF($A42&gt;Inputs!$C$51,"",Inputs!$B$29)</f>
        <v>10984.615384615387</v>
      </c>
      <c r="M42" s="149">
        <f>IF($A42&gt;Inputs!$C$51,"",Inputs!$B$30)</f>
        <v>3406.3846153846157</v>
      </c>
      <c r="N42" s="149">
        <f>IF($A42&gt;Inputs!$C$51,"",SUM(K42:M42))</f>
        <v>63034.172307692315</v>
      </c>
      <c r="O42" s="149">
        <f>IF($A42&gt;Inputs!$C$51,"",F42+H42+N42)</f>
        <v>174048.99418446081</v>
      </c>
      <c r="P42" s="149">
        <f>IF($B42="","",IF(OR($B43="",ROUNDUP(($A42+1)/Inputs!$B$14,0)&gt;$B42),SUMIF($B$4:$B42,$B42,K$4:K42),0))</f>
        <v>243215.86153846158</v>
      </c>
      <c r="Q42" s="149">
        <f>IF($B42="","",IF(OR($B43="",ROUNDUP(($A42+1)/Inputs!$B$14,0)&gt;$B42),SUMIF($B$4:$B42,$B42,L$4:L42),0))</f>
        <v>54923.076923076937</v>
      </c>
      <c r="R42" s="149">
        <f>IF($B42="","",IF(OR($B43="",ROUNDUP(($A42+1)/Inputs!$B$14,0)&gt;$B42),SUMIF($B$4:$B42,$B42,M$4:M42),0))</f>
        <v>17031.923076923078</v>
      </c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spans="1:31" ht="18" customHeight="1">
      <c r="A43" s="157">
        <v>40</v>
      </c>
      <c r="B43" s="77">
        <f>IF(A43&gt;Inputs!$C$51,"",ROUNDUP(A43/Inputs!$B$14,0))</f>
        <v>10</v>
      </c>
      <c r="C43" s="160" t="str">
        <f>IF(A43&gt;Inputs!$C$51,"",IF(A43=Inputs!$C$51,"Cuota + prepago total","Pago normal"))</f>
        <v>Pago normal</v>
      </c>
      <c r="D43" s="149">
        <f>IF(A43&gt;Inputs!$C$51,"",I42)</f>
        <v>3958003.9402541183</v>
      </c>
      <c r="E43" s="149">
        <f>IF(A43&gt;Inputs!$C$51,"",D43*Inputs!$B$17)</f>
        <v>48063.213338783265</v>
      </c>
      <c r="F43" s="149">
        <f>IF(A43&gt;Inputs!$C$51,"",MIN(Inputs!$B$20,D43+E43))</f>
        <v>111014.82187676849</v>
      </c>
      <c r="G43" s="149">
        <f>IF(A43&gt;Inputs!$C$51,"",MIN(D43,F43-E43))</f>
        <v>62951.608537985223</v>
      </c>
      <c r="H43" s="149">
        <f>IF(A43=Inputs!$C$51,MAX(0,D43-G43),0)</f>
        <v>0</v>
      </c>
      <c r="I43" s="149">
        <f>IF(A43&gt;Inputs!$C$51,"",MAX(0,D43-G43-H43))</f>
        <v>3895052.3317161333</v>
      </c>
      <c r="J43" s="163" t="str">
        <f>IF(A43&gt;Inputs!$C$51,"",IF(I43&lt;=0.005,"Cancelado","Vigente al día"))</f>
        <v>Vigente al día</v>
      </c>
      <c r="K43" s="149">
        <f>IF($A43&gt;Inputs!$C$51,"",Inputs!$B$28)</f>
        <v>48643.172307692315</v>
      </c>
      <c r="L43" s="149">
        <f>IF($A43&gt;Inputs!$C$51,"",Inputs!$B$29)</f>
        <v>10984.615384615387</v>
      </c>
      <c r="M43" s="149">
        <f>IF($A43&gt;Inputs!$C$51,"",Inputs!$B$30)</f>
        <v>3406.3846153846157</v>
      </c>
      <c r="N43" s="149">
        <f>IF($A43&gt;Inputs!$C$51,"",SUM(K43:M43))</f>
        <v>63034.172307692315</v>
      </c>
      <c r="O43" s="149">
        <f>IF($A43&gt;Inputs!$C$51,"",F43+H43+N43)</f>
        <v>174048.99418446081</v>
      </c>
      <c r="P43" s="149">
        <f>IF($B43="","",IF(OR($B44="",ROUNDUP(($A43+1)/Inputs!$B$14,0)&gt;$B43),SUMIF($B$4:$B43,$B43,K$4:K43),0))</f>
        <v>0</v>
      </c>
      <c r="Q43" s="149">
        <f>IF($B43="","",IF(OR($B44="",ROUNDUP(($A43+1)/Inputs!$B$14,0)&gt;$B43),SUMIF($B$4:$B43,$B43,L$4:L43),0))</f>
        <v>0</v>
      </c>
      <c r="R43" s="149">
        <f>IF($B43="","",IF(OR($B44="",ROUNDUP(($A43+1)/Inputs!$B$14,0)&gt;$B43),SUMIF($B$4:$B43,$B43,M$4:M43),0))</f>
        <v>0</v>
      </c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spans="1:31" ht="18" customHeight="1">
      <c r="A44" s="157">
        <v>41</v>
      </c>
      <c r="B44" s="77">
        <f>IF(A44&gt;Inputs!$C$51,"",ROUNDUP(A44/Inputs!$B$14,0))</f>
        <v>10</v>
      </c>
      <c r="C44" s="160" t="str">
        <f>IF(A44&gt;Inputs!$C$51,"",IF(A44=Inputs!$C$51,"Cuota + prepago total","Pago normal"))</f>
        <v>Pago normal</v>
      </c>
      <c r="D44" s="149">
        <f>IF(A44&gt;Inputs!$C$51,"",I43)</f>
        <v>3895052.3317161333</v>
      </c>
      <c r="E44" s="149">
        <f>IF(A44&gt;Inputs!$C$51,"",D44*Inputs!$B$17)</f>
        <v>47298.773323853296</v>
      </c>
      <c r="F44" s="149">
        <f>IF(A44&gt;Inputs!$C$51,"",MIN(Inputs!$B$20,D44+E44))</f>
        <v>111014.82187676849</v>
      </c>
      <c r="G44" s="149">
        <f>IF(A44&gt;Inputs!$C$51,"",MIN(D44,F44-E44))</f>
        <v>63716.048552915192</v>
      </c>
      <c r="H44" s="149">
        <f>IF(A44=Inputs!$C$51,MAX(0,D44-G44),0)</f>
        <v>0</v>
      </c>
      <c r="I44" s="149">
        <f>IF(A44&gt;Inputs!$C$51,"",MAX(0,D44-G44-H44))</f>
        <v>3831336.2831632183</v>
      </c>
      <c r="J44" s="163" t="str">
        <f>IF(A44&gt;Inputs!$C$51,"",IF(I44&lt;=0.005,"Cancelado","Vigente al día"))</f>
        <v>Vigente al día</v>
      </c>
      <c r="K44" s="149">
        <f>IF($A44&gt;Inputs!$C$51,"",Inputs!$B$28)</f>
        <v>48643.172307692315</v>
      </c>
      <c r="L44" s="149">
        <f>IF($A44&gt;Inputs!$C$51,"",Inputs!$B$29)</f>
        <v>10984.615384615387</v>
      </c>
      <c r="M44" s="149">
        <f>IF($A44&gt;Inputs!$C$51,"",Inputs!$B$30)</f>
        <v>3406.3846153846157</v>
      </c>
      <c r="N44" s="149">
        <f>IF($A44&gt;Inputs!$C$51,"",SUM(K44:M44))</f>
        <v>63034.172307692315</v>
      </c>
      <c r="O44" s="149">
        <f>IF($A44&gt;Inputs!$C$51,"",F44+H44+N44)</f>
        <v>174048.99418446081</v>
      </c>
      <c r="P44" s="149">
        <f>IF($B44="","",IF(OR($B45="",ROUNDUP(($A44+1)/Inputs!$B$14,0)&gt;$B44),SUMIF($B$4:$B44,$B44,K$4:K44),0))</f>
        <v>0</v>
      </c>
      <c r="Q44" s="149">
        <f>IF($B44="","",IF(OR($B45="",ROUNDUP(($A44+1)/Inputs!$B$14,0)&gt;$B44),SUMIF($B$4:$B44,$B44,L$4:L44),0))</f>
        <v>0</v>
      </c>
      <c r="R44" s="149">
        <f>IF($B44="","",IF(OR($B45="",ROUNDUP(($A44+1)/Inputs!$B$14,0)&gt;$B44),SUMIF($B$4:$B44,$B44,M$4:M44),0))</f>
        <v>0</v>
      </c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spans="1:31" ht="18" customHeight="1">
      <c r="A45" s="157">
        <v>42</v>
      </c>
      <c r="B45" s="77">
        <f>IF(A45&gt;Inputs!$C$51,"",ROUNDUP(A45/Inputs!$B$14,0))</f>
        <v>10</v>
      </c>
      <c r="C45" s="160" t="str">
        <f>IF(A45&gt;Inputs!$C$51,"",IF(A45=Inputs!$C$51,"Cuota + prepago total","Pago normal"))</f>
        <v>Pago normal</v>
      </c>
      <c r="D45" s="149">
        <f>IF(A45&gt;Inputs!$C$51,"",I44)</f>
        <v>3831336.2831632183</v>
      </c>
      <c r="E45" s="149">
        <f>IF(A45&gt;Inputs!$C$51,"",D45*Inputs!$B$17)</f>
        <v>46525.050487562636</v>
      </c>
      <c r="F45" s="149">
        <f>IF(A45&gt;Inputs!$C$51,"",MIN(Inputs!$B$20,D45+E45))</f>
        <v>111014.82187676849</v>
      </c>
      <c r="G45" s="149">
        <f>IF(A45&gt;Inputs!$C$51,"",MIN(D45,F45-E45))</f>
        <v>64489.771389205853</v>
      </c>
      <c r="H45" s="149">
        <f>IF(A45=Inputs!$C$51,MAX(0,D45-G45),0)</f>
        <v>0</v>
      </c>
      <c r="I45" s="149">
        <f>IF(A45&gt;Inputs!$C$51,"",MAX(0,D45-G45-H45))</f>
        <v>3766846.5117740124</v>
      </c>
      <c r="J45" s="163" t="str">
        <f>IF(A45&gt;Inputs!$C$51,"",IF(I45&lt;=0.005,"Cancelado","Vigente al día"))</f>
        <v>Vigente al día</v>
      </c>
      <c r="K45" s="149">
        <f>IF($A45&gt;Inputs!$C$51,"",Inputs!$B$28)</f>
        <v>48643.172307692315</v>
      </c>
      <c r="L45" s="149">
        <f>IF($A45&gt;Inputs!$C$51,"",Inputs!$B$29)</f>
        <v>10984.615384615387</v>
      </c>
      <c r="M45" s="149">
        <f>IF($A45&gt;Inputs!$C$51,"",Inputs!$B$30)</f>
        <v>3406.3846153846157</v>
      </c>
      <c r="N45" s="149">
        <f>IF($A45&gt;Inputs!$C$51,"",SUM(K45:M45))</f>
        <v>63034.172307692315</v>
      </c>
      <c r="O45" s="149">
        <f>IF($A45&gt;Inputs!$C$51,"",F45+H45+N45)</f>
        <v>174048.99418446081</v>
      </c>
      <c r="P45" s="149">
        <f>IF($B45="","",IF(OR($B46="",ROUNDUP(($A45+1)/Inputs!$B$14,0)&gt;$B45),SUMIF($B$4:$B45,$B45,K$4:K45),0))</f>
        <v>0</v>
      </c>
      <c r="Q45" s="149">
        <f>IF($B45="","",IF(OR($B46="",ROUNDUP(($A45+1)/Inputs!$B$14,0)&gt;$B45),SUMIF($B$4:$B45,$B45,L$4:L45),0))</f>
        <v>0</v>
      </c>
      <c r="R45" s="149">
        <f>IF($B45="","",IF(OR($B46="",ROUNDUP(($A45+1)/Inputs!$B$14,0)&gt;$B45),SUMIF($B$4:$B45,$B45,M$4:M45),0))</f>
        <v>0</v>
      </c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spans="1:31" ht="18" customHeight="1">
      <c r="A46" s="157">
        <v>43</v>
      </c>
      <c r="B46" s="77">
        <f>IF(A46&gt;Inputs!$C$51,"",ROUNDUP(A46/Inputs!$B$14,0))</f>
        <v>10</v>
      </c>
      <c r="C46" s="160" t="str">
        <f>IF(A46&gt;Inputs!$C$51,"",IF(A46=Inputs!$C$51,"Cuota + prepago total","Pago normal"))</f>
        <v>Cuota + prepago total</v>
      </c>
      <c r="D46" s="149">
        <f>IF(A46&gt;Inputs!$C$51,"",I45)</f>
        <v>3766846.5117740124</v>
      </c>
      <c r="E46" s="149">
        <f>IF(A46&gt;Inputs!$C$51,"",D46*Inputs!$B$17)</f>
        <v>45741.932105863962</v>
      </c>
      <c r="F46" s="149">
        <f>IF(A46&gt;Inputs!$C$51,"",MIN(Inputs!$B$20,D46+E46))</f>
        <v>111014.82187676849</v>
      </c>
      <c r="G46" s="149">
        <f>IF(A46&gt;Inputs!$C$51,"",MIN(D46,F46-E46))</f>
        <v>65272.889770904527</v>
      </c>
      <c r="H46" s="149">
        <f>IF(A46=Inputs!$C$51,MAX(0,D46-G46),0)</f>
        <v>3701573.6220031078</v>
      </c>
      <c r="I46" s="149">
        <f>IF(A46&gt;Inputs!$C$51,"",MAX(0,D46-G46-H46))</f>
        <v>0</v>
      </c>
      <c r="J46" s="163" t="str">
        <f>IF(A46&gt;Inputs!$C$51,"",IF(I46&lt;=0.005,"Cancelado","Vigente al día"))</f>
        <v>Cancelado</v>
      </c>
      <c r="K46" s="149">
        <f>IF($A46&gt;Inputs!$C$51,"",Inputs!$B$28)</f>
        <v>48643.172307692315</v>
      </c>
      <c r="L46" s="149">
        <f>IF($A46&gt;Inputs!$C$51,"",Inputs!$B$29)</f>
        <v>10984.615384615387</v>
      </c>
      <c r="M46" s="149">
        <f>IF($A46&gt;Inputs!$C$51,"",Inputs!$B$30)</f>
        <v>3406.3846153846157</v>
      </c>
      <c r="N46" s="149">
        <f>IF($A46&gt;Inputs!$C$51,"",SUM(K46:M46))</f>
        <v>63034.172307692315</v>
      </c>
      <c r="O46" s="149">
        <f>IF($A46&gt;Inputs!$C$51,"",F46+H46+N46)</f>
        <v>3875622.6161875688</v>
      </c>
      <c r="P46" s="149">
        <f>IF($B46="","",IF(OR($B47="",ROUNDUP(($A46+1)/Inputs!$B$14,0)&gt;$B46),SUMIF($B$4:$B46,$B46,K$4:K46),0))</f>
        <v>194572.68923076926</v>
      </c>
      <c r="Q46" s="149">
        <f>IF($B46="","",IF(OR($B47="",ROUNDUP(($A46+1)/Inputs!$B$14,0)&gt;$B46),SUMIF($B$4:$B46,$B46,L$4:L46),0))</f>
        <v>43938.461538461546</v>
      </c>
      <c r="R46" s="149">
        <f>IF($B46="","",IF(OR($B47="",ROUNDUP(($A46+1)/Inputs!$B$14,0)&gt;$B46),SUMIF($B$4:$B46,$B46,M$4:M46),0))</f>
        <v>13625.538461538463</v>
      </c>
      <c r="S46" s="18"/>
      <c r="T46" s="213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spans="1:31" ht="18" customHeight="1">
      <c r="A47" s="157">
        <v>44</v>
      </c>
      <c r="B47" s="77" t="str">
        <f>IF(A47&gt;Inputs!$C$51,"",ROUNDUP(A47/Inputs!$B$14,0))</f>
        <v/>
      </c>
      <c r="C47" s="160" t="str">
        <f>IF(A47&gt;Inputs!$C$51,"",IF(A47=Inputs!$C$51,"Cuota + prepago total","Pago normal"))</f>
        <v/>
      </c>
      <c r="D47" s="149" t="str">
        <f>IF(A47&gt;Inputs!$C$51,"",I46)</f>
        <v/>
      </c>
      <c r="E47" s="149" t="str">
        <f>IF(A47&gt;Inputs!$C$51,"",D47*Inputs!$B$17)</f>
        <v/>
      </c>
      <c r="F47" s="149" t="str">
        <f>IF(A47&gt;Inputs!$C$51,"",MIN(Inputs!$B$20,D47+E47))</f>
        <v/>
      </c>
      <c r="G47" s="149" t="str">
        <f>IF(A47&gt;Inputs!$C$51,"",MIN(D47,F47-E47))</f>
        <v/>
      </c>
      <c r="H47" s="149">
        <f>IF(A47=Inputs!$C$51,MAX(0,D47-G47),0)</f>
        <v>0</v>
      </c>
      <c r="I47" s="149" t="str">
        <f>IF(A47&gt;Inputs!$C$51,"",MAX(0,D47-G47-H47))</f>
        <v/>
      </c>
      <c r="J47" s="163" t="str">
        <f>IF(A47&gt;Inputs!$C$51,"",IF(I47&lt;=0.005,"Cancelado","Vigente al día"))</f>
        <v/>
      </c>
      <c r="K47" s="149" t="str">
        <f>IF($A47&gt;Inputs!$C$51,"",Inputs!$B$28)</f>
        <v/>
      </c>
      <c r="L47" s="149" t="str">
        <f>IF($A47&gt;Inputs!$C$51,"",Inputs!$B$29)</f>
        <v/>
      </c>
      <c r="M47" s="149" t="str">
        <f>IF($A47&gt;Inputs!$C$51,"",Inputs!$B$30)</f>
        <v/>
      </c>
      <c r="N47" s="149" t="str">
        <f>IF($A47&gt;Inputs!$C$51,"",SUM(K47:M47))</f>
        <v/>
      </c>
      <c r="O47" s="149" t="str">
        <f>IF($A47&gt;Inputs!$C$51,"",F47+H47+N47)</f>
        <v/>
      </c>
      <c r="P47" s="149" t="str">
        <f>IF($B47="","",IF(OR($B48="",ROUNDUP(($A47+1)/Inputs!$B$14,0)&gt;$B47),SUMIF($B$4:$B47,$B47,K$4:K47),0))</f>
        <v/>
      </c>
      <c r="Q47" s="149" t="str">
        <f>IF($B47="","",IF(OR($B48="",ROUNDUP(($A47+1)/Inputs!$B$14,0)&gt;$B47),SUMIF($B$4:$B47,$B47,L$4:L47),0))</f>
        <v/>
      </c>
      <c r="R47" s="149" t="str">
        <f>IF($B47="","",IF(OR($B48="",ROUNDUP(($A47+1)/Inputs!$B$14,0)&gt;$B47),SUMIF($B$4:$B47,$B47,M$4:M47),0))</f>
        <v/>
      </c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spans="1:31" ht="18" customHeight="1">
      <c r="A48" s="157">
        <v>45</v>
      </c>
      <c r="B48" s="77" t="str">
        <f>IF(A48&gt;Inputs!$C$51,"",ROUNDUP(A48/Inputs!$B$14,0))</f>
        <v/>
      </c>
      <c r="C48" s="160" t="str">
        <f>IF(A48&gt;Inputs!$C$51,"",IF(A48=Inputs!$C$51,"Cuota + prepago total","Pago normal"))</f>
        <v/>
      </c>
      <c r="D48" s="149" t="str">
        <f>IF(A48&gt;Inputs!$C$51,"",I47)</f>
        <v/>
      </c>
      <c r="E48" s="149" t="str">
        <f>IF(A48&gt;Inputs!$C$51,"",D48*Inputs!$B$17)</f>
        <v/>
      </c>
      <c r="F48" s="149" t="str">
        <f>IF(A48&gt;Inputs!$C$51,"",MIN(Inputs!$B$20,D48+E48))</f>
        <v/>
      </c>
      <c r="G48" s="149" t="str">
        <f>IF(A48&gt;Inputs!$C$51,"",MIN(D48,F48-E48))</f>
        <v/>
      </c>
      <c r="H48" s="149">
        <f>IF(A48=Inputs!$C$51,MAX(0,D48-G48),0)</f>
        <v>0</v>
      </c>
      <c r="I48" s="149" t="str">
        <f>IF(A48&gt;Inputs!$C$51,"",MAX(0,D48-G48-H48))</f>
        <v/>
      </c>
      <c r="J48" s="163" t="str">
        <f>IF(A48&gt;Inputs!$C$51,"",IF(I48&lt;=0.005,"Cancelado","Vigente al día"))</f>
        <v/>
      </c>
      <c r="K48" s="149" t="str">
        <f>IF($A48&gt;Inputs!$C$51,"",Inputs!$B$28)</f>
        <v/>
      </c>
      <c r="L48" s="149" t="str">
        <f>IF($A48&gt;Inputs!$C$51,"",Inputs!$B$29)</f>
        <v/>
      </c>
      <c r="M48" s="149" t="str">
        <f>IF($A48&gt;Inputs!$C$51,"",Inputs!$B$30)</f>
        <v/>
      </c>
      <c r="N48" s="149" t="str">
        <f>IF($A48&gt;Inputs!$C$51,"",SUM(K48:M48))</f>
        <v/>
      </c>
      <c r="O48" s="149" t="str">
        <f>IF($A48&gt;Inputs!$C$51,"",F48+H48+N48)</f>
        <v/>
      </c>
      <c r="P48" s="149" t="str">
        <f>IF($B48="","",IF(OR($B49="",ROUNDUP(($A48+1)/Inputs!$B$14,0)&gt;$B48),SUMIF($B$4:$B48,$B48,K$4:K48),0))</f>
        <v/>
      </c>
      <c r="Q48" s="149" t="str">
        <f>IF($B48="","",IF(OR($B49="",ROUNDUP(($A48+1)/Inputs!$B$14,0)&gt;$B48),SUMIF($B$4:$B48,$B48,L$4:L48),0))</f>
        <v/>
      </c>
      <c r="R48" s="149" t="str">
        <f>IF($B48="","",IF(OR($B49="",ROUNDUP(($A48+1)/Inputs!$B$14,0)&gt;$B48),SUMIF($B$4:$B48,$B48,M$4:M48),0))</f>
        <v/>
      </c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spans="1:31" ht="18" customHeight="1">
      <c r="A49" s="157">
        <v>46</v>
      </c>
      <c r="B49" s="77" t="str">
        <f>IF(A49&gt;Inputs!$C$51,"",ROUNDUP(A49/Inputs!$B$14,0))</f>
        <v/>
      </c>
      <c r="C49" s="160" t="str">
        <f>IF(A49&gt;Inputs!$C$51,"",IF(A49=Inputs!$C$51,"Cuota + prepago total","Pago normal"))</f>
        <v/>
      </c>
      <c r="D49" s="149" t="str">
        <f>IF(A49&gt;Inputs!$C$51,"",I48)</f>
        <v/>
      </c>
      <c r="E49" s="149" t="str">
        <f>IF(A49&gt;Inputs!$C$51,"",D49*Inputs!$B$17)</f>
        <v/>
      </c>
      <c r="F49" s="149" t="str">
        <f>IF(A49&gt;Inputs!$C$51,"",MIN(Inputs!$B$20,D49+E49))</f>
        <v/>
      </c>
      <c r="G49" s="149" t="str">
        <f>IF(A49&gt;Inputs!$C$51,"",MIN(D49,F49-E49))</f>
        <v/>
      </c>
      <c r="H49" s="149">
        <f>IF(A49=Inputs!$C$51,MAX(0,D49-G49),0)</f>
        <v>0</v>
      </c>
      <c r="I49" s="149" t="str">
        <f>IF(A49&gt;Inputs!$C$51,"",MAX(0,D49-G49-H49))</f>
        <v/>
      </c>
      <c r="J49" s="163" t="str">
        <f>IF(A49&gt;Inputs!$C$51,"",IF(I49&lt;=0.005,"Cancelado","Vigente al día"))</f>
        <v/>
      </c>
      <c r="K49" s="149" t="str">
        <f>IF($A49&gt;Inputs!$C$51,"",Inputs!$B$28)</f>
        <v/>
      </c>
      <c r="L49" s="149" t="str">
        <f>IF($A49&gt;Inputs!$C$51,"",Inputs!$B$29)</f>
        <v/>
      </c>
      <c r="M49" s="149" t="str">
        <f>IF($A49&gt;Inputs!$C$51,"",Inputs!$B$30)</f>
        <v/>
      </c>
      <c r="N49" s="149" t="str">
        <f>IF($A49&gt;Inputs!$C$51,"",SUM(K49:M49))</f>
        <v/>
      </c>
      <c r="O49" s="149" t="str">
        <f>IF($A49&gt;Inputs!$C$51,"",F49+H49+N49)</f>
        <v/>
      </c>
      <c r="P49" s="149" t="str">
        <f>IF($B49="","",IF(OR($B50="",ROUNDUP(($A49+1)/Inputs!$B$14,0)&gt;$B49),SUMIF($B$4:$B49,$B49,K$4:K49),0))</f>
        <v/>
      </c>
      <c r="Q49" s="149" t="str">
        <f>IF($B49="","",IF(OR($B50="",ROUNDUP(($A49+1)/Inputs!$B$14,0)&gt;$B49),SUMIF($B$4:$B49,$B49,L$4:L49),0))</f>
        <v/>
      </c>
      <c r="R49" s="149" t="str">
        <f>IF($B49="","",IF(OR($B50="",ROUNDUP(($A49+1)/Inputs!$B$14,0)&gt;$B49),SUMIF($B$4:$B49,$B49,M$4:M49),0))</f>
        <v/>
      </c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spans="1:31" ht="18" customHeight="1">
      <c r="A50" s="157">
        <v>47</v>
      </c>
      <c r="B50" s="77" t="str">
        <f>IF(A50&gt;Inputs!$C$51,"",ROUNDUP(A50/Inputs!$B$14,0))</f>
        <v/>
      </c>
      <c r="C50" s="160" t="str">
        <f>IF(A50&gt;Inputs!$C$51,"",IF(A50=Inputs!$C$51,"Cuota + prepago total","Pago normal"))</f>
        <v/>
      </c>
      <c r="D50" s="149" t="str">
        <f>IF(A50&gt;Inputs!$C$51,"",I49)</f>
        <v/>
      </c>
      <c r="E50" s="149" t="str">
        <f>IF(A50&gt;Inputs!$C$51,"",D50*Inputs!$B$17)</f>
        <v/>
      </c>
      <c r="F50" s="149" t="str">
        <f>IF(A50&gt;Inputs!$C$51,"",MIN(Inputs!$B$20,D50+E50))</f>
        <v/>
      </c>
      <c r="G50" s="149" t="str">
        <f>IF(A50&gt;Inputs!$C$51,"",MIN(D50,F50-E50))</f>
        <v/>
      </c>
      <c r="H50" s="149">
        <f>IF(A50=Inputs!$C$51,MAX(0,D50-G50),0)</f>
        <v>0</v>
      </c>
      <c r="I50" s="149" t="str">
        <f>IF(A50&gt;Inputs!$C$51,"",MAX(0,D50-G50-H50))</f>
        <v/>
      </c>
      <c r="J50" s="163" t="str">
        <f>IF(A50&gt;Inputs!$C$51,"",IF(I50&lt;=0.005,"Cancelado","Vigente al día"))</f>
        <v/>
      </c>
      <c r="K50" s="149" t="str">
        <f>IF($A50&gt;Inputs!$C$51,"",Inputs!$B$28)</f>
        <v/>
      </c>
      <c r="L50" s="149" t="str">
        <f>IF($A50&gt;Inputs!$C$51,"",Inputs!$B$29)</f>
        <v/>
      </c>
      <c r="M50" s="149" t="str">
        <f>IF($A50&gt;Inputs!$C$51,"",Inputs!$B$30)</f>
        <v/>
      </c>
      <c r="N50" s="149" t="str">
        <f>IF($A50&gt;Inputs!$C$51,"",SUM(K50:M50))</f>
        <v/>
      </c>
      <c r="O50" s="149" t="str">
        <f>IF($A50&gt;Inputs!$C$51,"",F50+H50+N50)</f>
        <v/>
      </c>
      <c r="P50" s="149" t="str">
        <f>IF($B50="","",IF(OR($B51="",ROUNDUP(($A50+1)/Inputs!$B$14,0)&gt;$B50),SUMIF($B$4:$B50,$B50,K$4:K50),0))</f>
        <v/>
      </c>
      <c r="Q50" s="149" t="str">
        <f>IF($B50="","",IF(OR($B51="",ROUNDUP(($A50+1)/Inputs!$B$14,0)&gt;$B50),SUMIF($B$4:$B50,$B50,L$4:L50),0))</f>
        <v/>
      </c>
      <c r="R50" s="149" t="str">
        <f>IF($B50="","",IF(OR($B51="",ROUNDUP(($A50+1)/Inputs!$B$14,0)&gt;$B50),SUMIF($B$4:$B50,$B50,M$4:M50),0))</f>
        <v/>
      </c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spans="1:31" ht="18" customHeight="1">
      <c r="A51" s="157">
        <v>48</v>
      </c>
      <c r="B51" s="77" t="str">
        <f>IF(A51&gt;Inputs!$C$51,"",ROUNDUP(A51/Inputs!$B$14,0))</f>
        <v/>
      </c>
      <c r="C51" s="160" t="str">
        <f>IF(A51&gt;Inputs!$C$51,"",IF(A51=Inputs!$C$51,"Cuota + prepago total","Pago normal"))</f>
        <v/>
      </c>
      <c r="D51" s="149" t="str">
        <f>IF(A51&gt;Inputs!$C$51,"",I50)</f>
        <v/>
      </c>
      <c r="E51" s="149" t="str">
        <f>IF(A51&gt;Inputs!$C$51,"",D51*Inputs!$B$17)</f>
        <v/>
      </c>
      <c r="F51" s="149" t="str">
        <f>IF(A51&gt;Inputs!$C$51,"",MIN(Inputs!$B$20,D51+E51))</f>
        <v/>
      </c>
      <c r="G51" s="149" t="str">
        <f>IF(A51&gt;Inputs!$C$51,"",MIN(D51,F51-E51))</f>
        <v/>
      </c>
      <c r="H51" s="149">
        <f>IF(A51=Inputs!$C$51,MAX(0,D51-G51),0)</f>
        <v>0</v>
      </c>
      <c r="I51" s="149" t="str">
        <f>IF(A51&gt;Inputs!$C$51,"",MAX(0,D51-G51-H51))</f>
        <v/>
      </c>
      <c r="J51" s="163" t="str">
        <f>IF(A51&gt;Inputs!$C$51,"",IF(I51&lt;=0.005,"Cancelado","Vigente al día"))</f>
        <v/>
      </c>
      <c r="K51" s="149" t="str">
        <f>IF($A51&gt;Inputs!$C$51,"",Inputs!$B$28)</f>
        <v/>
      </c>
      <c r="L51" s="149" t="str">
        <f>IF($A51&gt;Inputs!$C$51,"",Inputs!$B$29)</f>
        <v/>
      </c>
      <c r="M51" s="149" t="str">
        <f>IF($A51&gt;Inputs!$C$51,"",Inputs!$B$30)</f>
        <v/>
      </c>
      <c r="N51" s="149" t="str">
        <f>IF($A51&gt;Inputs!$C$51,"",SUM(K51:M51))</f>
        <v/>
      </c>
      <c r="O51" s="149" t="str">
        <f>IF($A51&gt;Inputs!$C$51,"",F51+H51+N51)</f>
        <v/>
      </c>
      <c r="P51" s="149" t="str">
        <f>IF($B51="","",IF(OR($B52="",ROUNDUP(($A51+1)/Inputs!$B$14,0)&gt;$B51),SUMIF($B$4:$B51,$B51,K$4:K51),0))</f>
        <v/>
      </c>
      <c r="Q51" s="149" t="str">
        <f>IF($B51="","",IF(OR($B52="",ROUNDUP(($A51+1)/Inputs!$B$14,0)&gt;$B51),SUMIF($B$4:$B51,$B51,L$4:L51),0))</f>
        <v/>
      </c>
      <c r="R51" s="149" t="str">
        <f>IF($B51="","",IF(OR($B52="",ROUNDUP(($A51+1)/Inputs!$B$14,0)&gt;$B51),SUMIF($B$4:$B51,$B51,M$4:M51),0))</f>
        <v/>
      </c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spans="1:31" ht="18" customHeight="1">
      <c r="A52" s="157">
        <v>49</v>
      </c>
      <c r="B52" s="77" t="str">
        <f>IF(A52&gt;Inputs!$C$51,"",ROUNDUP(A52/Inputs!$B$14,0))</f>
        <v/>
      </c>
      <c r="C52" s="160" t="str">
        <f>IF(A52&gt;Inputs!$C$51,"",IF(A52=Inputs!$C$51,"Cuota + prepago total","Pago normal"))</f>
        <v/>
      </c>
      <c r="D52" s="149" t="str">
        <f>IF(A52&gt;Inputs!$C$51,"",I51)</f>
        <v/>
      </c>
      <c r="E52" s="149" t="str">
        <f>IF(A52&gt;Inputs!$C$51,"",D52*Inputs!$B$17)</f>
        <v/>
      </c>
      <c r="F52" s="149" t="str">
        <f>IF(A52&gt;Inputs!$C$51,"",MIN(Inputs!$B$20,D52+E52))</f>
        <v/>
      </c>
      <c r="G52" s="149" t="str">
        <f>IF(A52&gt;Inputs!$C$51,"",MIN(D52,F52-E52))</f>
        <v/>
      </c>
      <c r="H52" s="149">
        <f>IF(A52=Inputs!$C$51,MAX(0,D52-G52),0)</f>
        <v>0</v>
      </c>
      <c r="I52" s="149" t="str">
        <f>IF(A52&gt;Inputs!$C$51,"",MAX(0,D52-G52-H52))</f>
        <v/>
      </c>
      <c r="J52" s="163" t="str">
        <f>IF(A52&gt;Inputs!$C$51,"",IF(I52&lt;=0.005,"Cancelado","Vigente al día"))</f>
        <v/>
      </c>
      <c r="K52" s="149" t="str">
        <f>IF($A52&gt;Inputs!$C$51,"",Inputs!$B$28)</f>
        <v/>
      </c>
      <c r="L52" s="149" t="str">
        <f>IF($A52&gt;Inputs!$C$51,"",Inputs!$B$29)</f>
        <v/>
      </c>
      <c r="M52" s="149" t="str">
        <f>IF($A52&gt;Inputs!$C$51,"",Inputs!$B$30)</f>
        <v/>
      </c>
      <c r="N52" s="149" t="str">
        <f>IF($A52&gt;Inputs!$C$51,"",SUM(K52:M52))</f>
        <v/>
      </c>
      <c r="O52" s="149" t="str">
        <f>IF($A52&gt;Inputs!$C$51,"",F52+H52+N52)</f>
        <v/>
      </c>
      <c r="P52" s="149" t="str">
        <f>IF($B52="","",IF(OR($B53="",ROUNDUP(($A52+1)/Inputs!$B$14,0)&gt;$B52),SUMIF($B$4:$B52,$B52,K$4:K52),0))</f>
        <v/>
      </c>
      <c r="Q52" s="149" t="str">
        <f>IF($B52="","",IF(OR($B53="",ROUNDUP(($A52+1)/Inputs!$B$14,0)&gt;$B52),SUMIF($B$4:$B52,$B52,L$4:L52),0))</f>
        <v/>
      </c>
      <c r="R52" s="149" t="str">
        <f>IF($B52="","",IF(OR($B53="",ROUNDUP(($A52+1)/Inputs!$B$14,0)&gt;$B52),SUMIF($B$4:$B52,$B52,M$4:M52),0))</f>
        <v/>
      </c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spans="1:31" ht="18" customHeight="1">
      <c r="A53" s="158">
        <v>50</v>
      </c>
      <c r="B53" s="78" t="str">
        <f>IF(A53&gt;Inputs!$C$51,"",ROUNDUP(A53/Inputs!$B$14,0))</f>
        <v/>
      </c>
      <c r="C53" s="161" t="str">
        <f>IF(A53&gt;Inputs!$C$51,"",IF(A53=Inputs!$C$51,"Cuota + prepago total","Pago normal"))</f>
        <v/>
      </c>
      <c r="D53" s="151" t="str">
        <f>IF(A53&gt;Inputs!$C$51,"",I52)</f>
        <v/>
      </c>
      <c r="E53" s="151" t="str">
        <f>IF(A53&gt;Inputs!$C$51,"",D53*Inputs!$B$17)</f>
        <v/>
      </c>
      <c r="F53" s="151" t="str">
        <f>IF(A53&gt;Inputs!$C$51,"",MIN(Inputs!$B$20,D53+E53))</f>
        <v/>
      </c>
      <c r="G53" s="151" t="str">
        <f>IF(A53&gt;Inputs!$C$51,"",MIN(D53,F53-E53))</f>
        <v/>
      </c>
      <c r="H53" s="151">
        <f>IF(A53=Inputs!$C$51,MAX(0,D53-G53),0)</f>
        <v>0</v>
      </c>
      <c r="I53" s="151" t="str">
        <f>IF(A53&gt;Inputs!$C$51,"",MAX(0,D53-G53-H53))</f>
        <v/>
      </c>
      <c r="J53" s="164" t="str">
        <f>IF(A53&gt;Inputs!$C$51,"",IF(I53&lt;=0.005,"Cancelado","Vigente al día"))</f>
        <v/>
      </c>
      <c r="K53" s="151" t="str">
        <f>IF($A53&gt;Inputs!$C$51,"",Inputs!$B$28)</f>
        <v/>
      </c>
      <c r="L53" s="151" t="str">
        <f>IF($A53&gt;Inputs!$C$51,"",Inputs!$B$29)</f>
        <v/>
      </c>
      <c r="M53" s="151" t="str">
        <f>IF($A53&gt;Inputs!$C$51,"",Inputs!$B$30)</f>
        <v/>
      </c>
      <c r="N53" s="151" t="str">
        <f>IF($A53&gt;Inputs!$C$51,"",SUM(K53:M53))</f>
        <v/>
      </c>
      <c r="O53" s="151" t="str">
        <f>IF($A53&gt;Inputs!$C$51,"",F53+H53+N53)</f>
        <v/>
      </c>
      <c r="P53" s="151" t="str">
        <f>IF($B53="","",IF(OR($B54="",ROUNDUP(($A53+1)/Inputs!$B$14,0)&gt;$B53),SUMIF($B$4:$B53,$B53,K$4:K53),0))</f>
        <v/>
      </c>
      <c r="Q53" s="151" t="str">
        <f>IF($B53="","",IF(OR($B54="",ROUNDUP(($A53+1)/Inputs!$B$14,0)&gt;$B53),SUMIF($B$4:$B53,$B53,L$4:L53),0))</f>
        <v/>
      </c>
      <c r="R53" s="151" t="str">
        <f>IF($B53="","",IF(OR($B54="",ROUNDUP(($A53+1)/Inputs!$B$14,0)&gt;$B53),SUMIF($B$4:$B53,$B53,M$4:M53),0))</f>
        <v/>
      </c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spans="1:31" ht="18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spans="1:31" ht="18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spans="1:31" ht="18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spans="1:31" ht="18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spans="1:31" ht="18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</sheetData>
  <conditionalFormatting sqref="A4:R53">
    <cfRule type="expression" dxfId="44" priority="1">
      <formula>AND($C4&lt;&gt;"",$C4&lt;&gt;"Pago normal")</formula>
    </cfRule>
    <cfRule type="expression" dxfId="43" priority="2">
      <formula>AND(ISNUMBER($A4),MOD($A4,2)=0)</formula>
    </cfRule>
  </conditionalFormatting>
  <conditionalFormatting sqref="J4:J53">
    <cfRule type="containsText" dxfId="42" priority="3" operator="containsText" text="mora">
      <formula>NOT(ISERROR(SEARCH("mora",J4)))</formula>
    </cfRule>
    <cfRule type="containsText" dxfId="41" priority="4" operator="containsText" text="Vigente">
      <formula>NOT(ISERROR(SEARCH("Vigente",J4)))</formula>
    </cfRule>
    <cfRule type="containsText" dxfId="40" priority="5" operator="containsText" text="Amortiz">
      <formula>NOT(ISERROR(SEARCH("Amortiz",J4)))</formula>
    </cfRule>
    <cfRule type="containsText" dxfId="39" priority="6" operator="containsText" text="Cerrado">
      <formula>NOT(ISERROR(SEARCH("Cerrado",J4)))</formula>
    </cfRule>
    <cfRule type="containsText" dxfId="38" priority="7" operator="containsText" text="Cancel">
      <formula>NOT(ISERROR(SEARCH("Cancel",J4)))</formula>
    </cfRule>
  </conditionalFormatting>
  <conditionalFormatting sqref="W15">
    <cfRule type="expression" dxfId="37" priority="8">
      <formula>ABS(W15)&lt;0.5</formula>
    </cfRule>
    <cfRule type="expression" dxfId="36" priority="9">
      <formula>ABS(W15)&gt;=0.5</formula>
    </cfRule>
  </conditionalFormatting>
  <hyperlinks>
    <hyperlink ref="T18" location="'Casos'!A1" tooltip="Abrir Casos" display="←  Volver a Casos" xr:uid="{899B7929-77C5-4AE5-9218-563CEE3CF4FB}"/>
    <hyperlink ref="T19" location="'Inputs'!A1" tooltip="Abrir Inputs" display="←  Ir a Inputs (parámetros)" xr:uid="{1836BA4C-4053-4EFD-87B6-094449C04D2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08"/>
  <sheetViews>
    <sheetView showGridLines="0" topLeftCell="D1" workbookViewId="0">
      <pane ySplit="2" topLeftCell="A52" activePane="bottomLeft" state="frozen"/>
      <selection pane="bottomLeft" activeCell="J70" sqref="J70"/>
    </sheetView>
  </sheetViews>
  <sheetFormatPr baseColWidth="10" defaultColWidth="8.796875" defaultRowHeight="15" customHeight="1"/>
  <cols>
    <col min="1" max="2" width="9.69921875" style="6" customWidth="1"/>
    <col min="3" max="3" width="25" style="6" customWidth="1"/>
    <col min="4" max="10" width="16.69921875" style="6" customWidth="1"/>
    <col min="11" max="19" width="20" style="6" customWidth="1"/>
    <col min="20" max="20" width="3" style="6" customWidth="1"/>
    <col min="21" max="21" width="38.296875" style="6" customWidth="1"/>
    <col min="22" max="23" width="20" style="6" customWidth="1"/>
    <col min="24" max="24" width="55" style="6" customWidth="1"/>
    <col min="25" max="31" width="10.69921875" style="6" customWidth="1"/>
    <col min="32" max="32" width="11.69921875" style="6" bestFit="1" customWidth="1"/>
    <col min="33" max="33" width="9" style="6" bestFit="1" customWidth="1"/>
    <col min="34" max="16384" width="8.796875" style="6"/>
  </cols>
  <sheetData>
    <row r="1" spans="1:31" ht="34.049999999999997" customHeight="1">
      <c r="A1" s="148" t="s">
        <v>343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8"/>
      <c r="U1" s="115" t="s">
        <v>336</v>
      </c>
      <c r="V1" s="23"/>
      <c r="W1" s="23"/>
      <c r="X1" s="23"/>
      <c r="Y1" s="18"/>
      <c r="Z1" s="18"/>
      <c r="AA1" s="18"/>
      <c r="AB1" s="18"/>
      <c r="AC1" s="18"/>
      <c r="AD1" s="18"/>
      <c r="AE1" s="18"/>
    </row>
    <row r="2" spans="1:31" ht="34.049999999999997" customHeight="1">
      <c r="A2" s="140" t="s">
        <v>76</v>
      </c>
      <c r="B2" s="141" t="s">
        <v>77</v>
      </c>
      <c r="C2" s="141" t="s">
        <v>78</v>
      </c>
      <c r="D2" s="141" t="s">
        <v>79</v>
      </c>
      <c r="E2" s="141" t="s">
        <v>111</v>
      </c>
      <c r="F2" s="141" t="s">
        <v>73</v>
      </c>
      <c r="G2" s="141" t="s">
        <v>139</v>
      </c>
      <c r="H2" s="141" t="s">
        <v>144</v>
      </c>
      <c r="I2" s="141" t="s">
        <v>148</v>
      </c>
      <c r="J2" s="141" t="s">
        <v>86</v>
      </c>
      <c r="K2" s="142" t="s">
        <v>90</v>
      </c>
      <c r="L2" s="141" t="s">
        <v>82</v>
      </c>
      <c r="M2" s="141" t="s">
        <v>83</v>
      </c>
      <c r="N2" s="141" t="s">
        <v>84</v>
      </c>
      <c r="O2" s="141" t="s">
        <v>9</v>
      </c>
      <c r="P2" s="141" t="s">
        <v>85</v>
      </c>
      <c r="Q2" s="141" t="s">
        <v>87</v>
      </c>
      <c r="R2" s="141" t="s">
        <v>88</v>
      </c>
      <c r="S2" s="141" t="s">
        <v>89</v>
      </c>
      <c r="T2" s="18"/>
      <c r="U2" s="110" t="s">
        <v>56</v>
      </c>
      <c r="V2" s="180">
        <f>Inputs!$C$54</f>
        <v>43</v>
      </c>
      <c r="W2" s="66"/>
      <c r="X2" s="66"/>
      <c r="Y2" s="18"/>
      <c r="Z2" s="18"/>
      <c r="AA2" s="18"/>
      <c r="AB2" s="18"/>
      <c r="AC2" s="18"/>
      <c r="AD2" s="18"/>
      <c r="AE2" s="18"/>
    </row>
    <row r="3" spans="1:31" ht="18" customHeight="1">
      <c r="A3" s="155">
        <v>0</v>
      </c>
      <c r="B3" s="156">
        <v>0</v>
      </c>
      <c r="C3" s="159" t="s">
        <v>92</v>
      </c>
      <c r="D3" s="153">
        <f>Inputs!$B$3</f>
        <v>5904400</v>
      </c>
      <c r="E3" s="153">
        <v>0</v>
      </c>
      <c r="F3" s="153">
        <v>0</v>
      </c>
      <c r="G3" s="153">
        <v>0</v>
      </c>
      <c r="H3" s="153">
        <v>0</v>
      </c>
      <c r="I3" s="153">
        <v>0</v>
      </c>
      <c r="J3" s="153">
        <f>D3</f>
        <v>5904400</v>
      </c>
      <c r="K3" s="162" t="s">
        <v>93</v>
      </c>
      <c r="L3" s="153">
        <v>0</v>
      </c>
      <c r="M3" s="153">
        <v>0</v>
      </c>
      <c r="N3" s="153">
        <v>0</v>
      </c>
      <c r="O3" s="153">
        <v>0</v>
      </c>
      <c r="P3" s="153">
        <v>0</v>
      </c>
      <c r="Q3" s="153">
        <v>0</v>
      </c>
      <c r="R3" s="153">
        <v>0</v>
      </c>
      <c r="S3" s="153">
        <v>0</v>
      </c>
      <c r="T3" s="18"/>
      <c r="U3" s="111" t="s">
        <v>144</v>
      </c>
      <c r="V3" s="167">
        <f>Inputs!$C$53</f>
        <v>2000000</v>
      </c>
      <c r="W3" s="146"/>
      <c r="X3" s="146"/>
      <c r="Y3" s="18"/>
      <c r="Z3" s="18"/>
      <c r="AA3" s="18"/>
      <c r="AB3" s="18"/>
      <c r="AC3" s="18"/>
      <c r="AD3" s="18"/>
      <c r="AE3" s="18"/>
    </row>
    <row r="4" spans="1:31" ht="18" customHeight="1">
      <c r="A4" s="157">
        <v>1</v>
      </c>
      <c r="B4" s="77">
        <f>IF(A4="","",ROUNDUP(A4/Inputs!$B$14,0))</f>
        <v>1</v>
      </c>
      <c r="C4" s="160" t="str">
        <f>IF(A4="","",IF(A4=Inputs!$C$54,"Cuota + abono extra","Pago normal"))</f>
        <v>Pago normal</v>
      </c>
      <c r="D4" s="149">
        <f t="shared" ref="D4:D35" si="0">IF(A4="","",J3)</f>
        <v>5904400</v>
      </c>
      <c r="E4" s="149">
        <f>IF(A4="","",D4*Inputs!$B$17)</f>
        <v>71698.876787700196</v>
      </c>
      <c r="F4" s="149">
        <f>IF(A4="","",MIN(Inputs!$B$20,D4+E4))</f>
        <v>111014.82187676849</v>
      </c>
      <c r="G4" s="149">
        <f t="shared" ref="G4:G35" si="1">IF(A4="","",MIN(D4,F4-E4))</f>
        <v>39315.945089068293</v>
      </c>
      <c r="H4" s="149">
        <f>IF(A4=Inputs!$C$54,MIN(Inputs!$C$53,D4-G4),0)</f>
        <v>0</v>
      </c>
      <c r="I4" s="149">
        <f t="shared" ref="I4:I35" si="2">IF(A4="","",F4+H4)</f>
        <v>111014.82187676849</v>
      </c>
      <c r="J4" s="149">
        <f t="shared" ref="J4:J35" si="3">IF(A4="","",MAX(0,D4-G4-H4))</f>
        <v>5865084.0549109317</v>
      </c>
      <c r="K4" s="163" t="str">
        <f t="shared" ref="K4:K35" si="4">IF(A4="","",IF(J4&lt;=0.005,"Amortizado","Vigente"))</f>
        <v>Vigente</v>
      </c>
      <c r="L4" s="149">
        <f>IF($A4="","",Inputs!$B$28)</f>
        <v>48643.172307692315</v>
      </c>
      <c r="M4" s="149">
        <f>IF($A4="","",Inputs!$B$29)</f>
        <v>10984.615384615387</v>
      </c>
      <c r="N4" s="149">
        <f>IF($A4="","",Inputs!$B$30)</f>
        <v>3406.3846153846157</v>
      </c>
      <c r="O4" s="149">
        <f>IF($A4="","",SUM(L4:N4))</f>
        <v>63034.172307692315</v>
      </c>
      <c r="P4" s="149">
        <f>IF($A4="","",I4+O4)</f>
        <v>174048.99418446081</v>
      </c>
      <c r="Q4" s="149">
        <f>IF($B4="","",IF(OR($B5="",ROUNDUP(($A4+1)/Inputs!$B$14,0)&gt;$B4),SUMIF($B$4:$B4,$B4,L$4:L4),0))</f>
        <v>0</v>
      </c>
      <c r="R4" s="149">
        <f>IF($B4="","",IF(OR($B5="",ROUNDUP(($A4+1)/Inputs!$B$14,0)&gt;$B4),SUMIF($B$4:$B4,$B4,M$4:M4),0))</f>
        <v>0</v>
      </c>
      <c r="S4" s="149">
        <f>IF($B4="","",IF(OR($B5="",ROUNDUP(($A4+1)/Inputs!$B$14,0)&gt;$B4),SUMIF($B$4:$B4,$B4,N$4:N4),0))</f>
        <v>0</v>
      </c>
      <c r="T4" s="18"/>
      <c r="U4" s="111" t="s">
        <v>145</v>
      </c>
      <c r="V4" s="167">
        <f>INDEX(J4:J103,Inputs!$C$54)</f>
        <v>1701573.6220031078</v>
      </c>
      <c r="W4" s="146"/>
      <c r="X4" s="146"/>
      <c r="Y4" s="18"/>
      <c r="Z4" s="18"/>
      <c r="AA4" s="18"/>
      <c r="AB4" s="18"/>
      <c r="AC4" s="18"/>
      <c r="AD4" s="18"/>
      <c r="AE4" s="18"/>
    </row>
    <row r="5" spans="1:31" ht="18" customHeight="1">
      <c r="A5" s="157">
        <f t="shared" ref="A5:A36" si="5">IF(A4="","",IF(J4&lt;=0.005,"",A4+1))</f>
        <v>2</v>
      </c>
      <c r="B5" s="77">
        <f>IF(A5="","",ROUNDUP(A5/Inputs!$B$14,0))</f>
        <v>1</v>
      </c>
      <c r="C5" s="160" t="str">
        <f>IF(A5="","",IF(A5=Inputs!$C$54,"Cuota + abono extra","Pago normal"))</f>
        <v>Pago normal</v>
      </c>
      <c r="D5" s="149">
        <f t="shared" si="0"/>
        <v>5865084.0549109317</v>
      </c>
      <c r="E5" s="149">
        <f>IF(A5="","",D5*Inputs!$B$17)</f>
        <v>71221.451629727657</v>
      </c>
      <c r="F5" s="149">
        <f>IF(A5="","",MIN(Inputs!$B$20,D5+E5))</f>
        <v>111014.82187676849</v>
      </c>
      <c r="G5" s="149">
        <f t="shared" si="1"/>
        <v>39793.370247040832</v>
      </c>
      <c r="H5" s="149">
        <f>IF(A5=Inputs!$C$54,MIN(Inputs!$C$53,D5-G5),0)</f>
        <v>0</v>
      </c>
      <c r="I5" s="149">
        <f t="shared" si="2"/>
        <v>111014.82187676849</v>
      </c>
      <c r="J5" s="149">
        <f t="shared" si="3"/>
        <v>5825290.6846638909</v>
      </c>
      <c r="K5" s="163" t="str">
        <f t="shared" si="4"/>
        <v>Vigente</v>
      </c>
      <c r="L5" s="149">
        <f>IF($A5="","",Inputs!$B$28)</f>
        <v>48643.172307692315</v>
      </c>
      <c r="M5" s="149">
        <f>IF($A5="","",Inputs!$B$29)</f>
        <v>10984.615384615387</v>
      </c>
      <c r="N5" s="149">
        <f>IF($A5="","",Inputs!$B$30)</f>
        <v>3406.3846153846157</v>
      </c>
      <c r="O5" s="149">
        <f t="shared" ref="O5:O68" si="6">IF($A5="","",SUM(L5:N5))</f>
        <v>63034.172307692315</v>
      </c>
      <c r="P5" s="149">
        <f t="shared" ref="P5:P68" si="7">IF($A5="","",I5+O5)</f>
        <v>174048.99418446081</v>
      </c>
      <c r="Q5" s="149">
        <f>IF($B5="","",IF(OR($B6="",ROUNDUP(($A5+1)/Inputs!$B$14,0)&gt;$B5),SUMIF($B$4:$B5,$B5,L$4:L5),0))</f>
        <v>0</v>
      </c>
      <c r="R5" s="149">
        <f>IF($B5="","",IF(OR($B6="",ROUNDUP(($A5+1)/Inputs!$B$14,0)&gt;$B5),SUMIF($B$4:$B5,$B5,M$4:M5),0))</f>
        <v>0</v>
      </c>
      <c r="S5" s="149">
        <f>IF($B5="","",IF(OR($B6="",ROUNDUP(($A5+1)/Inputs!$B$14,0)&gt;$B5),SUMIF($B$4:$B5,$B5,N$4:N5),0))</f>
        <v>0</v>
      </c>
      <c r="T5" s="18"/>
      <c r="U5" s="111" t="s">
        <v>146</v>
      </c>
      <c r="V5" s="167">
        <f>INDEX(F4:F103,Inputs!$C$54+1)</f>
        <v>111014.82187676849</v>
      </c>
      <c r="W5" s="146"/>
      <c r="X5" s="146"/>
      <c r="Y5" s="18"/>
      <c r="Z5" s="18"/>
      <c r="AA5" s="18"/>
      <c r="AB5" s="18"/>
      <c r="AC5" s="18"/>
      <c r="AD5" s="18"/>
      <c r="AE5" s="18"/>
    </row>
    <row r="6" spans="1:31" ht="18" customHeight="1">
      <c r="A6" s="157">
        <f t="shared" si="5"/>
        <v>3</v>
      </c>
      <c r="B6" s="77">
        <f>IF(A6="","",ROUNDUP(A6/Inputs!$B$14,0))</f>
        <v>1</v>
      </c>
      <c r="C6" s="160" t="str">
        <f>IF(A6="","",IF(A6=Inputs!$C$54,"Cuota + abono extra","Pago normal"))</f>
        <v>Pago normal</v>
      </c>
      <c r="D6" s="149">
        <f t="shared" si="0"/>
        <v>5825290.6846638909</v>
      </c>
      <c r="E6" s="149">
        <f>IF(A6="","",D6*Inputs!$B$17)</f>
        <v>70738.228956753272</v>
      </c>
      <c r="F6" s="149">
        <f>IF(A6="","",MIN(Inputs!$B$20,D6+E6))</f>
        <v>111014.82187676849</v>
      </c>
      <c r="G6" s="149">
        <f t="shared" si="1"/>
        <v>40276.592920015217</v>
      </c>
      <c r="H6" s="149">
        <f>IF(A6=Inputs!$C$54,MIN(Inputs!$C$53,D6-G6),0)</f>
        <v>0</v>
      </c>
      <c r="I6" s="149">
        <f t="shared" si="2"/>
        <v>111014.82187676849</v>
      </c>
      <c r="J6" s="149">
        <f t="shared" si="3"/>
        <v>5785014.0917438753</v>
      </c>
      <c r="K6" s="163" t="str">
        <f t="shared" si="4"/>
        <v>Vigente</v>
      </c>
      <c r="L6" s="149">
        <f>IF($A6="","",Inputs!$B$28)</f>
        <v>48643.172307692315</v>
      </c>
      <c r="M6" s="149">
        <f>IF($A6="","",Inputs!$B$29)</f>
        <v>10984.615384615387</v>
      </c>
      <c r="N6" s="149">
        <f>IF($A6="","",Inputs!$B$30)</f>
        <v>3406.3846153846157</v>
      </c>
      <c r="O6" s="149">
        <f t="shared" si="6"/>
        <v>63034.172307692315</v>
      </c>
      <c r="P6" s="149">
        <f t="shared" si="7"/>
        <v>174048.99418446081</v>
      </c>
      <c r="Q6" s="149">
        <f>IF($B6="","",IF(OR($B7="",ROUNDUP(($A6+1)/Inputs!$B$14,0)&gt;$B6),SUMIF($B$4:$B6,$B6,L$4:L6),0))</f>
        <v>0</v>
      </c>
      <c r="R6" s="149">
        <f>IF($B6="","",IF(OR($B7="",ROUNDUP(($A6+1)/Inputs!$B$14,0)&gt;$B6),SUMIF($B$4:$B6,$B6,M$4:M6),0))</f>
        <v>0</v>
      </c>
      <c r="S6" s="149">
        <f>IF($B6="","",IF(OR($B7="",ROUNDUP(($A6+1)/Inputs!$B$14,0)&gt;$B6),SUMIF($B$4:$B6,$B6,N$4:N6),0))</f>
        <v>0</v>
      </c>
      <c r="T6" s="18"/>
      <c r="U6" s="113" t="s">
        <v>147</v>
      </c>
      <c r="V6" s="168">
        <f>MAX(A4:A103)</f>
        <v>61</v>
      </c>
      <c r="W6" s="66"/>
      <c r="X6" s="66"/>
      <c r="Y6" s="18"/>
      <c r="Z6" s="18"/>
      <c r="AA6" s="18"/>
      <c r="AB6" s="18"/>
      <c r="AC6" s="18"/>
      <c r="AD6" s="18"/>
      <c r="AE6" s="18"/>
    </row>
    <row r="7" spans="1:31" ht="18" customHeight="1">
      <c r="A7" s="157">
        <f t="shared" si="5"/>
        <v>4</v>
      </c>
      <c r="B7" s="77">
        <f>IF(A7="","",ROUNDUP(A7/Inputs!$B$14,0))</f>
        <v>1</v>
      </c>
      <c r="C7" s="160" t="str">
        <f>IF(A7="","",IF(A7=Inputs!$C$54,"Cuota + abono extra","Pago normal"))</f>
        <v>Pago normal</v>
      </c>
      <c r="D7" s="149">
        <f t="shared" si="0"/>
        <v>5785014.0917438753</v>
      </c>
      <c r="E7" s="149">
        <f>IF(A7="","",D7*Inputs!$B$17)</f>
        <v>70249.138367836436</v>
      </c>
      <c r="F7" s="149">
        <f>IF(A7="","",MIN(Inputs!$B$20,D7+E7))</f>
        <v>111014.82187676849</v>
      </c>
      <c r="G7" s="149">
        <f t="shared" si="1"/>
        <v>40765.683508932052</v>
      </c>
      <c r="H7" s="149">
        <f>IF(A7=Inputs!$C$54,MIN(Inputs!$C$53,D7-G7),0)</f>
        <v>0</v>
      </c>
      <c r="I7" s="149">
        <f t="shared" si="2"/>
        <v>111014.82187676849</v>
      </c>
      <c r="J7" s="149">
        <f t="shared" si="3"/>
        <v>5744248.4082349436</v>
      </c>
      <c r="K7" s="163" t="str">
        <f t="shared" si="4"/>
        <v>Vigente</v>
      </c>
      <c r="L7" s="149">
        <f>IF($A7="","",Inputs!$B$28)</f>
        <v>48643.172307692315</v>
      </c>
      <c r="M7" s="149">
        <f>IF($A7="","",Inputs!$B$29)</f>
        <v>10984.615384615387</v>
      </c>
      <c r="N7" s="149">
        <f>IF($A7="","",Inputs!$B$30)</f>
        <v>3406.3846153846157</v>
      </c>
      <c r="O7" s="149">
        <f t="shared" si="6"/>
        <v>63034.172307692315</v>
      </c>
      <c r="P7" s="149">
        <f t="shared" si="7"/>
        <v>174048.99418446081</v>
      </c>
      <c r="Q7" s="149">
        <f>IF($B7="","",IF(OR($B8="",ROUNDUP(($A7+1)/Inputs!$B$14,0)&gt;$B7),SUMIF($B$4:$B7,$B7,L$4:L7),0))</f>
        <v>194572.68923076926</v>
      </c>
      <c r="R7" s="149">
        <f>IF($B7="","",IF(OR($B8="",ROUNDUP(($A7+1)/Inputs!$B$14,0)&gt;$B7),SUMIF($B$4:$B7,$B7,M$4:M7),0))</f>
        <v>43938.461538461546</v>
      </c>
      <c r="S7" s="149">
        <f>IF($B7="","",IF(OR($B8="",ROUNDUP(($A7+1)/Inputs!$B$14,0)&gt;$B7),SUMIF($B$4:$B7,$B7,N$4:N7),0))</f>
        <v>13625.538461538463</v>
      </c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</row>
    <row r="8" spans="1:31" ht="18" customHeight="1">
      <c r="A8" s="157">
        <f t="shared" si="5"/>
        <v>5</v>
      </c>
      <c r="B8" s="77">
        <f>IF(A8="","",ROUNDUP(A8/Inputs!$B$14,0))</f>
        <v>2</v>
      </c>
      <c r="C8" s="160" t="str">
        <f>IF(A8="","",IF(A8=Inputs!$C$54,"Cuota + abono extra","Pago normal"))</f>
        <v>Pago normal</v>
      </c>
      <c r="D8" s="149">
        <f t="shared" si="0"/>
        <v>5744248.4082349436</v>
      </c>
      <c r="E8" s="149">
        <f>IF(A8="","",D8*Inputs!$B$17)</f>
        <v>69754.108607137081</v>
      </c>
      <c r="F8" s="149">
        <f>IF(A8="","",MIN(Inputs!$B$20,D8+E8))</f>
        <v>111014.82187676849</v>
      </c>
      <c r="G8" s="149">
        <f t="shared" si="1"/>
        <v>41260.713269631407</v>
      </c>
      <c r="H8" s="149">
        <f>IF(A8=Inputs!$C$54,MIN(Inputs!$C$53,D8-G8),0)</f>
        <v>0</v>
      </c>
      <c r="I8" s="149">
        <f t="shared" si="2"/>
        <v>111014.82187676849</v>
      </c>
      <c r="J8" s="149">
        <f t="shared" si="3"/>
        <v>5702987.6949653123</v>
      </c>
      <c r="K8" s="163" t="str">
        <f t="shared" si="4"/>
        <v>Vigente</v>
      </c>
      <c r="L8" s="149">
        <f>IF($A8="","",Inputs!$B$28)</f>
        <v>48643.172307692315</v>
      </c>
      <c r="M8" s="149">
        <f>IF($A8="","",Inputs!$B$29)</f>
        <v>10984.615384615387</v>
      </c>
      <c r="N8" s="149">
        <f>IF($A8="","",Inputs!$B$30)</f>
        <v>3406.3846153846157</v>
      </c>
      <c r="O8" s="149">
        <f t="shared" si="6"/>
        <v>63034.172307692315</v>
      </c>
      <c r="P8" s="149">
        <f t="shared" si="7"/>
        <v>174048.99418446081</v>
      </c>
      <c r="Q8" s="149">
        <f>IF($B8="","",IF(OR($B9="",ROUNDUP(($A8+1)/Inputs!$B$14,0)&gt;$B8),SUMIF($B$4:$B8,$B8,L$4:L8),0))</f>
        <v>0</v>
      </c>
      <c r="R8" s="149">
        <f>IF($B8="","",IF(OR($B9="",ROUNDUP(($A8+1)/Inputs!$B$14,0)&gt;$B8),SUMIF($B$4:$B8,$B8,M$4:M8),0))</f>
        <v>0</v>
      </c>
      <c r="S8" s="149">
        <f>IF($B8="","",IF(OR($B9="",ROUNDUP(($A8+1)/Inputs!$B$14,0)&gt;$B8),SUMIF($B$4:$B8,$B8,N$4:N8),0))</f>
        <v>0</v>
      </c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</row>
    <row r="9" spans="1:31" ht="25.95" customHeight="1">
      <c r="A9" s="157">
        <f t="shared" si="5"/>
        <v>6</v>
      </c>
      <c r="B9" s="77">
        <f>IF(A9="","",ROUNDUP(A9/Inputs!$B$14,0))</f>
        <v>2</v>
      </c>
      <c r="C9" s="160" t="str">
        <f>IF(A9="","",IF(A9=Inputs!$C$54,"Cuota + abono extra","Pago normal"))</f>
        <v>Pago normal</v>
      </c>
      <c r="D9" s="149">
        <f t="shared" si="0"/>
        <v>5702987.6949653123</v>
      </c>
      <c r="E9" s="149">
        <f>IF(A9="","",D9*Inputs!$B$17)</f>
        <v>69253.067553534362</v>
      </c>
      <c r="F9" s="149">
        <f>IF(A9="","",MIN(Inputs!$B$20,D9+E9))</f>
        <v>111014.82187676849</v>
      </c>
      <c r="G9" s="149">
        <f t="shared" si="1"/>
        <v>41761.754323234127</v>
      </c>
      <c r="H9" s="149">
        <f>IF(A9=Inputs!$C$54,MIN(Inputs!$C$53,D9-G9),0)</f>
        <v>0</v>
      </c>
      <c r="I9" s="149">
        <f t="shared" si="2"/>
        <v>111014.82187676849</v>
      </c>
      <c r="J9" s="149">
        <f t="shared" si="3"/>
        <v>5661225.9406420784</v>
      </c>
      <c r="K9" s="163" t="str">
        <f t="shared" si="4"/>
        <v>Vigente</v>
      </c>
      <c r="L9" s="149">
        <f>IF($A9="","",Inputs!$B$28)</f>
        <v>48643.172307692315</v>
      </c>
      <c r="M9" s="149">
        <f>IF($A9="","",Inputs!$B$29)</f>
        <v>10984.615384615387</v>
      </c>
      <c r="N9" s="149">
        <f>IF($A9="","",Inputs!$B$30)</f>
        <v>3406.3846153846157</v>
      </c>
      <c r="O9" s="149">
        <f t="shared" si="6"/>
        <v>63034.172307692315</v>
      </c>
      <c r="P9" s="149">
        <f t="shared" si="7"/>
        <v>174048.99418446081</v>
      </c>
      <c r="Q9" s="149">
        <f>IF($B9="","",IF(OR($B10="",ROUNDUP(($A9+1)/Inputs!$B$14,0)&gt;$B9),SUMIF($B$4:$B9,$B9,L$4:L9),0))</f>
        <v>0</v>
      </c>
      <c r="R9" s="149">
        <f>IF($B9="","",IF(OR($B10="",ROUNDUP(($A9+1)/Inputs!$B$14,0)&gt;$B9),SUMIF($B$4:$B9,$B9,M$4:M9),0))</f>
        <v>0</v>
      </c>
      <c r="S9" s="149">
        <f>IF($B9="","",IF(OR($B10="",ROUNDUP(($A9+1)/Inputs!$B$14,0)&gt;$B9),SUMIF($B$4:$B9,$B9,N$4:N9),0))</f>
        <v>0</v>
      </c>
      <c r="T9" s="18"/>
      <c r="U9" s="115" t="s">
        <v>95</v>
      </c>
      <c r="V9" s="23"/>
      <c r="W9" s="23"/>
      <c r="X9" s="23"/>
      <c r="Y9" s="18"/>
      <c r="Z9" s="18"/>
      <c r="AA9" s="18"/>
      <c r="AB9" s="18"/>
      <c r="AC9" s="18"/>
      <c r="AD9" s="18"/>
      <c r="AE9" s="18"/>
    </row>
    <row r="10" spans="1:31" ht="18" customHeight="1">
      <c r="A10" s="157">
        <f t="shared" si="5"/>
        <v>7</v>
      </c>
      <c r="B10" s="77">
        <f>IF(A10="","",ROUNDUP(A10/Inputs!$B$14,0))</f>
        <v>2</v>
      </c>
      <c r="C10" s="160" t="str">
        <f>IF(A10="","",IF(A10=Inputs!$C$54,"Cuota + abono extra","Pago normal"))</f>
        <v>Pago normal</v>
      </c>
      <c r="D10" s="149">
        <f t="shared" si="0"/>
        <v>5661225.9406420784</v>
      </c>
      <c r="E10" s="149">
        <f>IF(A10="","",D10*Inputs!$B$17)</f>
        <v>68745.942210119319</v>
      </c>
      <c r="F10" s="149">
        <f>IF(A10="","",MIN(Inputs!$B$20,D10+E10))</f>
        <v>111014.82187676849</v>
      </c>
      <c r="G10" s="149">
        <f t="shared" si="1"/>
        <v>42268.879666649169</v>
      </c>
      <c r="H10" s="149">
        <f>IF(A10=Inputs!$C$54,MIN(Inputs!$C$53,D10-G10),0)</f>
        <v>0</v>
      </c>
      <c r="I10" s="149">
        <f t="shared" si="2"/>
        <v>111014.82187676849</v>
      </c>
      <c r="J10" s="149">
        <f t="shared" si="3"/>
        <v>5618957.0609754296</v>
      </c>
      <c r="K10" s="163" t="str">
        <f t="shared" si="4"/>
        <v>Vigente</v>
      </c>
      <c r="L10" s="149">
        <f>IF($A10="","",Inputs!$B$28)</f>
        <v>48643.172307692315</v>
      </c>
      <c r="M10" s="149">
        <f>IF($A10="","",Inputs!$B$29)</f>
        <v>10984.615384615387</v>
      </c>
      <c r="N10" s="149">
        <f>IF($A10="","",Inputs!$B$30)</f>
        <v>3406.3846153846157</v>
      </c>
      <c r="O10" s="149">
        <f t="shared" si="6"/>
        <v>63034.172307692315</v>
      </c>
      <c r="P10" s="149">
        <f t="shared" si="7"/>
        <v>174048.99418446081</v>
      </c>
      <c r="Q10" s="149">
        <f>IF($B10="","",IF(OR($B11="",ROUNDUP(($A10+1)/Inputs!$B$14,0)&gt;$B10),SUMIF($B$4:$B10,$B10,L$4:L10),0))</f>
        <v>0</v>
      </c>
      <c r="R10" s="149">
        <f>IF($B10="","",IF(OR($B11="",ROUNDUP(($A10+1)/Inputs!$B$14,0)&gt;$B10),SUMIF($B$4:$B10,$B10,M$4:M10),0))</f>
        <v>0</v>
      </c>
      <c r="S10" s="149">
        <f>IF($B10="","",IF(OR($B11="",ROUNDUP(($A10+1)/Inputs!$B$14,0)&gt;$B10),SUMIF($B$4:$B10,$B10,N$4:N10),0))</f>
        <v>0</v>
      </c>
      <c r="T10" s="18"/>
      <c r="U10" s="122" t="s">
        <v>96</v>
      </c>
      <c r="V10" s="122" t="s">
        <v>97</v>
      </c>
      <c r="W10" s="122" t="s">
        <v>98</v>
      </c>
      <c r="X10" s="122" t="s">
        <v>99</v>
      </c>
      <c r="Y10" s="18"/>
      <c r="Z10" s="18"/>
      <c r="AA10" s="18"/>
      <c r="AB10" s="18"/>
      <c r="AC10" s="18"/>
      <c r="AD10" s="18"/>
      <c r="AE10" s="18"/>
    </row>
    <row r="11" spans="1:31" ht="18" customHeight="1">
      <c r="A11" s="157">
        <f t="shared" si="5"/>
        <v>8</v>
      </c>
      <c r="B11" s="77">
        <f>IF(A11="","",ROUNDUP(A11/Inputs!$B$14,0))</f>
        <v>2</v>
      </c>
      <c r="C11" s="160" t="str">
        <f>IF(A11="","",IF(A11=Inputs!$C$54,"Cuota + abono extra","Pago normal"))</f>
        <v>Pago normal</v>
      </c>
      <c r="D11" s="149">
        <f t="shared" si="0"/>
        <v>5618957.0609754296</v>
      </c>
      <c r="E11" s="149">
        <f>IF(A11="","",D11*Inputs!$B$17)</f>
        <v>68232.658693559948</v>
      </c>
      <c r="F11" s="149">
        <f>IF(A11="","",MIN(Inputs!$B$20,D11+E11))</f>
        <v>111014.82187676849</v>
      </c>
      <c r="G11" s="149">
        <f t="shared" si="1"/>
        <v>42782.16318320854</v>
      </c>
      <c r="H11" s="149">
        <f>IF(A11=Inputs!$C$54,MIN(Inputs!$C$53,D11-G11),0)</f>
        <v>0</v>
      </c>
      <c r="I11" s="149">
        <f t="shared" si="2"/>
        <v>111014.82187676849</v>
      </c>
      <c r="J11" s="149">
        <f t="shared" si="3"/>
        <v>5576174.897792221</v>
      </c>
      <c r="K11" s="163" t="str">
        <f t="shared" si="4"/>
        <v>Vigente</v>
      </c>
      <c r="L11" s="149">
        <f>IF($A11="","",Inputs!$B$28)</f>
        <v>48643.172307692315</v>
      </c>
      <c r="M11" s="149">
        <f>IF($A11="","",Inputs!$B$29)</f>
        <v>10984.615384615387</v>
      </c>
      <c r="N11" s="149">
        <f>IF($A11="","",Inputs!$B$30)</f>
        <v>3406.3846153846157</v>
      </c>
      <c r="O11" s="149">
        <f t="shared" si="6"/>
        <v>63034.172307692315</v>
      </c>
      <c r="P11" s="149">
        <f t="shared" si="7"/>
        <v>174048.99418446081</v>
      </c>
      <c r="Q11" s="149">
        <f>IF($B11="","",IF(OR($B12="",ROUNDUP(($A11+1)/Inputs!$B$14,0)&gt;$B11),SUMIF($B$4:$B11,$B11,L$4:L11),0))</f>
        <v>194572.68923076926</v>
      </c>
      <c r="R11" s="149">
        <f>IF($B11="","",IF(OR($B12="",ROUNDUP(($A11+1)/Inputs!$B$14,0)&gt;$B11),SUMIF($B$4:$B11,$B11,M$4:M11),0))</f>
        <v>43938.461538461546</v>
      </c>
      <c r="S11" s="149">
        <f>IF($B11="","",IF(OR($B12="",ROUNDUP(($A11+1)/Inputs!$B$14,0)&gt;$B11),SUMIF($B$4:$B11,$B11,N$4:N11),0))</f>
        <v>13625.538461538463</v>
      </c>
      <c r="T11" s="18"/>
      <c r="U11" s="110" t="s">
        <v>100</v>
      </c>
      <c r="V11" s="169">
        <f>Inputs!$C$53</f>
        <v>2000000</v>
      </c>
      <c r="W11" s="169"/>
      <c r="X11" s="171" t="s">
        <v>150</v>
      </c>
      <c r="Y11" s="18"/>
      <c r="Z11" s="18"/>
      <c r="AA11" s="18"/>
      <c r="AB11" s="18"/>
      <c r="AC11" s="18"/>
      <c r="AD11" s="18"/>
      <c r="AE11" s="18"/>
    </row>
    <row r="12" spans="1:31" ht="18" customHeight="1">
      <c r="A12" s="157">
        <f t="shared" si="5"/>
        <v>9</v>
      </c>
      <c r="B12" s="77">
        <f>IF(A12="","",ROUNDUP(A12/Inputs!$B$14,0))</f>
        <v>3</v>
      </c>
      <c r="C12" s="160" t="str">
        <f>IF(A12="","",IF(A12=Inputs!$C$54,"Cuota + abono extra","Pago normal"))</f>
        <v>Pago normal</v>
      </c>
      <c r="D12" s="149">
        <f t="shared" si="0"/>
        <v>5576174.897792221</v>
      </c>
      <c r="E12" s="149">
        <f>IF(A12="","",D12*Inputs!$B$17)</f>
        <v>67713.142223337039</v>
      </c>
      <c r="F12" s="149">
        <f>IF(A12="","",MIN(Inputs!$B$20,D12+E12))</f>
        <v>111014.82187676849</v>
      </c>
      <c r="G12" s="149">
        <f t="shared" si="1"/>
        <v>43301.679653431449</v>
      </c>
      <c r="H12" s="149">
        <f>IF(A12=Inputs!$C$54,MIN(Inputs!$C$53,D12-G12),0)</f>
        <v>0</v>
      </c>
      <c r="I12" s="149">
        <f t="shared" si="2"/>
        <v>111014.82187676849</v>
      </c>
      <c r="J12" s="149">
        <f t="shared" si="3"/>
        <v>5532873.2181387898</v>
      </c>
      <c r="K12" s="163" t="str">
        <f t="shared" si="4"/>
        <v>Vigente</v>
      </c>
      <c r="L12" s="149">
        <f>IF($A12="","",Inputs!$B$28)</f>
        <v>48643.172307692315</v>
      </c>
      <c r="M12" s="149">
        <f>IF($A12="","",Inputs!$B$29)</f>
        <v>10984.615384615387</v>
      </c>
      <c r="N12" s="149">
        <f>IF($A12="","",Inputs!$B$30)</f>
        <v>3406.3846153846157</v>
      </c>
      <c r="O12" s="149">
        <f t="shared" si="6"/>
        <v>63034.172307692315</v>
      </c>
      <c r="P12" s="149">
        <f t="shared" si="7"/>
        <v>174048.99418446081</v>
      </c>
      <c r="Q12" s="149">
        <f>IF($B12="","",IF(OR($B13="",ROUNDUP(($A12+1)/Inputs!$B$14,0)&gt;$B12),SUMIF($B$4:$B12,$B12,L$4:L12),0))</f>
        <v>0</v>
      </c>
      <c r="R12" s="149">
        <f>IF($B12="","",IF(OR($B13="",ROUNDUP(($A12+1)/Inputs!$B$14,0)&gt;$B12),SUMIF($B$4:$B12,$B12,M$4:M12),0))</f>
        <v>0</v>
      </c>
      <c r="S12" s="149">
        <f>IF($B12="","",IF(OR($B13="",ROUNDUP(($A12+1)/Inputs!$B$14,0)&gt;$B12),SUMIF($B$4:$B12,$B12,N$4:N12),0))</f>
        <v>0</v>
      </c>
      <c r="T12" s="18"/>
      <c r="U12" s="173" t="s">
        <v>104</v>
      </c>
      <c r="V12" s="174"/>
      <c r="W12" s="174">
        <f>Inputs!$C$53</f>
        <v>2000000</v>
      </c>
      <c r="X12" s="175" t="s">
        <v>151</v>
      </c>
      <c r="Y12" s="18"/>
      <c r="Z12" s="18"/>
      <c r="AA12" s="18"/>
      <c r="AB12" s="18"/>
      <c r="AC12" s="18"/>
      <c r="AD12" s="18"/>
      <c r="AE12" s="18"/>
    </row>
    <row r="13" spans="1:31" ht="18" customHeight="1">
      <c r="A13" s="157">
        <f t="shared" si="5"/>
        <v>10</v>
      </c>
      <c r="B13" s="77">
        <f>IF(A13="","",ROUNDUP(A13/Inputs!$B$14,0))</f>
        <v>3</v>
      </c>
      <c r="C13" s="160" t="str">
        <f>IF(A13="","",IF(A13=Inputs!$C$54,"Cuota + abono extra","Pago normal"))</f>
        <v>Pago normal</v>
      </c>
      <c r="D13" s="149">
        <f t="shared" si="0"/>
        <v>5532873.2181387898</v>
      </c>
      <c r="E13" s="149">
        <f>IF(A13="","",D13*Inputs!$B$17)</f>
        <v>67187.317110849428</v>
      </c>
      <c r="F13" s="149">
        <f>IF(A13="","",MIN(Inputs!$B$20,D13+E13))</f>
        <v>111014.82187676849</v>
      </c>
      <c r="G13" s="149">
        <f t="shared" si="1"/>
        <v>43827.50476591906</v>
      </c>
      <c r="H13" s="149">
        <f>IF(A13=Inputs!$C$54,MIN(Inputs!$C$53,D13-G13),0)</f>
        <v>0</v>
      </c>
      <c r="I13" s="149">
        <f t="shared" si="2"/>
        <v>111014.82187676849</v>
      </c>
      <c r="J13" s="149">
        <f t="shared" si="3"/>
        <v>5489045.7133728703</v>
      </c>
      <c r="K13" s="163" t="str">
        <f t="shared" si="4"/>
        <v>Vigente</v>
      </c>
      <c r="L13" s="149">
        <f>IF($A13="","",Inputs!$B$28)</f>
        <v>48643.172307692315</v>
      </c>
      <c r="M13" s="149">
        <f>IF($A13="","",Inputs!$B$29)</f>
        <v>10984.615384615387</v>
      </c>
      <c r="N13" s="149">
        <f>IF($A13="","",Inputs!$B$30)</f>
        <v>3406.3846153846157</v>
      </c>
      <c r="O13" s="149">
        <f t="shared" si="6"/>
        <v>63034.172307692315</v>
      </c>
      <c r="P13" s="149">
        <f t="shared" si="7"/>
        <v>174048.99418446081</v>
      </c>
      <c r="Q13" s="149">
        <f>IF($B13="","",IF(OR($B14="",ROUNDUP(($A13+1)/Inputs!$B$14,0)&gt;$B13),SUMIF($B$4:$B13,$B13,L$4:L13),0))</f>
        <v>0</v>
      </c>
      <c r="R13" s="149">
        <f>IF($B13="","",IF(OR($B14="",ROUNDUP(($A13+1)/Inputs!$B$14,0)&gt;$B13),SUMIF($B$4:$B13,$B13,M$4:M13),0))</f>
        <v>0</v>
      </c>
      <c r="S13" s="149">
        <f>IF($B13="","",IF(OR($B14="",ROUNDUP(($A13+1)/Inputs!$B$14,0)&gt;$B13),SUMIF($B$4:$B13,$B13,N$4:N13),0))</f>
        <v>0</v>
      </c>
      <c r="T13" s="18"/>
      <c r="U13" s="176" t="s">
        <v>108</v>
      </c>
      <c r="V13" s="177">
        <f>SUM(V11:V12)</f>
        <v>2000000</v>
      </c>
      <c r="W13" s="177">
        <f>SUM(W11:W12)</f>
        <v>2000000</v>
      </c>
      <c r="X13" s="178">
        <f>V13-W13</f>
        <v>0</v>
      </c>
      <c r="Y13" s="18"/>
      <c r="Z13" s="18"/>
      <c r="AA13" s="18"/>
      <c r="AB13" s="204"/>
      <c r="AC13" s="18"/>
      <c r="AD13" s="18"/>
      <c r="AE13" s="18"/>
    </row>
    <row r="14" spans="1:31" ht="18" customHeight="1">
      <c r="A14" s="157">
        <f t="shared" si="5"/>
        <v>11</v>
      </c>
      <c r="B14" s="77">
        <f>IF(A14="","",ROUNDUP(A14/Inputs!$B$14,0))</f>
        <v>3</v>
      </c>
      <c r="C14" s="160" t="str">
        <f>IF(A14="","",IF(A14=Inputs!$C$54,"Cuota + abono extra","Pago normal"))</f>
        <v>Pago normal</v>
      </c>
      <c r="D14" s="149">
        <f t="shared" si="0"/>
        <v>5489045.7133728703</v>
      </c>
      <c r="E14" s="149">
        <f>IF(A14="","",D14*Inputs!$B$17)</f>
        <v>66655.106748386854</v>
      </c>
      <c r="F14" s="149">
        <f>IF(A14="","",MIN(Inputs!$B$20,D14+E14))</f>
        <v>111014.82187676849</v>
      </c>
      <c r="G14" s="149">
        <f t="shared" si="1"/>
        <v>44359.715128381635</v>
      </c>
      <c r="H14" s="149">
        <f>IF(A14=Inputs!$C$54,MIN(Inputs!$C$53,D14-G14),0)</f>
        <v>0</v>
      </c>
      <c r="I14" s="149">
        <f t="shared" si="2"/>
        <v>111014.82187676849</v>
      </c>
      <c r="J14" s="149">
        <f t="shared" si="3"/>
        <v>5444685.9982444886</v>
      </c>
      <c r="K14" s="163" t="str">
        <f t="shared" si="4"/>
        <v>Vigente</v>
      </c>
      <c r="L14" s="149">
        <f>IF($A14="","",Inputs!$B$28)</f>
        <v>48643.172307692315</v>
      </c>
      <c r="M14" s="149">
        <f>IF($A14="","",Inputs!$B$29)</f>
        <v>10984.615384615387</v>
      </c>
      <c r="N14" s="149">
        <f>IF($A14="","",Inputs!$B$30)</f>
        <v>3406.3846153846157</v>
      </c>
      <c r="O14" s="149">
        <f t="shared" si="6"/>
        <v>63034.172307692315</v>
      </c>
      <c r="P14" s="149">
        <f t="shared" si="7"/>
        <v>174048.99418446081</v>
      </c>
      <c r="Q14" s="149">
        <f>IF($B14="","",IF(OR($B15="",ROUNDUP(($A14+1)/Inputs!$B$14,0)&gt;$B14),SUMIF($B$4:$B14,$B14,L$4:L14),0))</f>
        <v>0</v>
      </c>
      <c r="R14" s="149">
        <f>IF($B14="","",IF(OR($B15="",ROUNDUP(($A14+1)/Inputs!$B$14,0)&gt;$B14),SUMIF($B$4:$B14,$B14,M$4:M14),0))</f>
        <v>0</v>
      </c>
      <c r="S14" s="149">
        <f>IF($B14="","",IF(OR($B15="",ROUNDUP(($A14+1)/Inputs!$B$14,0)&gt;$B14),SUMIF($B$4:$B14,$B14,N$4:N14),0))</f>
        <v>0</v>
      </c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spans="1:31" ht="18" customHeight="1">
      <c r="A15" s="157">
        <f t="shared" si="5"/>
        <v>12</v>
      </c>
      <c r="B15" s="77">
        <f>IF(A15="","",ROUNDUP(A15/Inputs!$B$14,0))</f>
        <v>3</v>
      </c>
      <c r="C15" s="160" t="str">
        <f>IF(A15="","",IF(A15=Inputs!$C$54,"Cuota + abono extra","Pago normal"))</f>
        <v>Pago normal</v>
      </c>
      <c r="D15" s="149">
        <f t="shared" si="0"/>
        <v>5444685.9982444886</v>
      </c>
      <c r="E15" s="149">
        <f>IF(A15="","",D15*Inputs!$B$17)</f>
        <v>66116.433597968979</v>
      </c>
      <c r="F15" s="149">
        <f>IF(A15="","",MIN(Inputs!$B$20,D15+E15))</f>
        <v>111014.82187676849</v>
      </c>
      <c r="G15" s="149">
        <f t="shared" si="1"/>
        <v>44898.38827879951</v>
      </c>
      <c r="H15" s="149">
        <f>IF(A15=Inputs!$C$54,MIN(Inputs!$C$53,D15-G15),0)</f>
        <v>0</v>
      </c>
      <c r="I15" s="149">
        <f t="shared" si="2"/>
        <v>111014.82187676849</v>
      </c>
      <c r="J15" s="149">
        <f t="shared" si="3"/>
        <v>5399787.6099656895</v>
      </c>
      <c r="K15" s="163" t="str">
        <f t="shared" si="4"/>
        <v>Vigente</v>
      </c>
      <c r="L15" s="149">
        <f>IF($A15="","",Inputs!$B$28)</f>
        <v>48643.172307692315</v>
      </c>
      <c r="M15" s="149">
        <f>IF($A15="","",Inputs!$B$29)</f>
        <v>10984.615384615387</v>
      </c>
      <c r="N15" s="149">
        <f>IF($A15="","",Inputs!$B$30)</f>
        <v>3406.3846153846157</v>
      </c>
      <c r="O15" s="149">
        <f t="shared" si="6"/>
        <v>63034.172307692315</v>
      </c>
      <c r="P15" s="149">
        <f t="shared" si="7"/>
        <v>174048.99418446081</v>
      </c>
      <c r="Q15" s="149">
        <f>IF($B15="","",IF(OR($B16="",ROUNDUP(($A15+1)/Inputs!$B$14,0)&gt;$B15),SUMIF($B$4:$B15,$B15,L$4:L15),0))</f>
        <v>0</v>
      </c>
      <c r="R15" s="149">
        <f>IF($B15="","",IF(OR($B16="",ROUNDUP(($A15+1)/Inputs!$B$14,0)&gt;$B15),SUMIF($B$4:$B15,$B15,M$4:M15),0))</f>
        <v>0</v>
      </c>
      <c r="S15" s="149">
        <f>IF($B15="","",IF(OR($B16="",ROUNDUP(($A15+1)/Inputs!$B$14,0)&gt;$B15),SUMIF($B$4:$B15,$B15,N$4:N15),0))</f>
        <v>0</v>
      </c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spans="1:31" ht="18" customHeight="1">
      <c r="A16" s="157">
        <f t="shared" si="5"/>
        <v>13</v>
      </c>
      <c r="B16" s="77">
        <f>IF(A16="","",ROUNDUP(A16/Inputs!$B$14,0))</f>
        <v>3</v>
      </c>
      <c r="C16" s="160" t="str">
        <f>IF(A16="","",IF(A16=Inputs!$C$54,"Cuota + abono extra","Pago normal"))</f>
        <v>Pago normal</v>
      </c>
      <c r="D16" s="149">
        <f t="shared" si="0"/>
        <v>5399787.6099656895</v>
      </c>
      <c r="E16" s="149">
        <f>IF(A16="","",D16*Inputs!$B$17)</f>
        <v>65571.219180048793</v>
      </c>
      <c r="F16" s="149">
        <f>IF(A16="","",MIN(Inputs!$B$20,D16+E16))</f>
        <v>111014.82187676849</v>
      </c>
      <c r="G16" s="149">
        <f t="shared" si="1"/>
        <v>45443.602696719696</v>
      </c>
      <c r="H16" s="149">
        <f>IF(A16=Inputs!$C$54,MIN(Inputs!$C$53,D16-G16),0)</f>
        <v>0</v>
      </c>
      <c r="I16" s="149">
        <f t="shared" si="2"/>
        <v>111014.82187676849</v>
      </c>
      <c r="J16" s="149">
        <f t="shared" si="3"/>
        <v>5354344.0072689699</v>
      </c>
      <c r="K16" s="163" t="str">
        <f t="shared" si="4"/>
        <v>Vigente</v>
      </c>
      <c r="L16" s="149">
        <f>IF($A16="","",Inputs!$B$28)</f>
        <v>48643.172307692315</v>
      </c>
      <c r="M16" s="149">
        <f>IF($A16="","",Inputs!$B$29)</f>
        <v>10984.615384615387</v>
      </c>
      <c r="N16" s="149">
        <f>IF($A16="","",Inputs!$B$30)</f>
        <v>3406.3846153846157</v>
      </c>
      <c r="O16" s="149">
        <f t="shared" si="6"/>
        <v>63034.172307692315</v>
      </c>
      <c r="P16" s="149">
        <f t="shared" si="7"/>
        <v>174048.99418446081</v>
      </c>
      <c r="Q16" s="149">
        <f>IF($B16="","",IF(OR($B17="",ROUNDUP(($A16+1)/Inputs!$B$14,0)&gt;$B16),SUMIF($B$4:$B16,$B16,L$4:L16),0))</f>
        <v>243215.86153846158</v>
      </c>
      <c r="R16" s="149">
        <f>IF($B16="","",IF(OR($B17="",ROUNDUP(($A16+1)/Inputs!$B$14,0)&gt;$B16),SUMIF($B$4:$B16,$B16,M$4:M16),0))</f>
        <v>54923.076923076937</v>
      </c>
      <c r="S16" s="149">
        <f>IF($B16="","",IF(OR($B17="",ROUNDUP(($A16+1)/Inputs!$B$14,0)&gt;$B16),SUMIF($B$4:$B16,$B16,N$4:N16),0))</f>
        <v>17031.923076923078</v>
      </c>
      <c r="T16" s="18"/>
      <c r="U16" s="179" t="s">
        <v>337</v>
      </c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spans="1:31" ht="18" customHeight="1">
      <c r="A17" s="157">
        <f t="shared" si="5"/>
        <v>14</v>
      </c>
      <c r="B17" s="77">
        <f>IF(A17="","",ROUNDUP(A17/Inputs!$B$14,0))</f>
        <v>4</v>
      </c>
      <c r="C17" s="160" t="str">
        <f>IF(A17="","",IF(A17=Inputs!$C$54,"Cuota + abono extra","Pago normal"))</f>
        <v>Pago normal</v>
      </c>
      <c r="D17" s="149">
        <f t="shared" si="0"/>
        <v>5354344.0072689699</v>
      </c>
      <c r="E17" s="149">
        <f>IF(A17="","",D17*Inputs!$B$17)</f>
        <v>65019.384062078927</v>
      </c>
      <c r="F17" s="149">
        <f>IF(A17="","",MIN(Inputs!$B$20,D17+E17))</f>
        <v>111014.82187676849</v>
      </c>
      <c r="G17" s="149">
        <f t="shared" si="1"/>
        <v>45995.437814689561</v>
      </c>
      <c r="H17" s="149">
        <f>IF(A17=Inputs!$C$54,MIN(Inputs!$C$53,D17-G17),0)</f>
        <v>0</v>
      </c>
      <c r="I17" s="149">
        <f t="shared" si="2"/>
        <v>111014.82187676849</v>
      </c>
      <c r="J17" s="149">
        <f t="shared" si="3"/>
        <v>5308348.5694542807</v>
      </c>
      <c r="K17" s="163" t="str">
        <f t="shared" si="4"/>
        <v>Vigente</v>
      </c>
      <c r="L17" s="149">
        <f>IF($A17="","",Inputs!$B$28)</f>
        <v>48643.172307692315</v>
      </c>
      <c r="M17" s="149">
        <f>IF($A17="","",Inputs!$B$29)</f>
        <v>10984.615384615387</v>
      </c>
      <c r="N17" s="149">
        <f>IF($A17="","",Inputs!$B$30)</f>
        <v>3406.3846153846157</v>
      </c>
      <c r="O17" s="149">
        <f t="shared" si="6"/>
        <v>63034.172307692315</v>
      </c>
      <c r="P17" s="149">
        <f t="shared" si="7"/>
        <v>174048.99418446081</v>
      </c>
      <c r="Q17" s="149">
        <f>IF($B17="","",IF(OR($B18="",ROUNDUP(($A17+1)/Inputs!$B$14,0)&gt;$B17),SUMIF($B$4:$B17,$B17,L$4:L17),0))</f>
        <v>0</v>
      </c>
      <c r="R17" s="149">
        <f>IF($B17="","",IF(OR($B18="",ROUNDUP(($A17+1)/Inputs!$B$14,0)&gt;$B17),SUMIF($B$4:$B17,$B17,M$4:M17),0))</f>
        <v>0</v>
      </c>
      <c r="S17" s="149">
        <f>IF($B17="","",IF(OR($B18="",ROUNDUP(($A17+1)/Inputs!$B$14,0)&gt;$B17),SUMIF($B$4:$B17,$B17,N$4:N17),0))</f>
        <v>0</v>
      </c>
      <c r="T17" s="18"/>
      <c r="U17" s="179" t="s">
        <v>338</v>
      </c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spans="1:31" ht="18" customHeight="1">
      <c r="A18" s="157">
        <f t="shared" si="5"/>
        <v>15</v>
      </c>
      <c r="B18" s="77">
        <f>IF(A18="","",ROUNDUP(A18/Inputs!$B$14,0))</f>
        <v>4</v>
      </c>
      <c r="C18" s="160" t="str">
        <f>IF(A18="","",IF(A18=Inputs!$C$54,"Cuota + abono extra","Pago normal"))</f>
        <v>Pago normal</v>
      </c>
      <c r="D18" s="149">
        <f t="shared" si="0"/>
        <v>5308348.5694542807</v>
      </c>
      <c r="E18" s="149">
        <f>IF(A18="","",D18*Inputs!$B$17)</f>
        <v>64460.847846939076</v>
      </c>
      <c r="F18" s="149">
        <f>IF(A18="","",MIN(Inputs!$B$20,D18+E18))</f>
        <v>111014.82187676849</v>
      </c>
      <c r="G18" s="149">
        <f t="shared" si="1"/>
        <v>46553.974029829413</v>
      </c>
      <c r="H18" s="149">
        <f>IF(A18=Inputs!$C$54,MIN(Inputs!$C$53,D18-G18),0)</f>
        <v>0</v>
      </c>
      <c r="I18" s="149">
        <f t="shared" si="2"/>
        <v>111014.82187676849</v>
      </c>
      <c r="J18" s="149">
        <f t="shared" si="3"/>
        <v>5261794.5954244509</v>
      </c>
      <c r="K18" s="163" t="str">
        <f t="shared" si="4"/>
        <v>Vigente</v>
      </c>
      <c r="L18" s="149">
        <f>IF($A18="","",Inputs!$B$28)</f>
        <v>48643.172307692315</v>
      </c>
      <c r="M18" s="149">
        <f>IF($A18="","",Inputs!$B$29)</f>
        <v>10984.615384615387</v>
      </c>
      <c r="N18" s="149">
        <f>IF($A18="","",Inputs!$B$30)</f>
        <v>3406.3846153846157</v>
      </c>
      <c r="O18" s="149">
        <f t="shared" si="6"/>
        <v>63034.172307692315</v>
      </c>
      <c r="P18" s="149">
        <f t="shared" si="7"/>
        <v>174048.99418446081</v>
      </c>
      <c r="Q18" s="149">
        <f>IF($B18="","",IF(OR($B19="",ROUNDUP(($A18+1)/Inputs!$B$14,0)&gt;$B18),SUMIF($B$4:$B18,$B18,L$4:L18),0))</f>
        <v>0</v>
      </c>
      <c r="R18" s="149">
        <f>IF($B18="","",IF(OR($B19="",ROUNDUP(($A18+1)/Inputs!$B$14,0)&gt;$B18),SUMIF($B$4:$B18,$B18,M$4:M18),0))</f>
        <v>0</v>
      </c>
      <c r="S18" s="149">
        <f>IF($B18="","",IF(OR($B19="",ROUNDUP(($A18+1)/Inputs!$B$14,0)&gt;$B18),SUMIF($B$4:$B18,$B18,N$4:N18),0))</f>
        <v>0</v>
      </c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spans="1:31" ht="18" customHeight="1">
      <c r="A19" s="157">
        <f t="shared" si="5"/>
        <v>16</v>
      </c>
      <c r="B19" s="77">
        <f>IF(A19="","",ROUNDUP(A19/Inputs!$B$14,0))</f>
        <v>4</v>
      </c>
      <c r="C19" s="160" t="str">
        <f>IF(A19="","",IF(A19=Inputs!$C$54,"Cuota + abono extra","Pago normal"))</f>
        <v>Pago normal</v>
      </c>
      <c r="D19" s="149">
        <f t="shared" si="0"/>
        <v>5261794.5954244509</v>
      </c>
      <c r="E19" s="149">
        <f>IF(A19="","",D19*Inputs!$B$17)</f>
        <v>63895.529161222905</v>
      </c>
      <c r="F19" s="149">
        <f>IF(A19="","",MIN(Inputs!$B$20,D19+E19))</f>
        <v>111014.82187676849</v>
      </c>
      <c r="G19" s="149">
        <f t="shared" si="1"/>
        <v>47119.292715545584</v>
      </c>
      <c r="H19" s="149">
        <f>IF(A19=Inputs!$C$54,MIN(Inputs!$C$53,D19-G19),0)</f>
        <v>0</v>
      </c>
      <c r="I19" s="149">
        <f t="shared" si="2"/>
        <v>111014.82187676849</v>
      </c>
      <c r="J19" s="149">
        <f t="shared" si="3"/>
        <v>5214675.3027089052</v>
      </c>
      <c r="K19" s="163" t="str">
        <f t="shared" si="4"/>
        <v>Vigente</v>
      </c>
      <c r="L19" s="149">
        <f>IF($A19="","",Inputs!$B$28)</f>
        <v>48643.172307692315</v>
      </c>
      <c r="M19" s="149">
        <f>IF($A19="","",Inputs!$B$29)</f>
        <v>10984.615384615387</v>
      </c>
      <c r="N19" s="149">
        <f>IF($A19="","",Inputs!$B$30)</f>
        <v>3406.3846153846157</v>
      </c>
      <c r="O19" s="149">
        <f t="shared" si="6"/>
        <v>63034.172307692315</v>
      </c>
      <c r="P19" s="149">
        <f t="shared" si="7"/>
        <v>174048.99418446081</v>
      </c>
      <c r="Q19" s="149">
        <f>IF($B19="","",IF(OR($B20="",ROUNDUP(($A19+1)/Inputs!$B$14,0)&gt;$B19),SUMIF($B$4:$B19,$B19,L$4:L19),0))</f>
        <v>0</v>
      </c>
      <c r="R19" s="149">
        <f>IF($B19="","",IF(OR($B20="",ROUNDUP(($A19+1)/Inputs!$B$14,0)&gt;$B19),SUMIF($B$4:$B19,$B19,M$4:M19),0))</f>
        <v>0</v>
      </c>
      <c r="S19" s="149">
        <f>IF($B19="","",IF(OR($B20="",ROUNDUP(($A19+1)/Inputs!$B$14,0)&gt;$B19),SUMIF($B$4:$B19,$B19,N$4:N19),0))</f>
        <v>0</v>
      </c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spans="1:31" ht="18" customHeight="1">
      <c r="A20" s="157">
        <f t="shared" si="5"/>
        <v>17</v>
      </c>
      <c r="B20" s="77">
        <f>IF(A20="","",ROUNDUP(A20/Inputs!$B$14,0))</f>
        <v>4</v>
      </c>
      <c r="C20" s="160" t="str">
        <f>IF(A20="","",IF(A20=Inputs!$C$54,"Cuota + abono extra","Pago normal"))</f>
        <v>Pago normal</v>
      </c>
      <c r="D20" s="149">
        <f t="shared" si="0"/>
        <v>5214675.3027089052</v>
      </c>
      <c r="E20" s="149">
        <f>IF(A20="","",D20*Inputs!$B$17)</f>
        <v>63323.345643382738</v>
      </c>
      <c r="F20" s="149">
        <f>IF(A20="","",MIN(Inputs!$B$20,D20+E20))</f>
        <v>111014.82187676849</v>
      </c>
      <c r="G20" s="149">
        <f t="shared" si="1"/>
        <v>47691.476233385751</v>
      </c>
      <c r="H20" s="149">
        <f>IF(A20=Inputs!$C$54,MIN(Inputs!$C$53,D20-G20),0)</f>
        <v>0</v>
      </c>
      <c r="I20" s="149">
        <f t="shared" si="2"/>
        <v>111014.82187676849</v>
      </c>
      <c r="J20" s="149">
        <f t="shared" si="3"/>
        <v>5166983.8264755197</v>
      </c>
      <c r="K20" s="163" t="str">
        <f t="shared" si="4"/>
        <v>Vigente</v>
      </c>
      <c r="L20" s="149">
        <f>IF($A20="","",Inputs!$B$28)</f>
        <v>48643.172307692315</v>
      </c>
      <c r="M20" s="149">
        <f>IF($A20="","",Inputs!$B$29)</f>
        <v>10984.615384615387</v>
      </c>
      <c r="N20" s="149">
        <f>IF($A20="","",Inputs!$B$30)</f>
        <v>3406.3846153846157</v>
      </c>
      <c r="O20" s="149">
        <f t="shared" si="6"/>
        <v>63034.172307692315</v>
      </c>
      <c r="P20" s="149">
        <f t="shared" si="7"/>
        <v>174048.99418446081</v>
      </c>
      <c r="Q20" s="149">
        <f>IF($B20="","",IF(OR($B21="",ROUNDUP(($A20+1)/Inputs!$B$14,0)&gt;$B20),SUMIF($B$4:$B20,$B20,L$4:L20),0))</f>
        <v>194572.68923076926</v>
      </c>
      <c r="R20" s="149">
        <f>IF($B20="","",IF(OR($B21="",ROUNDUP(($A20+1)/Inputs!$B$14,0)&gt;$B20),SUMIF($B$4:$B20,$B20,M$4:M20),0))</f>
        <v>43938.461538461546</v>
      </c>
      <c r="S20" s="149">
        <f>IF($B20="","",IF(OR($B21="",ROUNDUP(($A20+1)/Inputs!$B$14,0)&gt;$B20),SUMIF($B$4:$B20,$B20,N$4:N20),0))</f>
        <v>13625.538461538463</v>
      </c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 spans="1:31" ht="18" customHeight="1">
      <c r="A21" s="157">
        <f t="shared" si="5"/>
        <v>18</v>
      </c>
      <c r="B21" s="77">
        <f>IF(A21="","",ROUNDUP(A21/Inputs!$B$14,0))</f>
        <v>5</v>
      </c>
      <c r="C21" s="160" t="str">
        <f>IF(A21="","",IF(A21=Inputs!$C$54,"Cuota + abono extra","Pago normal"))</f>
        <v>Pago normal</v>
      </c>
      <c r="D21" s="149">
        <f t="shared" si="0"/>
        <v>5166983.8264755197</v>
      </c>
      <c r="E21" s="149">
        <f>IF(A21="","",D21*Inputs!$B$17)</f>
        <v>62744.213931730235</v>
      </c>
      <c r="F21" s="149">
        <f>IF(A21="","",MIN(Inputs!$B$20,D21+E21))</f>
        <v>111014.82187676849</v>
      </c>
      <c r="G21" s="149">
        <f t="shared" si="1"/>
        <v>48270.607945038253</v>
      </c>
      <c r="H21" s="149">
        <f>IF(A21=Inputs!$C$54,MIN(Inputs!$C$53,D21-G21),0)</f>
        <v>0</v>
      </c>
      <c r="I21" s="149">
        <f t="shared" si="2"/>
        <v>111014.82187676849</v>
      </c>
      <c r="J21" s="149">
        <f t="shared" si="3"/>
        <v>5118713.2185304817</v>
      </c>
      <c r="K21" s="163" t="str">
        <f t="shared" si="4"/>
        <v>Vigente</v>
      </c>
      <c r="L21" s="149">
        <f>IF($A21="","",Inputs!$B$28)</f>
        <v>48643.172307692315</v>
      </c>
      <c r="M21" s="149">
        <f>IF($A21="","",Inputs!$B$29)</f>
        <v>10984.615384615387</v>
      </c>
      <c r="N21" s="149">
        <f>IF($A21="","",Inputs!$B$30)</f>
        <v>3406.3846153846157</v>
      </c>
      <c r="O21" s="149">
        <f t="shared" si="6"/>
        <v>63034.172307692315</v>
      </c>
      <c r="P21" s="149">
        <f t="shared" si="7"/>
        <v>174048.99418446081</v>
      </c>
      <c r="Q21" s="149">
        <f>IF($B21="","",IF(OR($B22="",ROUNDUP(($A21+1)/Inputs!$B$14,0)&gt;$B21),SUMIF($B$4:$B21,$B21,L$4:L21),0))</f>
        <v>0</v>
      </c>
      <c r="R21" s="149">
        <f>IF($B21="","",IF(OR($B22="",ROUNDUP(($A21+1)/Inputs!$B$14,0)&gt;$B21),SUMIF($B$4:$B21,$B21,M$4:M21),0))</f>
        <v>0</v>
      </c>
      <c r="S21" s="149">
        <f>IF($B21="","",IF(OR($B22="",ROUNDUP(($A21+1)/Inputs!$B$14,0)&gt;$B21),SUMIF($B$4:$B21,$B21,N$4:N21),0))</f>
        <v>0</v>
      </c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</row>
    <row r="22" spans="1:31" ht="18" customHeight="1">
      <c r="A22" s="157">
        <f t="shared" si="5"/>
        <v>19</v>
      </c>
      <c r="B22" s="77">
        <f>IF(A22="","",ROUNDUP(A22/Inputs!$B$14,0))</f>
        <v>5</v>
      </c>
      <c r="C22" s="160" t="str">
        <f>IF(A22="","",IF(A22=Inputs!$C$54,"Cuota + abono extra","Pago normal"))</f>
        <v>Pago normal</v>
      </c>
      <c r="D22" s="149">
        <f t="shared" si="0"/>
        <v>5118713.2185304817</v>
      </c>
      <c r="E22" s="149">
        <f>IF(A22="","",D22*Inputs!$B$17)</f>
        <v>62158.049652291396</v>
      </c>
      <c r="F22" s="149">
        <f>IF(A22="","",MIN(Inputs!$B$20,D22+E22))</f>
        <v>111014.82187676849</v>
      </c>
      <c r="G22" s="149">
        <f t="shared" si="1"/>
        <v>48856.772224477092</v>
      </c>
      <c r="H22" s="149">
        <f>IF(A22=Inputs!$C$54,MIN(Inputs!$C$53,D22-G22),0)</f>
        <v>0</v>
      </c>
      <c r="I22" s="149">
        <f t="shared" si="2"/>
        <v>111014.82187676849</v>
      </c>
      <c r="J22" s="149">
        <f t="shared" si="3"/>
        <v>5069856.4463060042</v>
      </c>
      <c r="K22" s="163" t="str">
        <f t="shared" si="4"/>
        <v>Vigente</v>
      </c>
      <c r="L22" s="149">
        <f>IF($A22="","",Inputs!$B$28)</f>
        <v>48643.172307692315</v>
      </c>
      <c r="M22" s="149">
        <f>IF($A22="","",Inputs!$B$29)</f>
        <v>10984.615384615387</v>
      </c>
      <c r="N22" s="149">
        <f>IF($A22="","",Inputs!$B$30)</f>
        <v>3406.3846153846157</v>
      </c>
      <c r="O22" s="149">
        <f t="shared" si="6"/>
        <v>63034.172307692315</v>
      </c>
      <c r="P22" s="149">
        <f t="shared" si="7"/>
        <v>174048.99418446081</v>
      </c>
      <c r="Q22" s="149">
        <f>IF($B22="","",IF(OR($B23="",ROUNDUP(($A22+1)/Inputs!$B$14,0)&gt;$B22),SUMIF($B$4:$B22,$B22,L$4:L22),0))</f>
        <v>0</v>
      </c>
      <c r="R22" s="149">
        <f>IF($B22="","",IF(OR($B23="",ROUNDUP(($A22+1)/Inputs!$B$14,0)&gt;$B22),SUMIF($B$4:$B22,$B22,M$4:M22),0))</f>
        <v>0</v>
      </c>
      <c r="S22" s="149">
        <f>IF($B22="","",IF(OR($B23="",ROUNDUP(($A22+1)/Inputs!$B$14,0)&gt;$B22),SUMIF($B$4:$B22,$B22,N$4:N22),0))</f>
        <v>0</v>
      </c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spans="1:31" ht="18" customHeight="1">
      <c r="A23" s="157">
        <f t="shared" si="5"/>
        <v>20</v>
      </c>
      <c r="B23" s="77">
        <f>IF(A23="","",ROUNDUP(A23/Inputs!$B$14,0))</f>
        <v>5</v>
      </c>
      <c r="C23" s="160" t="str">
        <f>IF(A23="","",IF(A23=Inputs!$C$54,"Cuota + abono extra","Pago normal"))</f>
        <v>Pago normal</v>
      </c>
      <c r="D23" s="149">
        <f t="shared" si="0"/>
        <v>5069856.4463060042</v>
      </c>
      <c r="E23" s="149">
        <f>IF(A23="","",D23*Inputs!$B$17)</f>
        <v>61564.767406514089</v>
      </c>
      <c r="F23" s="149">
        <f>IF(A23="","",MIN(Inputs!$B$20,D23+E23))</f>
        <v>111014.82187676849</v>
      </c>
      <c r="G23" s="149">
        <f t="shared" si="1"/>
        <v>49450.054470254399</v>
      </c>
      <c r="H23" s="149">
        <f>IF(A23=Inputs!$C$54,MIN(Inputs!$C$53,D23-G23),0)</f>
        <v>0</v>
      </c>
      <c r="I23" s="149">
        <f t="shared" si="2"/>
        <v>111014.82187676849</v>
      </c>
      <c r="J23" s="149">
        <f t="shared" si="3"/>
        <v>5020406.3918357501</v>
      </c>
      <c r="K23" s="163" t="str">
        <f t="shared" si="4"/>
        <v>Vigente</v>
      </c>
      <c r="L23" s="149">
        <f>IF($A23="","",Inputs!$B$28)</f>
        <v>48643.172307692315</v>
      </c>
      <c r="M23" s="149">
        <f>IF($A23="","",Inputs!$B$29)</f>
        <v>10984.615384615387</v>
      </c>
      <c r="N23" s="149">
        <f>IF($A23="","",Inputs!$B$30)</f>
        <v>3406.3846153846157</v>
      </c>
      <c r="O23" s="149">
        <f t="shared" si="6"/>
        <v>63034.172307692315</v>
      </c>
      <c r="P23" s="149">
        <f t="shared" si="7"/>
        <v>174048.99418446081</v>
      </c>
      <c r="Q23" s="149">
        <f>IF($B23="","",IF(OR($B24="",ROUNDUP(($A23+1)/Inputs!$B$14,0)&gt;$B23),SUMIF($B$4:$B23,$B23,L$4:L23),0))</f>
        <v>0</v>
      </c>
      <c r="R23" s="149">
        <f>IF($B23="","",IF(OR($B24="",ROUNDUP(($A23+1)/Inputs!$B$14,0)&gt;$B23),SUMIF($B$4:$B23,$B23,M$4:M23),0))</f>
        <v>0</v>
      </c>
      <c r="S23" s="149">
        <f>IF($B23="","",IF(OR($B24="",ROUNDUP(($A23+1)/Inputs!$B$14,0)&gt;$B23),SUMIF($B$4:$B23,$B23,N$4:N23),0))</f>
        <v>0</v>
      </c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 spans="1:31" ht="18" customHeight="1">
      <c r="A24" s="157">
        <f t="shared" si="5"/>
        <v>21</v>
      </c>
      <c r="B24" s="77">
        <f>IF(A24="","",ROUNDUP(A24/Inputs!$B$14,0))</f>
        <v>5</v>
      </c>
      <c r="C24" s="160" t="str">
        <f>IF(A24="","",IF(A24=Inputs!$C$54,"Cuota + abono extra","Pago normal"))</f>
        <v>Pago normal</v>
      </c>
      <c r="D24" s="149">
        <f t="shared" si="0"/>
        <v>5020406.3918357501</v>
      </c>
      <c r="E24" s="149">
        <f>IF(A24="","",D24*Inputs!$B$17)</f>
        <v>60964.280758826295</v>
      </c>
      <c r="F24" s="149">
        <f>IF(A24="","",MIN(Inputs!$B$20,D24+E24))</f>
        <v>111014.82187676849</v>
      </c>
      <c r="G24" s="149">
        <f t="shared" si="1"/>
        <v>50050.541117942194</v>
      </c>
      <c r="H24" s="149">
        <f>IF(A24=Inputs!$C$54,MIN(Inputs!$C$53,D24-G24),0)</f>
        <v>0</v>
      </c>
      <c r="I24" s="149">
        <f t="shared" si="2"/>
        <v>111014.82187676849</v>
      </c>
      <c r="J24" s="149">
        <f t="shared" si="3"/>
        <v>4970355.8507178081</v>
      </c>
      <c r="K24" s="163" t="str">
        <f t="shared" si="4"/>
        <v>Vigente</v>
      </c>
      <c r="L24" s="149">
        <f>IF($A24="","",Inputs!$B$28)</f>
        <v>48643.172307692315</v>
      </c>
      <c r="M24" s="149">
        <f>IF($A24="","",Inputs!$B$29)</f>
        <v>10984.615384615387</v>
      </c>
      <c r="N24" s="149">
        <f>IF($A24="","",Inputs!$B$30)</f>
        <v>3406.3846153846157</v>
      </c>
      <c r="O24" s="149">
        <f t="shared" si="6"/>
        <v>63034.172307692315</v>
      </c>
      <c r="P24" s="149">
        <f t="shared" si="7"/>
        <v>174048.99418446081</v>
      </c>
      <c r="Q24" s="149">
        <f>IF($B24="","",IF(OR($B25="",ROUNDUP(($A24+1)/Inputs!$B$14,0)&gt;$B24),SUMIF($B$4:$B24,$B24,L$4:L24),0))</f>
        <v>194572.68923076926</v>
      </c>
      <c r="R24" s="149">
        <f>IF($B24="","",IF(OR($B25="",ROUNDUP(($A24+1)/Inputs!$B$14,0)&gt;$B24),SUMIF($B$4:$B24,$B24,M$4:M24),0))</f>
        <v>43938.461538461546</v>
      </c>
      <c r="S24" s="149">
        <f>IF($B24="","",IF(OR($B25="",ROUNDUP(($A24+1)/Inputs!$B$14,0)&gt;$B24),SUMIF($B$4:$B24,$B24,N$4:N24),0))</f>
        <v>13625.538461538463</v>
      </c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spans="1:31" ht="18" customHeight="1">
      <c r="A25" s="157">
        <f t="shared" si="5"/>
        <v>22</v>
      </c>
      <c r="B25" s="77">
        <f>IF(A25="","",ROUNDUP(A25/Inputs!$B$14,0))</f>
        <v>6</v>
      </c>
      <c r="C25" s="160" t="str">
        <f>IF(A25="","",IF(A25=Inputs!$C$54,"Cuota + abono extra","Pago normal"))</f>
        <v>Pago normal</v>
      </c>
      <c r="D25" s="149">
        <f t="shared" si="0"/>
        <v>4970355.8507178081</v>
      </c>
      <c r="E25" s="149">
        <f>IF(A25="","",D25*Inputs!$B$17)</f>
        <v>60356.502224043244</v>
      </c>
      <c r="F25" s="149">
        <f>IF(A25="","",MIN(Inputs!$B$20,D25+E25))</f>
        <v>111014.82187676849</v>
      </c>
      <c r="G25" s="149">
        <f t="shared" si="1"/>
        <v>50658.319652725244</v>
      </c>
      <c r="H25" s="149">
        <f>IF(A25=Inputs!$C$54,MIN(Inputs!$C$53,D25-G25),0)</f>
        <v>0</v>
      </c>
      <c r="I25" s="149">
        <f t="shared" si="2"/>
        <v>111014.82187676849</v>
      </c>
      <c r="J25" s="149">
        <f t="shared" si="3"/>
        <v>4919697.5310650831</v>
      </c>
      <c r="K25" s="163" t="str">
        <f t="shared" si="4"/>
        <v>Vigente</v>
      </c>
      <c r="L25" s="149">
        <f>IF($A25="","",Inputs!$B$28)</f>
        <v>48643.172307692315</v>
      </c>
      <c r="M25" s="149">
        <f>IF($A25="","",Inputs!$B$29)</f>
        <v>10984.615384615387</v>
      </c>
      <c r="N25" s="149">
        <f>IF($A25="","",Inputs!$B$30)</f>
        <v>3406.3846153846157</v>
      </c>
      <c r="O25" s="149">
        <f t="shared" si="6"/>
        <v>63034.172307692315</v>
      </c>
      <c r="P25" s="149">
        <f t="shared" si="7"/>
        <v>174048.99418446081</v>
      </c>
      <c r="Q25" s="149">
        <f>IF($B25="","",IF(OR($B26="",ROUNDUP(($A25+1)/Inputs!$B$14,0)&gt;$B25),SUMIF($B$4:$B25,$B25,L$4:L25),0))</f>
        <v>0</v>
      </c>
      <c r="R25" s="149">
        <f>IF($B25="","",IF(OR($B26="",ROUNDUP(($A25+1)/Inputs!$B$14,0)&gt;$B25),SUMIF($B$4:$B25,$B25,M$4:M25),0))</f>
        <v>0</v>
      </c>
      <c r="S25" s="149">
        <f>IF($B25="","",IF(OR($B26="",ROUNDUP(($A25+1)/Inputs!$B$14,0)&gt;$B25),SUMIF($B$4:$B25,$B25,N$4:N25),0))</f>
        <v>0</v>
      </c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spans="1:31" ht="18" customHeight="1">
      <c r="A26" s="157">
        <f t="shared" si="5"/>
        <v>23</v>
      </c>
      <c r="B26" s="77">
        <f>IF(A26="","",ROUNDUP(A26/Inputs!$B$14,0))</f>
        <v>6</v>
      </c>
      <c r="C26" s="160" t="str">
        <f>IF(A26="","",IF(A26=Inputs!$C$54,"Cuota + abono extra","Pago normal"))</f>
        <v>Pago normal</v>
      </c>
      <c r="D26" s="149">
        <f t="shared" si="0"/>
        <v>4919697.5310650831</v>
      </c>
      <c r="E26" s="149">
        <f>IF(A26="","",D26*Inputs!$B$17)</f>
        <v>59741.343254621679</v>
      </c>
      <c r="F26" s="149">
        <f>IF(A26="","",MIN(Inputs!$B$20,D26+E26))</f>
        <v>111014.82187676849</v>
      </c>
      <c r="G26" s="149">
        <f t="shared" si="1"/>
        <v>51273.478622146809</v>
      </c>
      <c r="H26" s="149">
        <f>IF(A26=Inputs!$C$54,MIN(Inputs!$C$53,D26-G26),0)</f>
        <v>0</v>
      </c>
      <c r="I26" s="149">
        <f t="shared" si="2"/>
        <v>111014.82187676849</v>
      </c>
      <c r="J26" s="149">
        <f t="shared" si="3"/>
        <v>4868424.0524429362</v>
      </c>
      <c r="K26" s="163" t="str">
        <f t="shared" si="4"/>
        <v>Vigente</v>
      </c>
      <c r="L26" s="149">
        <f>IF($A26="","",Inputs!$B$28)</f>
        <v>48643.172307692315</v>
      </c>
      <c r="M26" s="149">
        <f>IF($A26="","",Inputs!$B$29)</f>
        <v>10984.615384615387</v>
      </c>
      <c r="N26" s="149">
        <f>IF($A26="","",Inputs!$B$30)</f>
        <v>3406.3846153846157</v>
      </c>
      <c r="O26" s="149">
        <f t="shared" si="6"/>
        <v>63034.172307692315</v>
      </c>
      <c r="P26" s="149">
        <f t="shared" si="7"/>
        <v>174048.99418446081</v>
      </c>
      <c r="Q26" s="149">
        <f>IF($B26="","",IF(OR($B27="",ROUNDUP(($A26+1)/Inputs!$B$14,0)&gt;$B26),SUMIF($B$4:$B26,$B26,L$4:L26),0))</f>
        <v>0</v>
      </c>
      <c r="R26" s="149">
        <f>IF($B26="","",IF(OR($B27="",ROUNDUP(($A26+1)/Inputs!$B$14,0)&gt;$B26),SUMIF($B$4:$B26,$B26,M$4:M26),0))</f>
        <v>0</v>
      </c>
      <c r="S26" s="149">
        <f>IF($B26="","",IF(OR($B27="",ROUNDUP(($A26+1)/Inputs!$B$14,0)&gt;$B26),SUMIF($B$4:$B26,$B26,N$4:N26),0))</f>
        <v>0</v>
      </c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</row>
    <row r="27" spans="1:31" ht="18" customHeight="1">
      <c r="A27" s="157">
        <f t="shared" si="5"/>
        <v>24</v>
      </c>
      <c r="B27" s="77">
        <f>IF(A27="","",ROUNDUP(A27/Inputs!$B$14,0))</f>
        <v>6</v>
      </c>
      <c r="C27" s="160" t="str">
        <f>IF(A27="","",IF(A27=Inputs!$C$54,"Cuota + abono extra","Pago normal"))</f>
        <v>Pago normal</v>
      </c>
      <c r="D27" s="149">
        <f t="shared" si="0"/>
        <v>4868424.0524429362</v>
      </c>
      <c r="E27" s="149">
        <f>IF(A27="","",D27*Inputs!$B$17)</f>
        <v>59118.714227759323</v>
      </c>
      <c r="F27" s="149">
        <f>IF(A27="","",MIN(Inputs!$B$20,D27+E27))</f>
        <v>111014.82187676849</v>
      </c>
      <c r="G27" s="149">
        <f t="shared" si="1"/>
        <v>51896.107649009165</v>
      </c>
      <c r="H27" s="149">
        <f>IF(A27=Inputs!$C$54,MIN(Inputs!$C$53,D27-G27),0)</f>
        <v>0</v>
      </c>
      <c r="I27" s="149">
        <f t="shared" si="2"/>
        <v>111014.82187676849</v>
      </c>
      <c r="J27" s="149">
        <f t="shared" si="3"/>
        <v>4816527.9447939275</v>
      </c>
      <c r="K27" s="163" t="str">
        <f t="shared" si="4"/>
        <v>Vigente</v>
      </c>
      <c r="L27" s="149">
        <f>IF($A27="","",Inputs!$B$28)</f>
        <v>48643.172307692315</v>
      </c>
      <c r="M27" s="149">
        <f>IF($A27="","",Inputs!$B$29)</f>
        <v>10984.615384615387</v>
      </c>
      <c r="N27" s="149">
        <f>IF($A27="","",Inputs!$B$30)</f>
        <v>3406.3846153846157</v>
      </c>
      <c r="O27" s="149">
        <f t="shared" si="6"/>
        <v>63034.172307692315</v>
      </c>
      <c r="P27" s="149">
        <f t="shared" si="7"/>
        <v>174048.99418446081</v>
      </c>
      <c r="Q27" s="149">
        <f>IF($B27="","",IF(OR($B28="",ROUNDUP(($A27+1)/Inputs!$B$14,0)&gt;$B27),SUMIF($B$4:$B27,$B27,L$4:L27),0))</f>
        <v>0</v>
      </c>
      <c r="R27" s="149">
        <f>IF($B27="","",IF(OR($B28="",ROUNDUP(($A27+1)/Inputs!$B$14,0)&gt;$B27),SUMIF($B$4:$B27,$B27,M$4:M27),0))</f>
        <v>0</v>
      </c>
      <c r="S27" s="149">
        <f>IF($B27="","",IF(OR($B28="",ROUNDUP(($A27+1)/Inputs!$B$14,0)&gt;$B27),SUMIF($B$4:$B27,$B27,N$4:N27),0))</f>
        <v>0</v>
      </c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spans="1:31" ht="18" customHeight="1">
      <c r="A28" s="157">
        <f t="shared" si="5"/>
        <v>25</v>
      </c>
      <c r="B28" s="77">
        <f>IF(A28="","",ROUNDUP(A28/Inputs!$B$14,0))</f>
        <v>6</v>
      </c>
      <c r="C28" s="160" t="str">
        <f>IF(A28="","",IF(A28=Inputs!$C$54,"Cuota + abono extra","Pago normal"))</f>
        <v>Pago normal</v>
      </c>
      <c r="D28" s="149">
        <f t="shared" si="0"/>
        <v>4816527.9447939275</v>
      </c>
      <c r="E28" s="149">
        <f>IF(A28="","",D28*Inputs!$B$17)</f>
        <v>58488.52443233769</v>
      </c>
      <c r="F28" s="149">
        <f>IF(A28="","",MIN(Inputs!$B$20,D28+E28))</f>
        <v>111014.82187676849</v>
      </c>
      <c r="G28" s="149">
        <f t="shared" si="1"/>
        <v>52526.297444430798</v>
      </c>
      <c r="H28" s="149">
        <f>IF(A28=Inputs!$C$54,MIN(Inputs!$C$53,D28-G28),0)</f>
        <v>0</v>
      </c>
      <c r="I28" s="149">
        <f t="shared" si="2"/>
        <v>111014.82187676849</v>
      </c>
      <c r="J28" s="149">
        <f t="shared" si="3"/>
        <v>4764001.6473494964</v>
      </c>
      <c r="K28" s="163" t="str">
        <f t="shared" si="4"/>
        <v>Vigente</v>
      </c>
      <c r="L28" s="149">
        <f>IF($A28="","",Inputs!$B$28)</f>
        <v>48643.172307692315</v>
      </c>
      <c r="M28" s="149">
        <f>IF($A28="","",Inputs!$B$29)</f>
        <v>10984.615384615387</v>
      </c>
      <c r="N28" s="149">
        <f>IF($A28="","",Inputs!$B$30)</f>
        <v>3406.3846153846157</v>
      </c>
      <c r="O28" s="149">
        <f t="shared" si="6"/>
        <v>63034.172307692315</v>
      </c>
      <c r="P28" s="149">
        <f t="shared" si="7"/>
        <v>174048.99418446081</v>
      </c>
      <c r="Q28" s="149">
        <f>IF($B28="","",IF(OR($B29="",ROUNDUP(($A28+1)/Inputs!$B$14,0)&gt;$B28),SUMIF($B$4:$B28,$B28,L$4:L28),0))</f>
        <v>0</v>
      </c>
      <c r="R28" s="149">
        <f>IF($B28="","",IF(OR($B29="",ROUNDUP(($A28+1)/Inputs!$B$14,0)&gt;$B28),SUMIF($B$4:$B28,$B28,M$4:M28),0))</f>
        <v>0</v>
      </c>
      <c r="S28" s="149">
        <f>IF($B28="","",IF(OR($B29="",ROUNDUP(($A28+1)/Inputs!$B$14,0)&gt;$B28),SUMIF($B$4:$B28,$B28,N$4:N28),0))</f>
        <v>0</v>
      </c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spans="1:31" ht="18" customHeight="1">
      <c r="A29" s="157">
        <f t="shared" si="5"/>
        <v>26</v>
      </c>
      <c r="B29" s="77">
        <f>IF(A29="","",ROUNDUP(A29/Inputs!$B$14,0))</f>
        <v>6</v>
      </c>
      <c r="C29" s="160" t="str">
        <f>IF(A29="","",IF(A29=Inputs!$C$54,"Cuota + abono extra","Pago normal"))</f>
        <v>Pago normal</v>
      </c>
      <c r="D29" s="149">
        <f t="shared" si="0"/>
        <v>4764001.6473494964</v>
      </c>
      <c r="E29" s="149">
        <f>IF(A29="","",D29*Inputs!$B$17)</f>
        <v>57850.682055706304</v>
      </c>
      <c r="F29" s="149">
        <f>IF(A29="","",MIN(Inputs!$B$20,D29+E29))</f>
        <v>111014.82187676849</v>
      </c>
      <c r="G29" s="149">
        <f t="shared" si="1"/>
        <v>53164.139821062185</v>
      </c>
      <c r="H29" s="149">
        <f>IF(A29=Inputs!$C$54,MIN(Inputs!$C$53,D29-G29),0)</f>
        <v>0</v>
      </c>
      <c r="I29" s="149">
        <f t="shared" si="2"/>
        <v>111014.82187676849</v>
      </c>
      <c r="J29" s="149">
        <f t="shared" si="3"/>
        <v>4710837.5075284345</v>
      </c>
      <c r="K29" s="163" t="str">
        <f t="shared" si="4"/>
        <v>Vigente</v>
      </c>
      <c r="L29" s="149">
        <f>IF($A29="","",Inputs!$B$28)</f>
        <v>48643.172307692315</v>
      </c>
      <c r="M29" s="149">
        <f>IF($A29="","",Inputs!$B$29)</f>
        <v>10984.615384615387</v>
      </c>
      <c r="N29" s="149">
        <f>IF($A29="","",Inputs!$B$30)</f>
        <v>3406.3846153846157</v>
      </c>
      <c r="O29" s="149">
        <f t="shared" si="6"/>
        <v>63034.172307692315</v>
      </c>
      <c r="P29" s="149">
        <f t="shared" si="7"/>
        <v>174048.99418446081</v>
      </c>
      <c r="Q29" s="149">
        <f>IF($B29="","",IF(OR($B30="",ROUNDUP(($A29+1)/Inputs!$B$14,0)&gt;$B29),SUMIF($B$4:$B29,$B29,L$4:L29),0))</f>
        <v>243215.86153846158</v>
      </c>
      <c r="R29" s="149">
        <f>IF($B29="","",IF(OR($B30="",ROUNDUP(($A29+1)/Inputs!$B$14,0)&gt;$B29),SUMIF($B$4:$B29,$B29,M$4:M29),0))</f>
        <v>54923.076923076937</v>
      </c>
      <c r="S29" s="149">
        <f>IF($B29="","",IF(OR($B30="",ROUNDUP(($A29+1)/Inputs!$B$14,0)&gt;$B29),SUMIF($B$4:$B29,$B29,N$4:N29),0))</f>
        <v>17031.923076923078</v>
      </c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spans="1:31" ht="18" customHeight="1">
      <c r="A30" s="157">
        <f t="shared" si="5"/>
        <v>27</v>
      </c>
      <c r="B30" s="77">
        <f>IF(A30="","",ROUNDUP(A30/Inputs!$B$14,0))</f>
        <v>7</v>
      </c>
      <c r="C30" s="160" t="str">
        <f>IF(A30="","",IF(A30=Inputs!$C$54,"Cuota + abono extra","Pago normal"))</f>
        <v>Pago normal</v>
      </c>
      <c r="D30" s="149">
        <f t="shared" si="0"/>
        <v>4710837.5075284345</v>
      </c>
      <c r="E30" s="149">
        <f>IF(A30="","",D30*Inputs!$B$17)</f>
        <v>57205.09417030654</v>
      </c>
      <c r="F30" s="149">
        <f>IF(A30="","",MIN(Inputs!$B$20,D30+E30))</f>
        <v>111014.82187676849</v>
      </c>
      <c r="G30" s="149">
        <f t="shared" si="1"/>
        <v>53809.727706461948</v>
      </c>
      <c r="H30" s="149">
        <f>IF(A30=Inputs!$C$54,MIN(Inputs!$C$53,D30-G30),0)</f>
        <v>0</v>
      </c>
      <c r="I30" s="149">
        <f t="shared" si="2"/>
        <v>111014.82187676849</v>
      </c>
      <c r="J30" s="149">
        <f t="shared" si="3"/>
        <v>4657027.7798219724</v>
      </c>
      <c r="K30" s="163" t="str">
        <f t="shared" si="4"/>
        <v>Vigente</v>
      </c>
      <c r="L30" s="149">
        <f>IF($A30="","",Inputs!$B$28)</f>
        <v>48643.172307692315</v>
      </c>
      <c r="M30" s="149">
        <f>IF($A30="","",Inputs!$B$29)</f>
        <v>10984.615384615387</v>
      </c>
      <c r="N30" s="149">
        <f>IF($A30="","",Inputs!$B$30)</f>
        <v>3406.3846153846157</v>
      </c>
      <c r="O30" s="149">
        <f t="shared" si="6"/>
        <v>63034.172307692315</v>
      </c>
      <c r="P30" s="149">
        <f t="shared" si="7"/>
        <v>174048.99418446081</v>
      </c>
      <c r="Q30" s="149">
        <f>IF($B30="","",IF(OR($B31="",ROUNDUP(($A30+1)/Inputs!$B$14,0)&gt;$B30),SUMIF($B$4:$B30,$B30,L$4:L30),0))</f>
        <v>0</v>
      </c>
      <c r="R30" s="149">
        <f>IF($B30="","",IF(OR($B31="",ROUNDUP(($A30+1)/Inputs!$B$14,0)&gt;$B30),SUMIF($B$4:$B30,$B30,M$4:M30),0))</f>
        <v>0</v>
      </c>
      <c r="S30" s="149">
        <f>IF($B30="","",IF(OR($B31="",ROUNDUP(($A30+1)/Inputs!$B$14,0)&gt;$B30),SUMIF($B$4:$B30,$B30,N$4:N30),0))</f>
        <v>0</v>
      </c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spans="1:31" ht="18" customHeight="1">
      <c r="A31" s="157">
        <f t="shared" si="5"/>
        <v>28</v>
      </c>
      <c r="B31" s="77">
        <f>IF(A31="","",ROUNDUP(A31/Inputs!$B$14,0))</f>
        <v>7</v>
      </c>
      <c r="C31" s="160" t="str">
        <f>IF(A31="","",IF(A31=Inputs!$C$54,"Cuota + abono extra","Pago normal"))</f>
        <v>Pago normal</v>
      </c>
      <c r="D31" s="149">
        <f t="shared" si="0"/>
        <v>4657027.7798219724</v>
      </c>
      <c r="E31" s="149">
        <f>IF(A31="","",D31*Inputs!$B$17)</f>
        <v>56551.666720132882</v>
      </c>
      <c r="F31" s="149">
        <f>IF(A31="","",MIN(Inputs!$B$20,D31+E31))</f>
        <v>111014.82187676849</v>
      </c>
      <c r="G31" s="149">
        <f t="shared" si="1"/>
        <v>54463.155156635607</v>
      </c>
      <c r="H31" s="149">
        <f>IF(A31=Inputs!$C$54,MIN(Inputs!$C$53,D31-G31),0)</f>
        <v>0</v>
      </c>
      <c r="I31" s="149">
        <f t="shared" si="2"/>
        <v>111014.82187676849</v>
      </c>
      <c r="J31" s="149">
        <f t="shared" si="3"/>
        <v>4602564.6246653367</v>
      </c>
      <c r="K31" s="163" t="str">
        <f t="shared" si="4"/>
        <v>Vigente</v>
      </c>
      <c r="L31" s="149">
        <f>IF($A31="","",Inputs!$B$28)</f>
        <v>48643.172307692315</v>
      </c>
      <c r="M31" s="149">
        <f>IF($A31="","",Inputs!$B$29)</f>
        <v>10984.615384615387</v>
      </c>
      <c r="N31" s="149">
        <f>IF($A31="","",Inputs!$B$30)</f>
        <v>3406.3846153846157</v>
      </c>
      <c r="O31" s="149">
        <f t="shared" si="6"/>
        <v>63034.172307692315</v>
      </c>
      <c r="P31" s="149">
        <f t="shared" si="7"/>
        <v>174048.99418446081</v>
      </c>
      <c r="Q31" s="149">
        <f>IF($B31="","",IF(OR($B32="",ROUNDUP(($A31+1)/Inputs!$B$14,0)&gt;$B31),SUMIF($B$4:$B31,$B31,L$4:L31),0))</f>
        <v>0</v>
      </c>
      <c r="R31" s="149">
        <f>IF($B31="","",IF(OR($B32="",ROUNDUP(($A31+1)/Inputs!$B$14,0)&gt;$B31),SUMIF($B$4:$B31,$B31,M$4:M31),0))</f>
        <v>0</v>
      </c>
      <c r="S31" s="149">
        <f>IF($B31="","",IF(OR($B32="",ROUNDUP(($A31+1)/Inputs!$B$14,0)&gt;$B31),SUMIF($B$4:$B31,$B31,N$4:N31),0))</f>
        <v>0</v>
      </c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spans="1:31" ht="18" customHeight="1">
      <c r="A32" s="157">
        <f t="shared" si="5"/>
        <v>29</v>
      </c>
      <c r="B32" s="77">
        <f>IF(A32="","",ROUNDUP(A32/Inputs!$B$14,0))</f>
        <v>7</v>
      </c>
      <c r="C32" s="160" t="str">
        <f>IF(A32="","",IF(A32=Inputs!$C$54,"Cuota + abono extra","Pago normal"))</f>
        <v>Pago normal</v>
      </c>
      <c r="D32" s="149">
        <f t="shared" si="0"/>
        <v>4602564.6246653367</v>
      </c>
      <c r="E32" s="149">
        <f>IF(A32="","",D32*Inputs!$B$17)</f>
        <v>55890.304507029941</v>
      </c>
      <c r="F32" s="149">
        <f>IF(A32="","",MIN(Inputs!$B$20,D32+E32))</f>
        <v>111014.82187676849</v>
      </c>
      <c r="G32" s="149">
        <f t="shared" si="1"/>
        <v>55124.517369738547</v>
      </c>
      <c r="H32" s="149">
        <f>IF(A32=Inputs!$C$54,MIN(Inputs!$C$53,D32-G32),0)</f>
        <v>0</v>
      </c>
      <c r="I32" s="149">
        <f t="shared" si="2"/>
        <v>111014.82187676849</v>
      </c>
      <c r="J32" s="149">
        <f t="shared" si="3"/>
        <v>4547440.1072955979</v>
      </c>
      <c r="K32" s="163" t="str">
        <f t="shared" si="4"/>
        <v>Vigente</v>
      </c>
      <c r="L32" s="149">
        <f>IF($A32="","",Inputs!$B$28)</f>
        <v>48643.172307692315</v>
      </c>
      <c r="M32" s="149">
        <f>IF($A32="","",Inputs!$B$29)</f>
        <v>10984.615384615387</v>
      </c>
      <c r="N32" s="149">
        <f>IF($A32="","",Inputs!$B$30)</f>
        <v>3406.3846153846157</v>
      </c>
      <c r="O32" s="149">
        <f t="shared" si="6"/>
        <v>63034.172307692315</v>
      </c>
      <c r="P32" s="149">
        <f t="shared" si="7"/>
        <v>174048.99418446081</v>
      </c>
      <c r="Q32" s="149">
        <f>IF($B32="","",IF(OR($B33="",ROUNDUP(($A32+1)/Inputs!$B$14,0)&gt;$B32),SUMIF($B$4:$B32,$B32,L$4:L32),0))</f>
        <v>0</v>
      </c>
      <c r="R32" s="149">
        <f>IF($B32="","",IF(OR($B33="",ROUNDUP(($A32+1)/Inputs!$B$14,0)&gt;$B32),SUMIF($B$4:$B32,$B32,M$4:M32),0))</f>
        <v>0</v>
      </c>
      <c r="S32" s="149">
        <f>IF($B32="","",IF(OR($B33="",ROUNDUP(($A32+1)/Inputs!$B$14,0)&gt;$B32),SUMIF($B$4:$B32,$B32,N$4:N32),0))</f>
        <v>0</v>
      </c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spans="1:31" ht="18" customHeight="1">
      <c r="A33" s="157">
        <f t="shared" si="5"/>
        <v>30</v>
      </c>
      <c r="B33" s="77">
        <f>IF(A33="","",ROUNDUP(A33/Inputs!$B$14,0))</f>
        <v>7</v>
      </c>
      <c r="C33" s="160" t="str">
        <f>IF(A33="","",IF(A33=Inputs!$C$54,"Cuota + abono extra","Pago normal"))</f>
        <v>Pago normal</v>
      </c>
      <c r="D33" s="149">
        <f t="shared" si="0"/>
        <v>4547440.1072955979</v>
      </c>
      <c r="E33" s="149">
        <f>IF(A33="","",D33*Inputs!$B$17)</f>
        <v>55220.91117682292</v>
      </c>
      <c r="F33" s="149">
        <f>IF(A33="","",MIN(Inputs!$B$20,D33+E33))</f>
        <v>111014.82187676849</v>
      </c>
      <c r="G33" s="149">
        <f t="shared" si="1"/>
        <v>55793.910699945569</v>
      </c>
      <c r="H33" s="149">
        <f>IF(A33=Inputs!$C$54,MIN(Inputs!$C$53,D33-G33),0)</f>
        <v>0</v>
      </c>
      <c r="I33" s="149">
        <f t="shared" si="2"/>
        <v>111014.82187676849</v>
      </c>
      <c r="J33" s="149">
        <f t="shared" si="3"/>
        <v>4491646.196595652</v>
      </c>
      <c r="K33" s="163" t="str">
        <f t="shared" si="4"/>
        <v>Vigente</v>
      </c>
      <c r="L33" s="149">
        <f>IF($A33="","",Inputs!$B$28)</f>
        <v>48643.172307692315</v>
      </c>
      <c r="M33" s="149">
        <f>IF($A33="","",Inputs!$B$29)</f>
        <v>10984.615384615387</v>
      </c>
      <c r="N33" s="149">
        <f>IF($A33="","",Inputs!$B$30)</f>
        <v>3406.3846153846157</v>
      </c>
      <c r="O33" s="149">
        <f t="shared" si="6"/>
        <v>63034.172307692315</v>
      </c>
      <c r="P33" s="149">
        <f t="shared" si="7"/>
        <v>174048.99418446081</v>
      </c>
      <c r="Q33" s="149">
        <f>IF($B33="","",IF(OR($B34="",ROUNDUP(($A33+1)/Inputs!$B$14,0)&gt;$B33),SUMIF($B$4:$B33,$B33,L$4:L33),0))</f>
        <v>194572.68923076926</v>
      </c>
      <c r="R33" s="149">
        <f>IF($B33="","",IF(OR($B34="",ROUNDUP(($A33+1)/Inputs!$B$14,0)&gt;$B33),SUMIF($B$4:$B33,$B33,M$4:M33),0))</f>
        <v>43938.461538461546</v>
      </c>
      <c r="S33" s="149">
        <f>IF($B33="","",IF(OR($B34="",ROUNDUP(($A33+1)/Inputs!$B$14,0)&gt;$B33),SUMIF($B$4:$B33,$B33,N$4:N33),0))</f>
        <v>13625.538461538463</v>
      </c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spans="1:31" ht="18" customHeight="1">
      <c r="A34" s="157">
        <f t="shared" si="5"/>
        <v>31</v>
      </c>
      <c r="B34" s="77">
        <f>IF(A34="","",ROUNDUP(A34/Inputs!$B$14,0))</f>
        <v>8</v>
      </c>
      <c r="C34" s="160" t="str">
        <f>IF(A34="","",IF(A34=Inputs!$C$54,"Cuota + abono extra","Pago normal"))</f>
        <v>Pago normal</v>
      </c>
      <c r="D34" s="149">
        <f t="shared" si="0"/>
        <v>4491646.196595652</v>
      </c>
      <c r="E34" s="149">
        <f>IF(A34="","",D34*Inputs!$B$17)</f>
        <v>54543.389205279767</v>
      </c>
      <c r="F34" s="149">
        <f>IF(A34="","",MIN(Inputs!$B$20,D34+E34))</f>
        <v>111014.82187676849</v>
      </c>
      <c r="G34" s="149">
        <f t="shared" si="1"/>
        <v>56471.432671488721</v>
      </c>
      <c r="H34" s="149">
        <f>IF(A34=Inputs!$C$54,MIN(Inputs!$C$53,D34-G34),0)</f>
        <v>0</v>
      </c>
      <c r="I34" s="149">
        <f t="shared" si="2"/>
        <v>111014.82187676849</v>
      </c>
      <c r="J34" s="149">
        <f t="shared" si="3"/>
        <v>4435174.7639241638</v>
      </c>
      <c r="K34" s="163" t="str">
        <f t="shared" si="4"/>
        <v>Vigente</v>
      </c>
      <c r="L34" s="149">
        <f>IF($A34="","",Inputs!$B$28)</f>
        <v>48643.172307692315</v>
      </c>
      <c r="M34" s="149">
        <f>IF($A34="","",Inputs!$B$29)</f>
        <v>10984.615384615387</v>
      </c>
      <c r="N34" s="149">
        <f>IF($A34="","",Inputs!$B$30)</f>
        <v>3406.3846153846157</v>
      </c>
      <c r="O34" s="149">
        <f t="shared" si="6"/>
        <v>63034.172307692315</v>
      </c>
      <c r="P34" s="149">
        <f t="shared" si="7"/>
        <v>174048.99418446081</v>
      </c>
      <c r="Q34" s="149">
        <f>IF($B34="","",IF(OR($B35="",ROUNDUP(($A34+1)/Inputs!$B$14,0)&gt;$B34),SUMIF($B$4:$B34,$B34,L$4:L34),0))</f>
        <v>0</v>
      </c>
      <c r="R34" s="149">
        <f>IF($B34="","",IF(OR($B35="",ROUNDUP(($A34+1)/Inputs!$B$14,0)&gt;$B34),SUMIF($B$4:$B34,$B34,M$4:M34),0))</f>
        <v>0</v>
      </c>
      <c r="S34" s="149">
        <f>IF($B34="","",IF(OR($B35="",ROUNDUP(($A34+1)/Inputs!$B$14,0)&gt;$B34),SUMIF($B$4:$B34,$B34,N$4:N34),0))</f>
        <v>0</v>
      </c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spans="1:31" ht="18" customHeight="1">
      <c r="A35" s="157">
        <f t="shared" si="5"/>
        <v>32</v>
      </c>
      <c r="B35" s="77">
        <f>IF(A35="","",ROUNDUP(A35/Inputs!$B$14,0))</f>
        <v>8</v>
      </c>
      <c r="C35" s="160" t="str">
        <f>IF(A35="","",IF(A35=Inputs!$C$54,"Cuota + abono extra","Pago normal"))</f>
        <v>Pago normal</v>
      </c>
      <c r="D35" s="149">
        <f t="shared" si="0"/>
        <v>4435174.7639241638</v>
      </c>
      <c r="E35" s="149">
        <f>IF(A35="","",D35*Inputs!$B$17)</f>
        <v>53857.639883902841</v>
      </c>
      <c r="F35" s="149">
        <f>IF(A35="","",MIN(Inputs!$B$20,D35+E35))</f>
        <v>111014.82187676849</v>
      </c>
      <c r="G35" s="149">
        <f t="shared" si="1"/>
        <v>57157.181992865648</v>
      </c>
      <c r="H35" s="149">
        <f>IF(A35=Inputs!$C$54,MIN(Inputs!$C$53,D35-G35),0)</f>
        <v>0</v>
      </c>
      <c r="I35" s="149">
        <f t="shared" si="2"/>
        <v>111014.82187676849</v>
      </c>
      <c r="J35" s="149">
        <f t="shared" si="3"/>
        <v>4378017.5819312977</v>
      </c>
      <c r="K35" s="163" t="str">
        <f t="shared" si="4"/>
        <v>Vigente</v>
      </c>
      <c r="L35" s="149">
        <f>IF($A35="","",Inputs!$B$28)</f>
        <v>48643.172307692315</v>
      </c>
      <c r="M35" s="149">
        <f>IF($A35="","",Inputs!$B$29)</f>
        <v>10984.615384615387</v>
      </c>
      <c r="N35" s="149">
        <f>IF($A35="","",Inputs!$B$30)</f>
        <v>3406.3846153846157</v>
      </c>
      <c r="O35" s="149">
        <f t="shared" si="6"/>
        <v>63034.172307692315</v>
      </c>
      <c r="P35" s="149">
        <f t="shared" si="7"/>
        <v>174048.99418446081</v>
      </c>
      <c r="Q35" s="149">
        <f>IF($B35="","",IF(OR($B36="",ROUNDUP(($A35+1)/Inputs!$B$14,0)&gt;$B35),SUMIF($B$4:$B35,$B35,L$4:L35),0))</f>
        <v>0</v>
      </c>
      <c r="R35" s="149">
        <f>IF($B35="","",IF(OR($B36="",ROUNDUP(($A35+1)/Inputs!$B$14,0)&gt;$B35),SUMIF($B$4:$B35,$B35,M$4:M35),0))</f>
        <v>0</v>
      </c>
      <c r="S35" s="149">
        <f>IF($B35="","",IF(OR($B36="",ROUNDUP(($A35+1)/Inputs!$B$14,0)&gt;$B35),SUMIF($B$4:$B35,$B35,N$4:N35),0))</f>
        <v>0</v>
      </c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spans="1:31" ht="18" customHeight="1">
      <c r="A36" s="157">
        <f t="shared" si="5"/>
        <v>33</v>
      </c>
      <c r="B36" s="77">
        <f>IF(A36="","",ROUNDUP(A36/Inputs!$B$14,0))</f>
        <v>8</v>
      </c>
      <c r="C36" s="160" t="str">
        <f>IF(A36="","",IF(A36=Inputs!$C$54,"Cuota + abono extra","Pago normal"))</f>
        <v>Pago normal</v>
      </c>
      <c r="D36" s="149">
        <f t="shared" ref="D36:D67" si="8">IF(A36="","",J35)</f>
        <v>4378017.5819312977</v>
      </c>
      <c r="E36" s="149">
        <f>IF(A36="","",D36*Inputs!$B$17)</f>
        <v>53163.563305547941</v>
      </c>
      <c r="F36" s="149">
        <f>IF(A36="","",MIN(Inputs!$B$20,D36+E36))</f>
        <v>111014.82187676849</v>
      </c>
      <c r="G36" s="149">
        <f t="shared" ref="G36:G67" si="9">IF(A36="","",MIN(D36,F36-E36))</f>
        <v>57851.258571220547</v>
      </c>
      <c r="H36" s="149">
        <f>IF(A36=Inputs!$C$54,MIN(Inputs!$C$53,D36-G36),0)</f>
        <v>0</v>
      </c>
      <c r="I36" s="149">
        <f t="shared" ref="I36:I67" si="10">IF(A36="","",F36+H36)</f>
        <v>111014.82187676849</v>
      </c>
      <c r="J36" s="149">
        <f t="shared" ref="J36:J67" si="11">IF(A36="","",MAX(0,D36-G36-H36))</f>
        <v>4320166.3233600771</v>
      </c>
      <c r="K36" s="163" t="str">
        <f t="shared" ref="K36:K67" si="12">IF(A36="","",IF(J36&lt;=0.005,"Amortizado","Vigente"))</f>
        <v>Vigente</v>
      </c>
      <c r="L36" s="149">
        <f>IF($A36="","",Inputs!$B$28)</f>
        <v>48643.172307692315</v>
      </c>
      <c r="M36" s="149">
        <f>IF($A36="","",Inputs!$B$29)</f>
        <v>10984.615384615387</v>
      </c>
      <c r="N36" s="149">
        <f>IF($A36="","",Inputs!$B$30)</f>
        <v>3406.3846153846157</v>
      </c>
      <c r="O36" s="149">
        <f t="shared" si="6"/>
        <v>63034.172307692315</v>
      </c>
      <c r="P36" s="149">
        <f t="shared" si="7"/>
        <v>174048.99418446081</v>
      </c>
      <c r="Q36" s="149">
        <f>IF($B36="","",IF(OR($B37="",ROUNDUP(($A36+1)/Inputs!$B$14,0)&gt;$B36),SUMIF($B$4:$B36,$B36,L$4:L36),0))</f>
        <v>0</v>
      </c>
      <c r="R36" s="149">
        <f>IF($B36="","",IF(OR($B37="",ROUNDUP(($A36+1)/Inputs!$B$14,0)&gt;$B36),SUMIF($B$4:$B36,$B36,M$4:M36),0))</f>
        <v>0</v>
      </c>
      <c r="S36" s="149">
        <f>IF($B36="","",IF(OR($B37="",ROUNDUP(($A36+1)/Inputs!$B$14,0)&gt;$B36),SUMIF($B$4:$B36,$B36,N$4:N36),0))</f>
        <v>0</v>
      </c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spans="1:31" ht="18" customHeight="1">
      <c r="A37" s="157">
        <f t="shared" ref="A37:A68" si="13">IF(A36="","",IF(J36&lt;=0.005,"",A36+1))</f>
        <v>34</v>
      </c>
      <c r="B37" s="77">
        <f>IF(A37="","",ROUNDUP(A37/Inputs!$B$14,0))</f>
        <v>8</v>
      </c>
      <c r="C37" s="160" t="str">
        <f>IF(A37="","",IF(A37=Inputs!$C$54,"Cuota + abono extra","Pago normal"))</f>
        <v>Pago normal</v>
      </c>
      <c r="D37" s="149">
        <f t="shared" si="8"/>
        <v>4320166.3233600771</v>
      </c>
      <c r="E37" s="149">
        <f>IF(A37="","",D37*Inputs!$B$17)</f>
        <v>52461.058349868901</v>
      </c>
      <c r="F37" s="149">
        <f>IF(A37="","",MIN(Inputs!$B$20,D37+E37))</f>
        <v>111014.82187676849</v>
      </c>
      <c r="G37" s="149">
        <f t="shared" si="9"/>
        <v>58553.763526899587</v>
      </c>
      <c r="H37" s="149">
        <f>IF(A37=Inputs!$C$54,MIN(Inputs!$C$53,D37-G37),0)</f>
        <v>0</v>
      </c>
      <c r="I37" s="149">
        <f t="shared" si="10"/>
        <v>111014.82187676849</v>
      </c>
      <c r="J37" s="149">
        <f t="shared" si="11"/>
        <v>4261612.5598331774</v>
      </c>
      <c r="K37" s="163" t="str">
        <f t="shared" si="12"/>
        <v>Vigente</v>
      </c>
      <c r="L37" s="149">
        <f>IF($A37="","",Inputs!$B$28)</f>
        <v>48643.172307692315</v>
      </c>
      <c r="M37" s="149">
        <f>IF($A37="","",Inputs!$B$29)</f>
        <v>10984.615384615387</v>
      </c>
      <c r="N37" s="149">
        <f>IF($A37="","",Inputs!$B$30)</f>
        <v>3406.3846153846157</v>
      </c>
      <c r="O37" s="149">
        <f t="shared" si="6"/>
        <v>63034.172307692315</v>
      </c>
      <c r="P37" s="149">
        <f t="shared" si="7"/>
        <v>174048.99418446081</v>
      </c>
      <c r="Q37" s="149">
        <f>IF($B37="","",IF(OR($B38="",ROUNDUP(($A37+1)/Inputs!$B$14,0)&gt;$B37),SUMIF($B$4:$B37,$B37,L$4:L37),0))</f>
        <v>194572.68923076926</v>
      </c>
      <c r="R37" s="149">
        <f>IF($B37="","",IF(OR($B38="",ROUNDUP(($A37+1)/Inputs!$B$14,0)&gt;$B37),SUMIF($B$4:$B37,$B37,M$4:M37),0))</f>
        <v>43938.461538461546</v>
      </c>
      <c r="S37" s="149">
        <f>IF($B37="","",IF(OR($B38="",ROUNDUP(($A37+1)/Inputs!$B$14,0)&gt;$B37),SUMIF($B$4:$B37,$B37,N$4:N37),0))</f>
        <v>13625.538461538463</v>
      </c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spans="1:31" ht="18" customHeight="1">
      <c r="A38" s="157">
        <f t="shared" si="13"/>
        <v>35</v>
      </c>
      <c r="B38" s="77">
        <f>IF(A38="","",ROUNDUP(A38/Inputs!$B$14,0))</f>
        <v>9</v>
      </c>
      <c r="C38" s="160" t="str">
        <f>IF(A38="","",IF(A38=Inputs!$C$54,"Cuota + abono extra","Pago normal"))</f>
        <v>Pago normal</v>
      </c>
      <c r="D38" s="149">
        <f t="shared" si="8"/>
        <v>4261612.5598331774</v>
      </c>
      <c r="E38" s="149">
        <f>IF(A38="","",D38*Inputs!$B$17)</f>
        <v>51750.022668585225</v>
      </c>
      <c r="F38" s="149">
        <f>IF(A38="","",MIN(Inputs!$B$20,D38+E38))</f>
        <v>111014.82187676849</v>
      </c>
      <c r="G38" s="149">
        <f t="shared" si="9"/>
        <v>59264.799208183264</v>
      </c>
      <c r="H38" s="149">
        <f>IF(A38=Inputs!$C$54,MIN(Inputs!$C$53,D38-G38),0)</f>
        <v>0</v>
      </c>
      <c r="I38" s="149">
        <f t="shared" si="10"/>
        <v>111014.82187676849</v>
      </c>
      <c r="J38" s="149">
        <f t="shared" si="11"/>
        <v>4202347.7606249945</v>
      </c>
      <c r="K38" s="163" t="str">
        <f t="shared" si="12"/>
        <v>Vigente</v>
      </c>
      <c r="L38" s="149">
        <f>IF($A38="","",Inputs!$B$28)</f>
        <v>48643.172307692315</v>
      </c>
      <c r="M38" s="149">
        <f>IF($A38="","",Inputs!$B$29)</f>
        <v>10984.615384615387</v>
      </c>
      <c r="N38" s="149">
        <f>IF($A38="","",Inputs!$B$30)</f>
        <v>3406.3846153846157</v>
      </c>
      <c r="O38" s="149">
        <f t="shared" si="6"/>
        <v>63034.172307692315</v>
      </c>
      <c r="P38" s="149">
        <f t="shared" si="7"/>
        <v>174048.99418446081</v>
      </c>
      <c r="Q38" s="149">
        <f>IF($B38="","",IF(OR($B39="",ROUNDUP(($A38+1)/Inputs!$B$14,0)&gt;$B38),SUMIF($B$4:$B38,$B38,L$4:L38),0))</f>
        <v>0</v>
      </c>
      <c r="R38" s="149">
        <f>IF($B38="","",IF(OR($B39="",ROUNDUP(($A38+1)/Inputs!$B$14,0)&gt;$B38),SUMIF($B$4:$B38,$B38,M$4:M38),0))</f>
        <v>0</v>
      </c>
      <c r="S38" s="149">
        <f>IF($B38="","",IF(OR($B39="",ROUNDUP(($A38+1)/Inputs!$B$14,0)&gt;$B38),SUMIF($B$4:$B38,$B38,N$4:N38),0))</f>
        <v>0</v>
      </c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spans="1:31" ht="18" customHeight="1">
      <c r="A39" s="157">
        <f t="shared" si="13"/>
        <v>36</v>
      </c>
      <c r="B39" s="77">
        <f>IF(A39="","",ROUNDUP(A39/Inputs!$B$14,0))</f>
        <v>9</v>
      </c>
      <c r="C39" s="160" t="str">
        <f>IF(A39="","",IF(A39=Inputs!$C$54,"Cuota + abono extra","Pago normal"))</f>
        <v>Pago normal</v>
      </c>
      <c r="D39" s="149">
        <f t="shared" si="8"/>
        <v>4202347.7606249945</v>
      </c>
      <c r="E39" s="149">
        <f>IF(A39="","",D39*Inputs!$B$17)</f>
        <v>51030.352670570988</v>
      </c>
      <c r="F39" s="149">
        <f>IF(A39="","",MIN(Inputs!$B$20,D39+E39))</f>
        <v>111014.82187676849</v>
      </c>
      <c r="G39" s="149">
        <f t="shared" si="9"/>
        <v>59984.4692061975</v>
      </c>
      <c r="H39" s="149">
        <f>IF(A39=Inputs!$C$54,MIN(Inputs!$C$53,D39-G39),0)</f>
        <v>0</v>
      </c>
      <c r="I39" s="149">
        <f t="shared" si="10"/>
        <v>111014.82187676849</v>
      </c>
      <c r="J39" s="149">
        <f t="shared" si="11"/>
        <v>4142363.2914187969</v>
      </c>
      <c r="K39" s="163" t="str">
        <f t="shared" si="12"/>
        <v>Vigente</v>
      </c>
      <c r="L39" s="149">
        <f>IF($A39="","",Inputs!$B$28)</f>
        <v>48643.172307692315</v>
      </c>
      <c r="M39" s="149">
        <f>IF($A39="","",Inputs!$B$29)</f>
        <v>10984.615384615387</v>
      </c>
      <c r="N39" s="149">
        <f>IF($A39="","",Inputs!$B$30)</f>
        <v>3406.3846153846157</v>
      </c>
      <c r="O39" s="149">
        <f t="shared" si="6"/>
        <v>63034.172307692315</v>
      </c>
      <c r="P39" s="149">
        <f t="shared" si="7"/>
        <v>174048.99418446081</v>
      </c>
      <c r="Q39" s="149">
        <f>IF($B39="","",IF(OR($B40="",ROUNDUP(($A39+1)/Inputs!$B$14,0)&gt;$B39),SUMIF($B$4:$B39,$B39,L$4:L39),0))</f>
        <v>0</v>
      </c>
      <c r="R39" s="149">
        <f>IF($B39="","",IF(OR($B40="",ROUNDUP(($A39+1)/Inputs!$B$14,0)&gt;$B39),SUMIF($B$4:$B39,$B39,M$4:M39),0))</f>
        <v>0</v>
      </c>
      <c r="S39" s="149">
        <f>IF($B39="","",IF(OR($B40="",ROUNDUP(($A39+1)/Inputs!$B$14,0)&gt;$B39),SUMIF($B$4:$B39,$B39,N$4:N39),0))</f>
        <v>0</v>
      </c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spans="1:31" ht="18" customHeight="1">
      <c r="A40" s="157">
        <f t="shared" si="13"/>
        <v>37</v>
      </c>
      <c r="B40" s="77">
        <f>IF(A40="","",ROUNDUP(A40/Inputs!$B$14,0))</f>
        <v>9</v>
      </c>
      <c r="C40" s="160" t="str">
        <f>IF(A40="","",IF(A40=Inputs!$C$54,"Cuota + abono extra","Pago normal"))</f>
        <v>Pago normal</v>
      </c>
      <c r="D40" s="149">
        <f t="shared" si="8"/>
        <v>4142363.2914187969</v>
      </c>
      <c r="E40" s="149">
        <f>IF(A40="","",D40*Inputs!$B$17)</f>
        <v>50301.943506762509</v>
      </c>
      <c r="F40" s="149">
        <f>IF(A40="","",MIN(Inputs!$B$20,D40+E40))</f>
        <v>111014.82187676849</v>
      </c>
      <c r="G40" s="149">
        <f t="shared" si="9"/>
        <v>60712.878370005979</v>
      </c>
      <c r="H40" s="149">
        <f>IF(A40=Inputs!$C$54,MIN(Inputs!$C$53,D40-G40),0)</f>
        <v>0</v>
      </c>
      <c r="I40" s="149">
        <f t="shared" si="10"/>
        <v>111014.82187676849</v>
      </c>
      <c r="J40" s="149">
        <f t="shared" si="11"/>
        <v>4081650.4130487908</v>
      </c>
      <c r="K40" s="163" t="str">
        <f t="shared" si="12"/>
        <v>Vigente</v>
      </c>
      <c r="L40" s="149">
        <f>IF($A40="","",Inputs!$B$28)</f>
        <v>48643.172307692315</v>
      </c>
      <c r="M40" s="149">
        <f>IF($A40="","",Inputs!$B$29)</f>
        <v>10984.615384615387</v>
      </c>
      <c r="N40" s="149">
        <f>IF($A40="","",Inputs!$B$30)</f>
        <v>3406.3846153846157</v>
      </c>
      <c r="O40" s="149">
        <f t="shared" si="6"/>
        <v>63034.172307692315</v>
      </c>
      <c r="P40" s="149">
        <f t="shared" si="7"/>
        <v>174048.99418446081</v>
      </c>
      <c r="Q40" s="149">
        <f>IF($B40="","",IF(OR($B41="",ROUNDUP(($A40+1)/Inputs!$B$14,0)&gt;$B40),SUMIF($B$4:$B40,$B40,L$4:L40),0))</f>
        <v>0</v>
      </c>
      <c r="R40" s="149">
        <f>IF($B40="","",IF(OR($B41="",ROUNDUP(($A40+1)/Inputs!$B$14,0)&gt;$B40),SUMIF($B$4:$B40,$B40,M$4:M40),0))</f>
        <v>0</v>
      </c>
      <c r="S40" s="149">
        <f>IF($B40="","",IF(OR($B41="",ROUNDUP(($A40+1)/Inputs!$B$14,0)&gt;$B40),SUMIF($B$4:$B40,$B40,N$4:N40),0))</f>
        <v>0</v>
      </c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spans="1:31" ht="18" customHeight="1">
      <c r="A41" s="157">
        <f t="shared" si="13"/>
        <v>38</v>
      </c>
      <c r="B41" s="77">
        <f>IF(A41="","",ROUNDUP(A41/Inputs!$B$14,0))</f>
        <v>9</v>
      </c>
      <c r="C41" s="160" t="str">
        <f>IF(A41="","",IF(A41=Inputs!$C$54,"Cuota + abono extra","Pago normal"))</f>
        <v>Pago normal</v>
      </c>
      <c r="D41" s="149">
        <f t="shared" si="8"/>
        <v>4081650.4130487908</v>
      </c>
      <c r="E41" s="149">
        <f>IF(A41="","",D41*Inputs!$B$17)</f>
        <v>49564.689054882947</v>
      </c>
      <c r="F41" s="149">
        <f>IF(A41="","",MIN(Inputs!$B$20,D41+E41))</f>
        <v>111014.82187676849</v>
      </c>
      <c r="G41" s="149">
        <f t="shared" si="9"/>
        <v>61450.132821885541</v>
      </c>
      <c r="H41" s="149">
        <f>IF(A41=Inputs!$C$54,MIN(Inputs!$C$53,D41-G41),0)</f>
        <v>0</v>
      </c>
      <c r="I41" s="149">
        <f t="shared" si="10"/>
        <v>111014.82187676849</v>
      </c>
      <c r="J41" s="149">
        <f t="shared" si="11"/>
        <v>4020200.2802269054</v>
      </c>
      <c r="K41" s="163" t="str">
        <f t="shared" si="12"/>
        <v>Vigente</v>
      </c>
      <c r="L41" s="149">
        <f>IF($A41="","",Inputs!$B$28)</f>
        <v>48643.172307692315</v>
      </c>
      <c r="M41" s="149">
        <f>IF($A41="","",Inputs!$B$29)</f>
        <v>10984.615384615387</v>
      </c>
      <c r="N41" s="149">
        <f>IF($A41="","",Inputs!$B$30)</f>
        <v>3406.3846153846157</v>
      </c>
      <c r="O41" s="149">
        <f t="shared" si="6"/>
        <v>63034.172307692315</v>
      </c>
      <c r="P41" s="149">
        <f t="shared" si="7"/>
        <v>174048.99418446081</v>
      </c>
      <c r="Q41" s="149">
        <f>IF($B41="","",IF(OR($B42="",ROUNDUP(($A41+1)/Inputs!$B$14,0)&gt;$B41),SUMIF($B$4:$B41,$B41,L$4:L41),0))</f>
        <v>0</v>
      </c>
      <c r="R41" s="149">
        <f>IF($B41="","",IF(OR($B42="",ROUNDUP(($A41+1)/Inputs!$B$14,0)&gt;$B41),SUMIF($B$4:$B41,$B41,M$4:M41),0))</f>
        <v>0</v>
      </c>
      <c r="S41" s="149">
        <f>IF($B41="","",IF(OR($B42="",ROUNDUP(($A41+1)/Inputs!$B$14,0)&gt;$B41),SUMIF($B$4:$B41,$B41,N$4:N41),0))</f>
        <v>0</v>
      </c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spans="1:31" ht="18" customHeight="1">
      <c r="A42" s="157">
        <f t="shared" si="13"/>
        <v>39</v>
      </c>
      <c r="B42" s="77">
        <f>IF(A42="","",ROUNDUP(A42/Inputs!$B$14,0))</f>
        <v>9</v>
      </c>
      <c r="C42" s="160" t="str">
        <f>IF(A42="","",IF(A42=Inputs!$C$54,"Cuota + abono extra","Pago normal"))</f>
        <v>Pago normal</v>
      </c>
      <c r="D42" s="149">
        <f t="shared" si="8"/>
        <v>4020200.2802269054</v>
      </c>
      <c r="E42" s="149">
        <f>IF(A42="","",D42*Inputs!$B$17)</f>
        <v>48818.481903981214</v>
      </c>
      <c r="F42" s="149">
        <f>IF(A42="","",MIN(Inputs!$B$20,D42+E42))</f>
        <v>111014.82187676849</v>
      </c>
      <c r="G42" s="149">
        <f t="shared" si="9"/>
        <v>62196.339972787275</v>
      </c>
      <c r="H42" s="149">
        <f>IF(A42=Inputs!$C$54,MIN(Inputs!$C$53,D42-G42),0)</f>
        <v>0</v>
      </c>
      <c r="I42" s="149">
        <f t="shared" si="10"/>
        <v>111014.82187676849</v>
      </c>
      <c r="J42" s="149">
        <f t="shared" si="11"/>
        <v>3958003.9402541183</v>
      </c>
      <c r="K42" s="163" t="str">
        <f t="shared" si="12"/>
        <v>Vigente</v>
      </c>
      <c r="L42" s="149">
        <f>IF($A42="","",Inputs!$B$28)</f>
        <v>48643.172307692315</v>
      </c>
      <c r="M42" s="149">
        <f>IF($A42="","",Inputs!$B$29)</f>
        <v>10984.615384615387</v>
      </c>
      <c r="N42" s="149">
        <f>IF($A42="","",Inputs!$B$30)</f>
        <v>3406.3846153846157</v>
      </c>
      <c r="O42" s="149">
        <f t="shared" si="6"/>
        <v>63034.172307692315</v>
      </c>
      <c r="P42" s="149">
        <f t="shared" si="7"/>
        <v>174048.99418446081</v>
      </c>
      <c r="Q42" s="149">
        <f>IF($B42="","",IF(OR($B43="",ROUNDUP(($A42+1)/Inputs!$B$14,0)&gt;$B42),SUMIF($B$4:$B42,$B42,L$4:L42),0))</f>
        <v>243215.86153846158</v>
      </c>
      <c r="R42" s="149">
        <f>IF($B42="","",IF(OR($B43="",ROUNDUP(($A42+1)/Inputs!$B$14,0)&gt;$B42),SUMIF($B$4:$B42,$B42,M$4:M42),0))</f>
        <v>54923.076923076937</v>
      </c>
      <c r="S42" s="149">
        <f>IF($B42="","",IF(OR($B43="",ROUNDUP(($A42+1)/Inputs!$B$14,0)&gt;$B42),SUMIF($B$4:$B42,$B42,N$4:N42),0))</f>
        <v>17031.923076923078</v>
      </c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spans="1:31" ht="18" customHeight="1">
      <c r="A43" s="157">
        <f t="shared" si="13"/>
        <v>40</v>
      </c>
      <c r="B43" s="77">
        <f>IF(A43="","",ROUNDUP(A43/Inputs!$B$14,0))</f>
        <v>10</v>
      </c>
      <c r="C43" s="160" t="str">
        <f>IF(A43="","",IF(A43=Inputs!$C$54,"Cuota + abono extra","Pago normal"))</f>
        <v>Pago normal</v>
      </c>
      <c r="D43" s="149">
        <f t="shared" si="8"/>
        <v>3958003.9402541183</v>
      </c>
      <c r="E43" s="149">
        <f>IF(A43="","",D43*Inputs!$B$17)</f>
        <v>48063.213338783265</v>
      </c>
      <c r="F43" s="149">
        <f>IF(A43="","",MIN(Inputs!$B$20,D43+E43))</f>
        <v>111014.82187676849</v>
      </c>
      <c r="G43" s="149">
        <f t="shared" si="9"/>
        <v>62951.608537985223</v>
      </c>
      <c r="H43" s="149">
        <f>IF(A43=Inputs!$C$54,MIN(Inputs!$C$53,D43-G43),0)</f>
        <v>0</v>
      </c>
      <c r="I43" s="149">
        <f t="shared" si="10"/>
        <v>111014.82187676849</v>
      </c>
      <c r="J43" s="149">
        <f t="shared" si="11"/>
        <v>3895052.3317161333</v>
      </c>
      <c r="K43" s="163" t="str">
        <f t="shared" si="12"/>
        <v>Vigente</v>
      </c>
      <c r="L43" s="149">
        <f>IF($A43="","",Inputs!$B$28)</f>
        <v>48643.172307692315</v>
      </c>
      <c r="M43" s="149">
        <f>IF($A43="","",Inputs!$B$29)</f>
        <v>10984.615384615387</v>
      </c>
      <c r="N43" s="149">
        <f>IF($A43="","",Inputs!$B$30)</f>
        <v>3406.3846153846157</v>
      </c>
      <c r="O43" s="149">
        <f t="shared" si="6"/>
        <v>63034.172307692315</v>
      </c>
      <c r="P43" s="149">
        <f t="shared" si="7"/>
        <v>174048.99418446081</v>
      </c>
      <c r="Q43" s="149">
        <f>IF($B43="","",IF(OR($B44="",ROUNDUP(($A43+1)/Inputs!$B$14,0)&gt;$B43),SUMIF($B$4:$B43,$B43,L$4:L43),0))</f>
        <v>0</v>
      </c>
      <c r="R43" s="149">
        <f>IF($B43="","",IF(OR($B44="",ROUNDUP(($A43+1)/Inputs!$B$14,0)&gt;$B43),SUMIF($B$4:$B43,$B43,M$4:M43),0))</f>
        <v>0</v>
      </c>
      <c r="S43" s="149">
        <f>IF($B43="","",IF(OR($B44="",ROUNDUP(($A43+1)/Inputs!$B$14,0)&gt;$B43),SUMIF($B$4:$B43,$B43,N$4:N43),0))</f>
        <v>0</v>
      </c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spans="1:31" ht="18" customHeight="1">
      <c r="A44" s="157">
        <f t="shared" si="13"/>
        <v>41</v>
      </c>
      <c r="B44" s="77">
        <f>IF(A44="","",ROUNDUP(A44/Inputs!$B$14,0))</f>
        <v>10</v>
      </c>
      <c r="C44" s="160" t="str">
        <f>IF(A44="","",IF(A44=Inputs!$C$54,"Cuota + abono extra","Pago normal"))</f>
        <v>Pago normal</v>
      </c>
      <c r="D44" s="149">
        <f t="shared" si="8"/>
        <v>3895052.3317161333</v>
      </c>
      <c r="E44" s="149">
        <f>IF(A44="","",D44*Inputs!$B$17)</f>
        <v>47298.773323853296</v>
      </c>
      <c r="F44" s="149">
        <f>IF(A44="","",MIN(Inputs!$B$20,D44+E44))</f>
        <v>111014.82187676849</v>
      </c>
      <c r="G44" s="149">
        <f t="shared" si="9"/>
        <v>63716.048552915192</v>
      </c>
      <c r="H44" s="149">
        <f>IF(A44=Inputs!$C$54,MIN(Inputs!$C$53,D44-G44),0)</f>
        <v>0</v>
      </c>
      <c r="I44" s="149">
        <f t="shared" si="10"/>
        <v>111014.82187676849</v>
      </c>
      <c r="J44" s="149">
        <f t="shared" si="11"/>
        <v>3831336.2831632183</v>
      </c>
      <c r="K44" s="163" t="str">
        <f t="shared" si="12"/>
        <v>Vigente</v>
      </c>
      <c r="L44" s="149">
        <f>IF($A44="","",Inputs!$B$28)</f>
        <v>48643.172307692315</v>
      </c>
      <c r="M44" s="149">
        <f>IF($A44="","",Inputs!$B$29)</f>
        <v>10984.615384615387</v>
      </c>
      <c r="N44" s="149">
        <f>IF($A44="","",Inputs!$B$30)</f>
        <v>3406.3846153846157</v>
      </c>
      <c r="O44" s="149">
        <f t="shared" si="6"/>
        <v>63034.172307692315</v>
      </c>
      <c r="P44" s="149">
        <f t="shared" si="7"/>
        <v>174048.99418446081</v>
      </c>
      <c r="Q44" s="149">
        <f>IF($B44="","",IF(OR($B45="",ROUNDUP(($A44+1)/Inputs!$B$14,0)&gt;$B44),SUMIF($B$4:$B44,$B44,L$4:L44),0))</f>
        <v>0</v>
      </c>
      <c r="R44" s="149">
        <f>IF($B44="","",IF(OR($B45="",ROUNDUP(($A44+1)/Inputs!$B$14,0)&gt;$B44),SUMIF($B$4:$B44,$B44,M$4:M44),0))</f>
        <v>0</v>
      </c>
      <c r="S44" s="149">
        <f>IF($B44="","",IF(OR($B45="",ROUNDUP(($A44+1)/Inputs!$B$14,0)&gt;$B44),SUMIF($B$4:$B44,$B44,N$4:N44),0))</f>
        <v>0</v>
      </c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spans="1:31" ht="18" customHeight="1">
      <c r="A45" s="157">
        <f t="shared" si="13"/>
        <v>42</v>
      </c>
      <c r="B45" s="77">
        <f>IF(A45="","",ROUNDUP(A45/Inputs!$B$14,0))</f>
        <v>10</v>
      </c>
      <c r="C45" s="160" t="str">
        <f>IF(A45="","",IF(A45=Inputs!$C$54,"Cuota + abono extra","Pago normal"))</f>
        <v>Pago normal</v>
      </c>
      <c r="D45" s="149">
        <f t="shared" si="8"/>
        <v>3831336.2831632183</v>
      </c>
      <c r="E45" s="149">
        <f>IF(A45="","",D45*Inputs!$B$17)</f>
        <v>46525.050487562636</v>
      </c>
      <c r="F45" s="149">
        <f>IF(A45="","",MIN(Inputs!$B$20,D45+E45))</f>
        <v>111014.82187676849</v>
      </c>
      <c r="G45" s="149">
        <f t="shared" si="9"/>
        <v>64489.771389205853</v>
      </c>
      <c r="H45" s="149">
        <f>IF(A45=Inputs!$C$54,MIN(Inputs!$C$53,D45-G45),0)</f>
        <v>0</v>
      </c>
      <c r="I45" s="149">
        <f t="shared" si="10"/>
        <v>111014.82187676849</v>
      </c>
      <c r="J45" s="149">
        <f t="shared" si="11"/>
        <v>3766846.5117740124</v>
      </c>
      <c r="K45" s="163" t="str">
        <f t="shared" si="12"/>
        <v>Vigente</v>
      </c>
      <c r="L45" s="149">
        <f>IF($A45="","",Inputs!$B$28)</f>
        <v>48643.172307692315</v>
      </c>
      <c r="M45" s="149">
        <f>IF($A45="","",Inputs!$B$29)</f>
        <v>10984.615384615387</v>
      </c>
      <c r="N45" s="149">
        <f>IF($A45="","",Inputs!$B$30)</f>
        <v>3406.3846153846157</v>
      </c>
      <c r="O45" s="149">
        <f t="shared" si="6"/>
        <v>63034.172307692315</v>
      </c>
      <c r="P45" s="149">
        <f t="shared" si="7"/>
        <v>174048.99418446081</v>
      </c>
      <c r="Q45" s="149">
        <f>IF($B45="","",IF(OR($B46="",ROUNDUP(($A45+1)/Inputs!$B$14,0)&gt;$B45),SUMIF($B$4:$B45,$B45,L$4:L45),0))</f>
        <v>0</v>
      </c>
      <c r="R45" s="149">
        <f>IF($B45="","",IF(OR($B46="",ROUNDUP(($A45+1)/Inputs!$B$14,0)&gt;$B45),SUMIF($B$4:$B45,$B45,M$4:M45),0))</f>
        <v>0</v>
      </c>
      <c r="S45" s="149">
        <f>IF($B45="","",IF(OR($B46="",ROUNDUP(($A45+1)/Inputs!$B$14,0)&gt;$B45),SUMIF($B$4:$B45,$B45,N$4:N45),0))</f>
        <v>0</v>
      </c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spans="1:31" ht="18" customHeight="1">
      <c r="A46" s="157">
        <f t="shared" si="13"/>
        <v>43</v>
      </c>
      <c r="B46" s="77">
        <f>IF(A46="","",ROUNDUP(A46/Inputs!$B$14,0))</f>
        <v>10</v>
      </c>
      <c r="C46" s="160" t="str">
        <f>IF(A46="","",IF(A46=Inputs!$C$54,"Cuota + abono extra","Pago normal"))</f>
        <v>Cuota + abono extra</v>
      </c>
      <c r="D46" s="149">
        <f t="shared" si="8"/>
        <v>3766846.5117740124</v>
      </c>
      <c r="E46" s="149">
        <f>IF(A46="","",D46*Inputs!$B$17)</f>
        <v>45741.932105863962</v>
      </c>
      <c r="F46" s="149">
        <f>IF(A46="","",MIN(Inputs!$B$20,D46+E46))</f>
        <v>111014.82187676849</v>
      </c>
      <c r="G46" s="149">
        <f t="shared" si="9"/>
        <v>65272.889770904527</v>
      </c>
      <c r="H46" s="149">
        <f>IF(A46=Inputs!$C$54,MIN(Inputs!$C$53,D46-G46),0)</f>
        <v>2000000</v>
      </c>
      <c r="I46" s="149">
        <f t="shared" si="10"/>
        <v>2111014.8218767685</v>
      </c>
      <c r="J46" s="149">
        <f t="shared" si="11"/>
        <v>1701573.6220031078</v>
      </c>
      <c r="K46" s="163" t="str">
        <f t="shared" si="12"/>
        <v>Vigente</v>
      </c>
      <c r="L46" s="149">
        <f>IF($A46="","",Inputs!$B$28)</f>
        <v>48643.172307692315</v>
      </c>
      <c r="M46" s="149">
        <f>IF($A46="","",Inputs!$B$29)</f>
        <v>10984.615384615387</v>
      </c>
      <c r="N46" s="149">
        <f>IF($A46="","",Inputs!$B$30)</f>
        <v>3406.3846153846157</v>
      </c>
      <c r="O46" s="149">
        <f t="shared" si="6"/>
        <v>63034.172307692315</v>
      </c>
      <c r="P46" s="149">
        <f t="shared" si="7"/>
        <v>2174048.994184461</v>
      </c>
      <c r="Q46" s="149">
        <f>IF($B46="","",IF(OR($B47="",ROUNDUP(($A46+1)/Inputs!$B$14,0)&gt;$B46),SUMIF($B$4:$B46,$B46,L$4:L46),0))</f>
        <v>194572.68923076926</v>
      </c>
      <c r="R46" s="149">
        <f>IF($B46="","",IF(OR($B47="",ROUNDUP(($A46+1)/Inputs!$B$14,0)&gt;$B46),SUMIF($B$4:$B46,$B46,M$4:M46),0))</f>
        <v>43938.461538461546</v>
      </c>
      <c r="S46" s="149">
        <f>IF($B46="","",IF(OR($B47="",ROUNDUP(($A46+1)/Inputs!$B$14,0)&gt;$B46),SUMIF($B$4:$B46,$B46,N$4:N46),0))</f>
        <v>13625.538461538463</v>
      </c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spans="1:31" ht="18" customHeight="1">
      <c r="A47" s="157">
        <f t="shared" si="13"/>
        <v>44</v>
      </c>
      <c r="B47" s="77">
        <f>IF(A47="","",ROUNDUP(A47/Inputs!$B$14,0))</f>
        <v>11</v>
      </c>
      <c r="C47" s="160" t="str">
        <f>IF(A47="","",IF(A47=Inputs!$C$54,"Cuota + abono extra","Pago normal"))</f>
        <v>Pago normal</v>
      </c>
      <c r="D47" s="149">
        <f t="shared" si="8"/>
        <v>1701573.6220031078</v>
      </c>
      <c r="E47" s="149">
        <f>IF(A47="","",D47*Inputs!$B$17)</f>
        <v>20662.712124720812</v>
      </c>
      <c r="F47" s="149">
        <f>IF(A47="","",MIN(Inputs!$B$20,D47+E47))</f>
        <v>111014.82187676849</v>
      </c>
      <c r="G47" s="149">
        <f t="shared" si="9"/>
        <v>90352.109752047676</v>
      </c>
      <c r="H47" s="149">
        <f>IF(A47=Inputs!$C$54,MIN(Inputs!$C$53,D47-G47),0)</f>
        <v>0</v>
      </c>
      <c r="I47" s="149">
        <f t="shared" si="10"/>
        <v>111014.82187676849</v>
      </c>
      <c r="J47" s="149">
        <f t="shared" si="11"/>
        <v>1611221.5122510602</v>
      </c>
      <c r="K47" s="163" t="str">
        <f t="shared" si="12"/>
        <v>Vigente</v>
      </c>
      <c r="L47" s="149">
        <f>IF($A47="","",Inputs!$B$28)</f>
        <v>48643.172307692315</v>
      </c>
      <c r="M47" s="149">
        <f>IF($A47="","",Inputs!$B$29)</f>
        <v>10984.615384615387</v>
      </c>
      <c r="N47" s="149">
        <f>IF($A47="","",Inputs!$B$30)</f>
        <v>3406.3846153846157</v>
      </c>
      <c r="O47" s="149">
        <f t="shared" si="6"/>
        <v>63034.172307692315</v>
      </c>
      <c r="P47" s="149">
        <f t="shared" si="7"/>
        <v>174048.99418446081</v>
      </c>
      <c r="Q47" s="149">
        <f>IF($B47="","",IF(OR($B48="",ROUNDUP(($A47+1)/Inputs!$B$14,0)&gt;$B47),SUMIF($B$4:$B47,$B47,L$4:L47),0))</f>
        <v>0</v>
      </c>
      <c r="R47" s="149">
        <f>IF($B47="","",IF(OR($B48="",ROUNDUP(($A47+1)/Inputs!$B$14,0)&gt;$B47),SUMIF($B$4:$B47,$B47,M$4:M47),0))</f>
        <v>0</v>
      </c>
      <c r="S47" s="149">
        <f>IF($B47="","",IF(OR($B48="",ROUNDUP(($A47+1)/Inputs!$B$14,0)&gt;$B47),SUMIF($B$4:$B47,$B47,N$4:N47),0))</f>
        <v>0</v>
      </c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spans="1:31" ht="18" customHeight="1">
      <c r="A48" s="157">
        <f t="shared" si="13"/>
        <v>45</v>
      </c>
      <c r="B48" s="77">
        <f>IF(A48="","",ROUNDUP(A48/Inputs!$B$14,0))</f>
        <v>11</v>
      </c>
      <c r="C48" s="160" t="str">
        <f>IF(A48="","",IF(A48=Inputs!$C$54,"Cuota + abono extra","Pago normal"))</f>
        <v>Pago normal</v>
      </c>
      <c r="D48" s="149">
        <f t="shared" si="8"/>
        <v>1611221.5122510602</v>
      </c>
      <c r="E48" s="149">
        <f>IF(A48="","",D48*Inputs!$B$17)</f>
        <v>19565.539713532409</v>
      </c>
      <c r="F48" s="149">
        <f>IF(A48="","",MIN(Inputs!$B$20,D48+E48))</f>
        <v>111014.82187676849</v>
      </c>
      <c r="G48" s="149">
        <f t="shared" si="9"/>
        <v>91449.282163236086</v>
      </c>
      <c r="H48" s="149">
        <f>IF(A48=Inputs!$C$54,MIN(Inputs!$C$53,D48-G48),0)</f>
        <v>0</v>
      </c>
      <c r="I48" s="149">
        <f t="shared" si="10"/>
        <v>111014.82187676849</v>
      </c>
      <c r="J48" s="149">
        <f t="shared" si="11"/>
        <v>1519772.2300878242</v>
      </c>
      <c r="K48" s="163" t="str">
        <f t="shared" si="12"/>
        <v>Vigente</v>
      </c>
      <c r="L48" s="149">
        <f>IF($A48="","",Inputs!$B$28)</f>
        <v>48643.172307692315</v>
      </c>
      <c r="M48" s="149">
        <f>IF($A48="","",Inputs!$B$29)</f>
        <v>10984.615384615387</v>
      </c>
      <c r="N48" s="149">
        <f>IF($A48="","",Inputs!$B$30)</f>
        <v>3406.3846153846157</v>
      </c>
      <c r="O48" s="149">
        <f t="shared" si="6"/>
        <v>63034.172307692315</v>
      </c>
      <c r="P48" s="149">
        <f t="shared" si="7"/>
        <v>174048.99418446081</v>
      </c>
      <c r="Q48" s="149">
        <f>IF($B48="","",IF(OR($B49="",ROUNDUP(($A48+1)/Inputs!$B$14,0)&gt;$B48),SUMIF($B$4:$B48,$B48,L$4:L48),0))</f>
        <v>0</v>
      </c>
      <c r="R48" s="149">
        <f>IF($B48="","",IF(OR($B49="",ROUNDUP(($A48+1)/Inputs!$B$14,0)&gt;$B48),SUMIF($B$4:$B48,$B48,M$4:M48),0))</f>
        <v>0</v>
      </c>
      <c r="S48" s="149">
        <f>IF($B48="","",IF(OR($B49="",ROUNDUP(($A48+1)/Inputs!$B$14,0)&gt;$B48),SUMIF($B$4:$B48,$B48,N$4:N48),0))</f>
        <v>0</v>
      </c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spans="1:31" ht="18" customHeight="1">
      <c r="A49" s="157">
        <f t="shared" si="13"/>
        <v>46</v>
      </c>
      <c r="B49" s="77">
        <f>IF(A49="","",ROUNDUP(A49/Inputs!$B$14,0))</f>
        <v>11</v>
      </c>
      <c r="C49" s="160" t="str">
        <f>IF(A49="","",IF(A49=Inputs!$C$54,"Cuota + abono extra","Pago normal"))</f>
        <v>Pago normal</v>
      </c>
      <c r="D49" s="149">
        <f t="shared" si="8"/>
        <v>1519772.2300878242</v>
      </c>
      <c r="E49" s="149">
        <f>IF(A49="","",D49*Inputs!$B$17)</f>
        <v>18455.044013013219</v>
      </c>
      <c r="F49" s="149">
        <f>IF(A49="","",MIN(Inputs!$B$20,D49+E49))</f>
        <v>111014.82187676849</v>
      </c>
      <c r="G49" s="149">
        <f t="shared" si="9"/>
        <v>92559.777863755269</v>
      </c>
      <c r="H49" s="149">
        <f>IF(A49=Inputs!$C$54,MIN(Inputs!$C$53,D49-G49),0)</f>
        <v>0</v>
      </c>
      <c r="I49" s="149">
        <f t="shared" si="10"/>
        <v>111014.82187676849</v>
      </c>
      <c r="J49" s="149">
        <f t="shared" si="11"/>
        <v>1427212.4522240688</v>
      </c>
      <c r="K49" s="163" t="str">
        <f t="shared" si="12"/>
        <v>Vigente</v>
      </c>
      <c r="L49" s="149">
        <f>IF($A49="","",Inputs!$B$28)</f>
        <v>48643.172307692315</v>
      </c>
      <c r="M49" s="149">
        <f>IF($A49="","",Inputs!$B$29)</f>
        <v>10984.615384615387</v>
      </c>
      <c r="N49" s="149">
        <f>IF($A49="","",Inputs!$B$30)</f>
        <v>3406.3846153846157</v>
      </c>
      <c r="O49" s="149">
        <f t="shared" si="6"/>
        <v>63034.172307692315</v>
      </c>
      <c r="P49" s="149">
        <f t="shared" si="7"/>
        <v>174048.99418446081</v>
      </c>
      <c r="Q49" s="149">
        <f>IF($B49="","",IF(OR($B50="",ROUNDUP(($A49+1)/Inputs!$B$14,0)&gt;$B49),SUMIF($B$4:$B49,$B49,L$4:L49),0))</f>
        <v>0</v>
      </c>
      <c r="R49" s="149">
        <f>IF($B49="","",IF(OR($B50="",ROUNDUP(($A49+1)/Inputs!$B$14,0)&gt;$B49),SUMIF($B$4:$B49,$B49,M$4:M49),0))</f>
        <v>0</v>
      </c>
      <c r="S49" s="149">
        <f>IF($B49="","",IF(OR($B50="",ROUNDUP(($A49+1)/Inputs!$B$14,0)&gt;$B49),SUMIF($B$4:$B49,$B49,N$4:N49),0))</f>
        <v>0</v>
      </c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spans="1:31" ht="18" customHeight="1">
      <c r="A50" s="157">
        <f t="shared" si="13"/>
        <v>47</v>
      </c>
      <c r="B50" s="77">
        <f>IF(A50="","",ROUNDUP(A50/Inputs!$B$14,0))</f>
        <v>11</v>
      </c>
      <c r="C50" s="160" t="str">
        <f>IF(A50="","",IF(A50=Inputs!$C$54,"Cuota + abono extra","Pago normal"))</f>
        <v>Pago normal</v>
      </c>
      <c r="D50" s="149">
        <f t="shared" si="8"/>
        <v>1427212.4522240688</v>
      </c>
      <c r="E50" s="149">
        <f>IF(A50="","",D50*Inputs!$B$17)</f>
        <v>17331.063234517471</v>
      </c>
      <c r="F50" s="149">
        <f>IF(A50="","",MIN(Inputs!$B$20,D50+E50))</f>
        <v>111014.82187676849</v>
      </c>
      <c r="G50" s="149">
        <f t="shared" si="9"/>
        <v>93683.758642251021</v>
      </c>
      <c r="H50" s="149">
        <f>IF(A50=Inputs!$C$54,MIN(Inputs!$C$53,D50-G50),0)</f>
        <v>0</v>
      </c>
      <c r="I50" s="149">
        <f t="shared" si="10"/>
        <v>111014.82187676849</v>
      </c>
      <c r="J50" s="149">
        <f t="shared" si="11"/>
        <v>1333528.6935818177</v>
      </c>
      <c r="K50" s="163" t="str">
        <f t="shared" si="12"/>
        <v>Vigente</v>
      </c>
      <c r="L50" s="149">
        <f>IF($A50="","",Inputs!$B$28)</f>
        <v>48643.172307692315</v>
      </c>
      <c r="M50" s="149">
        <f>IF($A50="","",Inputs!$B$29)</f>
        <v>10984.615384615387</v>
      </c>
      <c r="N50" s="149">
        <f>IF($A50="","",Inputs!$B$30)</f>
        <v>3406.3846153846157</v>
      </c>
      <c r="O50" s="149">
        <f t="shared" si="6"/>
        <v>63034.172307692315</v>
      </c>
      <c r="P50" s="149">
        <f t="shared" si="7"/>
        <v>174048.99418446081</v>
      </c>
      <c r="Q50" s="149">
        <f>IF($B50="","",IF(OR($B51="",ROUNDUP(($A50+1)/Inputs!$B$14,0)&gt;$B50),SUMIF($B$4:$B50,$B50,L$4:L50),0))</f>
        <v>194572.68923076926</v>
      </c>
      <c r="R50" s="149">
        <f>IF($B50="","",IF(OR($B51="",ROUNDUP(($A50+1)/Inputs!$B$14,0)&gt;$B50),SUMIF($B$4:$B50,$B50,M$4:M50),0))</f>
        <v>43938.461538461546</v>
      </c>
      <c r="S50" s="149">
        <f>IF($B50="","",IF(OR($B51="",ROUNDUP(($A50+1)/Inputs!$B$14,0)&gt;$B50),SUMIF($B$4:$B50,$B50,N$4:N50),0))</f>
        <v>13625.538461538463</v>
      </c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spans="1:31" ht="18" customHeight="1">
      <c r="A51" s="157">
        <f t="shared" si="13"/>
        <v>48</v>
      </c>
      <c r="B51" s="77">
        <f>IF(A51="","",ROUNDUP(A51/Inputs!$B$14,0))</f>
        <v>12</v>
      </c>
      <c r="C51" s="160" t="str">
        <f>IF(A51="","",IF(A51=Inputs!$C$54,"Cuota + abono extra","Pago normal"))</f>
        <v>Pago normal</v>
      </c>
      <c r="D51" s="149">
        <f t="shared" si="8"/>
        <v>1333528.6935818177</v>
      </c>
      <c r="E51" s="149">
        <f>IF(A51="","",D51*Inputs!$B$17)</f>
        <v>16193.433624751975</v>
      </c>
      <c r="F51" s="149">
        <f>IF(A51="","",MIN(Inputs!$B$20,D51+E51))</f>
        <v>111014.82187676849</v>
      </c>
      <c r="G51" s="149">
        <f t="shared" si="9"/>
        <v>94821.388252016506</v>
      </c>
      <c r="H51" s="149">
        <f>IF(A51=Inputs!$C$54,MIN(Inputs!$C$53,D51-G51),0)</f>
        <v>0</v>
      </c>
      <c r="I51" s="149">
        <f t="shared" si="10"/>
        <v>111014.82187676849</v>
      </c>
      <c r="J51" s="149">
        <f t="shared" si="11"/>
        <v>1238707.305329801</v>
      </c>
      <c r="K51" s="163" t="str">
        <f t="shared" si="12"/>
        <v>Vigente</v>
      </c>
      <c r="L51" s="149">
        <f>IF($A51="","",Inputs!$B$28)</f>
        <v>48643.172307692315</v>
      </c>
      <c r="M51" s="149">
        <f>IF($A51="","",Inputs!$B$29)</f>
        <v>10984.615384615387</v>
      </c>
      <c r="N51" s="149">
        <f>IF($A51="","",Inputs!$B$30)</f>
        <v>3406.3846153846157</v>
      </c>
      <c r="O51" s="149">
        <f t="shared" si="6"/>
        <v>63034.172307692315</v>
      </c>
      <c r="P51" s="149">
        <f t="shared" si="7"/>
        <v>174048.99418446081</v>
      </c>
      <c r="Q51" s="149">
        <f>IF($B51="","",IF(OR($B52="",ROUNDUP(($A51+1)/Inputs!$B$14,0)&gt;$B51),SUMIF($B$4:$B51,$B51,L$4:L51),0))</f>
        <v>0</v>
      </c>
      <c r="R51" s="149">
        <f>IF($B51="","",IF(OR($B52="",ROUNDUP(($A51+1)/Inputs!$B$14,0)&gt;$B51),SUMIF($B$4:$B51,$B51,M$4:M51),0))</f>
        <v>0</v>
      </c>
      <c r="S51" s="149">
        <f>IF($B51="","",IF(OR($B52="",ROUNDUP(($A51+1)/Inputs!$B$14,0)&gt;$B51),SUMIF($B$4:$B51,$B51,N$4:N51),0))</f>
        <v>0</v>
      </c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spans="1:31" ht="18" customHeight="1">
      <c r="A52" s="157">
        <f t="shared" si="13"/>
        <v>49</v>
      </c>
      <c r="B52" s="77">
        <f>IF(A52="","",ROUNDUP(A52/Inputs!$B$14,0))</f>
        <v>12</v>
      </c>
      <c r="C52" s="160" t="str">
        <f>IF(A52="","",IF(A52=Inputs!$C$54,"Cuota + abono extra","Pago normal"))</f>
        <v>Pago normal</v>
      </c>
      <c r="D52" s="149">
        <f t="shared" si="8"/>
        <v>1238707.305329801</v>
      </c>
      <c r="E52" s="149">
        <f>IF(A52="","",D52*Inputs!$B$17)</f>
        <v>15041.989441918829</v>
      </c>
      <c r="F52" s="149">
        <f>IF(A52="","",MIN(Inputs!$B$20,D52+E52))</f>
        <v>111014.82187676849</v>
      </c>
      <c r="G52" s="149">
        <f t="shared" si="9"/>
        <v>95972.832434849654</v>
      </c>
      <c r="H52" s="149">
        <f>IF(A52=Inputs!$C$54,MIN(Inputs!$C$53,D52-G52),0)</f>
        <v>0</v>
      </c>
      <c r="I52" s="149">
        <f t="shared" si="10"/>
        <v>111014.82187676849</v>
      </c>
      <c r="J52" s="149">
        <f t="shared" si="11"/>
        <v>1142734.4728949515</v>
      </c>
      <c r="K52" s="163" t="str">
        <f t="shared" si="12"/>
        <v>Vigente</v>
      </c>
      <c r="L52" s="149">
        <f>IF($A52="","",Inputs!$B$28)</f>
        <v>48643.172307692315</v>
      </c>
      <c r="M52" s="149">
        <f>IF($A52="","",Inputs!$B$29)</f>
        <v>10984.615384615387</v>
      </c>
      <c r="N52" s="149">
        <f>IF($A52="","",Inputs!$B$30)</f>
        <v>3406.3846153846157</v>
      </c>
      <c r="O52" s="149">
        <f t="shared" si="6"/>
        <v>63034.172307692315</v>
      </c>
      <c r="P52" s="149">
        <f t="shared" si="7"/>
        <v>174048.99418446081</v>
      </c>
      <c r="Q52" s="149">
        <f>IF($B52="","",IF(OR($B53="",ROUNDUP(($A52+1)/Inputs!$B$14,0)&gt;$B52),SUMIF($B$4:$B52,$B52,L$4:L52),0))</f>
        <v>0</v>
      </c>
      <c r="R52" s="149">
        <f>IF($B52="","",IF(OR($B53="",ROUNDUP(($A52+1)/Inputs!$B$14,0)&gt;$B52),SUMIF($B$4:$B52,$B52,M$4:M52),0))</f>
        <v>0</v>
      </c>
      <c r="S52" s="149">
        <f>IF($B52="","",IF(OR($B53="",ROUNDUP(($A52+1)/Inputs!$B$14,0)&gt;$B52),SUMIF($B$4:$B52,$B52,N$4:N52),0))</f>
        <v>0</v>
      </c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spans="1:31" ht="18" customHeight="1">
      <c r="A53" s="157">
        <f t="shared" si="13"/>
        <v>50</v>
      </c>
      <c r="B53" s="77">
        <f>IF(A53="","",ROUNDUP(A53/Inputs!$B$14,0))</f>
        <v>12</v>
      </c>
      <c r="C53" s="160" t="str">
        <f>IF(A53="","",IF(A53=Inputs!$C$54,"Cuota + abono extra","Pago normal"))</f>
        <v>Pago normal</v>
      </c>
      <c r="D53" s="149">
        <f t="shared" si="8"/>
        <v>1142734.4728949515</v>
      </c>
      <c r="E53" s="149">
        <f>IF(A53="","",D53*Inputs!$B$17)</f>
        <v>13876.562931568433</v>
      </c>
      <c r="F53" s="149">
        <f>IF(A53="","",MIN(Inputs!$B$20,D53+E53))</f>
        <v>111014.82187676849</v>
      </c>
      <c r="G53" s="149">
        <f t="shared" si="9"/>
        <v>97138.258945200054</v>
      </c>
      <c r="H53" s="149">
        <f>IF(A53=Inputs!$C$54,MIN(Inputs!$C$53,D53-G53),0)</f>
        <v>0</v>
      </c>
      <c r="I53" s="149">
        <f t="shared" si="10"/>
        <v>111014.82187676849</v>
      </c>
      <c r="J53" s="149">
        <f t="shared" si="11"/>
        <v>1045596.2139497515</v>
      </c>
      <c r="K53" s="163" t="str">
        <f t="shared" si="12"/>
        <v>Vigente</v>
      </c>
      <c r="L53" s="149">
        <f>IF($A53="","",Inputs!$B$28)</f>
        <v>48643.172307692315</v>
      </c>
      <c r="M53" s="149">
        <f>IF($A53="","",Inputs!$B$29)</f>
        <v>10984.615384615387</v>
      </c>
      <c r="N53" s="149">
        <f>IF($A53="","",Inputs!$B$30)</f>
        <v>3406.3846153846157</v>
      </c>
      <c r="O53" s="149">
        <f t="shared" si="6"/>
        <v>63034.172307692315</v>
      </c>
      <c r="P53" s="149">
        <f t="shared" si="7"/>
        <v>174048.99418446081</v>
      </c>
      <c r="Q53" s="149">
        <f>IF($B53="","",IF(OR($B54="",ROUNDUP(($A53+1)/Inputs!$B$14,0)&gt;$B53),SUMIF($B$4:$B53,$B53,L$4:L53),0))</f>
        <v>0</v>
      </c>
      <c r="R53" s="149">
        <f>IF($B53="","",IF(OR($B54="",ROUNDUP(($A53+1)/Inputs!$B$14,0)&gt;$B53),SUMIF($B$4:$B53,$B53,M$4:M53),0))</f>
        <v>0</v>
      </c>
      <c r="S53" s="149">
        <f>IF($B53="","",IF(OR($B54="",ROUNDUP(($A53+1)/Inputs!$B$14,0)&gt;$B53),SUMIF($B$4:$B53,$B53,N$4:N53),0))</f>
        <v>0</v>
      </c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spans="1:31" ht="18" customHeight="1">
      <c r="A54" s="157">
        <f t="shared" si="13"/>
        <v>51</v>
      </c>
      <c r="B54" s="77">
        <f>IF(A54="","",ROUNDUP(A54/Inputs!$B$14,0))</f>
        <v>12</v>
      </c>
      <c r="C54" s="160" t="str">
        <f>IF(A54="","",IF(A54=Inputs!$C$54,"Cuota + abono extra","Pago normal"))</f>
        <v>Pago normal</v>
      </c>
      <c r="D54" s="149">
        <f t="shared" si="8"/>
        <v>1045596.2139497515</v>
      </c>
      <c r="E54" s="149">
        <f>IF(A54="","",D54*Inputs!$B$17)</f>
        <v>12696.984302159244</v>
      </c>
      <c r="F54" s="149">
        <f>IF(A54="","",MIN(Inputs!$B$20,D54+E54))</f>
        <v>111014.82187676849</v>
      </c>
      <c r="G54" s="149">
        <f t="shared" si="9"/>
        <v>98317.83757460925</v>
      </c>
      <c r="H54" s="149">
        <f>IF(A54=Inputs!$C$54,MIN(Inputs!$C$53,D54-G54),0)</f>
        <v>0</v>
      </c>
      <c r="I54" s="149">
        <f t="shared" si="10"/>
        <v>111014.82187676849</v>
      </c>
      <c r="J54" s="149">
        <f t="shared" si="11"/>
        <v>947278.37637514225</v>
      </c>
      <c r="K54" s="163" t="str">
        <f t="shared" si="12"/>
        <v>Vigente</v>
      </c>
      <c r="L54" s="149">
        <f>IF($A54="","",Inputs!$B$28)</f>
        <v>48643.172307692315</v>
      </c>
      <c r="M54" s="149">
        <f>IF($A54="","",Inputs!$B$29)</f>
        <v>10984.615384615387</v>
      </c>
      <c r="N54" s="149">
        <f>IF($A54="","",Inputs!$B$30)</f>
        <v>3406.3846153846157</v>
      </c>
      <c r="O54" s="149">
        <f t="shared" si="6"/>
        <v>63034.172307692315</v>
      </c>
      <c r="P54" s="149">
        <f t="shared" si="7"/>
        <v>174048.99418446081</v>
      </c>
      <c r="Q54" s="149">
        <f>IF($B54="","",IF(OR($B55="",ROUNDUP(($A54+1)/Inputs!$B$14,0)&gt;$B54),SUMIF($B$4:$B54,$B54,L$4:L54),0))</f>
        <v>0</v>
      </c>
      <c r="R54" s="149">
        <f>IF($B54="","",IF(OR($B55="",ROUNDUP(($A54+1)/Inputs!$B$14,0)&gt;$B54),SUMIF($B$4:$B54,$B54,M$4:M54),0))</f>
        <v>0</v>
      </c>
      <c r="S54" s="149">
        <f>IF($B54="","",IF(OR($B55="",ROUNDUP(($A54+1)/Inputs!$B$14,0)&gt;$B54),SUMIF($B$4:$B54,$B54,N$4:N54),0))</f>
        <v>0</v>
      </c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spans="1:31" ht="18" customHeight="1">
      <c r="A55" s="157">
        <f t="shared" si="13"/>
        <v>52</v>
      </c>
      <c r="B55" s="77">
        <f>IF(A55="","",ROUNDUP(A55/Inputs!$B$14,0))</f>
        <v>12</v>
      </c>
      <c r="C55" s="160" t="str">
        <f>IF(A55="","",IF(A55=Inputs!$C$54,"Cuota + abono extra","Pago normal"))</f>
        <v>Pago normal</v>
      </c>
      <c r="D55" s="149">
        <f t="shared" si="8"/>
        <v>947278.37637514225</v>
      </c>
      <c r="E55" s="149">
        <f>IF(A55="","",D55*Inputs!$B$17)</f>
        <v>11503.081700320781</v>
      </c>
      <c r="F55" s="149">
        <f>IF(A55="","",MIN(Inputs!$B$20,D55+E55))</f>
        <v>111014.82187676849</v>
      </c>
      <c r="G55" s="149">
        <f t="shared" si="9"/>
        <v>99511.740176447711</v>
      </c>
      <c r="H55" s="149">
        <f>IF(A55=Inputs!$C$54,MIN(Inputs!$C$53,D55-G55),0)</f>
        <v>0</v>
      </c>
      <c r="I55" s="149">
        <f t="shared" si="10"/>
        <v>111014.82187676849</v>
      </c>
      <c r="J55" s="149">
        <f t="shared" si="11"/>
        <v>847766.63619869458</v>
      </c>
      <c r="K55" s="163" t="str">
        <f t="shared" si="12"/>
        <v>Vigente</v>
      </c>
      <c r="L55" s="149">
        <f>IF($A55="","",Inputs!$B$28)</f>
        <v>48643.172307692315</v>
      </c>
      <c r="M55" s="149">
        <f>IF($A55="","",Inputs!$B$29)</f>
        <v>10984.615384615387</v>
      </c>
      <c r="N55" s="149">
        <f>IF($A55="","",Inputs!$B$30)</f>
        <v>3406.3846153846157</v>
      </c>
      <c r="O55" s="149">
        <f t="shared" si="6"/>
        <v>63034.172307692315</v>
      </c>
      <c r="P55" s="149">
        <f t="shared" si="7"/>
        <v>174048.99418446081</v>
      </c>
      <c r="Q55" s="149">
        <f>IF($B55="","",IF(OR($B56="",ROUNDUP(($A55+1)/Inputs!$B$14,0)&gt;$B55),SUMIF($B$4:$B55,$B55,L$4:L55),0))</f>
        <v>243215.86153846158</v>
      </c>
      <c r="R55" s="149">
        <f>IF($B55="","",IF(OR($B56="",ROUNDUP(($A55+1)/Inputs!$B$14,0)&gt;$B55),SUMIF($B$4:$B55,$B55,M$4:M55),0))</f>
        <v>54923.076923076937</v>
      </c>
      <c r="S55" s="149">
        <f>IF($B55="","",IF(OR($B56="",ROUNDUP(($A55+1)/Inputs!$B$14,0)&gt;$B55),SUMIF($B$4:$B55,$B55,N$4:N55),0))</f>
        <v>17031.923076923078</v>
      </c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spans="1:31" ht="18" customHeight="1">
      <c r="A56" s="157">
        <f t="shared" si="13"/>
        <v>53</v>
      </c>
      <c r="B56" s="77">
        <f>IF(A56="","",ROUNDUP(A56/Inputs!$B$14,0))</f>
        <v>13</v>
      </c>
      <c r="C56" s="160" t="str">
        <f>IF(A56="","",IF(A56=Inputs!$C$54,"Cuota + abono extra","Pago normal"))</f>
        <v>Pago normal</v>
      </c>
      <c r="D56" s="149">
        <f t="shared" si="8"/>
        <v>847766.63619869458</v>
      </c>
      <c r="E56" s="149">
        <f>IF(A56="","",D56*Inputs!$B$17)</f>
        <v>10294.681185816215</v>
      </c>
      <c r="F56" s="149">
        <f>IF(A56="","",MIN(Inputs!$B$20,D56+E56))</f>
        <v>111014.82187676849</v>
      </c>
      <c r="G56" s="149">
        <f t="shared" si="9"/>
        <v>100720.14069095228</v>
      </c>
      <c r="H56" s="149">
        <f>IF(A56=Inputs!$C$54,MIN(Inputs!$C$53,D56-G56),0)</f>
        <v>0</v>
      </c>
      <c r="I56" s="149">
        <f t="shared" si="10"/>
        <v>111014.82187676849</v>
      </c>
      <c r="J56" s="149">
        <f t="shared" si="11"/>
        <v>747046.49550774228</v>
      </c>
      <c r="K56" s="163" t="str">
        <f t="shared" si="12"/>
        <v>Vigente</v>
      </c>
      <c r="L56" s="149">
        <f>IF($A56="","",Inputs!$B$28)</f>
        <v>48643.172307692315</v>
      </c>
      <c r="M56" s="149">
        <f>IF($A56="","",Inputs!$B$29)</f>
        <v>10984.615384615387</v>
      </c>
      <c r="N56" s="149">
        <f>IF($A56="","",Inputs!$B$30)</f>
        <v>3406.3846153846157</v>
      </c>
      <c r="O56" s="149">
        <f t="shared" si="6"/>
        <v>63034.172307692315</v>
      </c>
      <c r="P56" s="149">
        <f t="shared" si="7"/>
        <v>174048.99418446081</v>
      </c>
      <c r="Q56" s="149">
        <f>IF($B56="","",IF(OR($B57="",ROUNDUP(($A56+1)/Inputs!$B$14,0)&gt;$B56),SUMIF($B$4:$B56,$B56,L$4:L56),0))</f>
        <v>0</v>
      </c>
      <c r="R56" s="149">
        <f>IF($B56="","",IF(OR($B57="",ROUNDUP(($A56+1)/Inputs!$B$14,0)&gt;$B56),SUMIF($B$4:$B56,$B56,M$4:M56),0))</f>
        <v>0</v>
      </c>
      <c r="S56" s="149">
        <f>IF($B56="","",IF(OR($B57="",ROUNDUP(($A56+1)/Inputs!$B$14,0)&gt;$B56),SUMIF($B$4:$B56,$B56,N$4:N56),0))</f>
        <v>0</v>
      </c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spans="1:31" ht="18" customHeight="1">
      <c r="A57" s="157">
        <f t="shared" si="13"/>
        <v>54</v>
      </c>
      <c r="B57" s="77">
        <f>IF(A57="","",ROUNDUP(A57/Inputs!$B$14,0))</f>
        <v>13</v>
      </c>
      <c r="C57" s="160" t="str">
        <f>IF(A57="","",IF(A57=Inputs!$C$54,"Cuota + abono extra","Pago normal"))</f>
        <v>Pago normal</v>
      </c>
      <c r="D57" s="149">
        <f t="shared" si="8"/>
        <v>747046.49550774228</v>
      </c>
      <c r="E57" s="149">
        <f>IF(A57="","",D57*Inputs!$B$17)</f>
        <v>9071.6067062009424</v>
      </c>
      <c r="F57" s="149">
        <f>IF(A57="","",MIN(Inputs!$B$20,D57+E57))</f>
        <v>111014.82187676849</v>
      </c>
      <c r="G57" s="149">
        <f t="shared" si="9"/>
        <v>101943.21517056755</v>
      </c>
      <c r="H57" s="149">
        <f>IF(A57=Inputs!$C$54,MIN(Inputs!$C$53,D57-G57),0)</f>
        <v>0</v>
      </c>
      <c r="I57" s="149">
        <f t="shared" si="10"/>
        <v>111014.82187676849</v>
      </c>
      <c r="J57" s="149">
        <f t="shared" si="11"/>
        <v>645103.28033717477</v>
      </c>
      <c r="K57" s="163" t="str">
        <f t="shared" si="12"/>
        <v>Vigente</v>
      </c>
      <c r="L57" s="149">
        <f>IF($A57="","",Inputs!$B$28)</f>
        <v>48643.172307692315</v>
      </c>
      <c r="M57" s="149">
        <f>IF($A57="","",Inputs!$B$29)</f>
        <v>10984.615384615387</v>
      </c>
      <c r="N57" s="149">
        <f>IF($A57="","",Inputs!$B$30)</f>
        <v>3406.3846153846157</v>
      </c>
      <c r="O57" s="149">
        <f t="shared" si="6"/>
        <v>63034.172307692315</v>
      </c>
      <c r="P57" s="149">
        <f t="shared" si="7"/>
        <v>174048.99418446081</v>
      </c>
      <c r="Q57" s="149">
        <f>IF($B57="","",IF(OR($B58="",ROUNDUP(($A57+1)/Inputs!$B$14,0)&gt;$B57),SUMIF($B$4:$B57,$B57,L$4:L57),0))</f>
        <v>0</v>
      </c>
      <c r="R57" s="149">
        <f>IF($B57="","",IF(OR($B58="",ROUNDUP(($A57+1)/Inputs!$B$14,0)&gt;$B57),SUMIF($B$4:$B57,$B57,M$4:M57),0))</f>
        <v>0</v>
      </c>
      <c r="S57" s="149">
        <f>IF($B57="","",IF(OR($B58="",ROUNDUP(($A57+1)/Inputs!$B$14,0)&gt;$B57),SUMIF($B$4:$B57,$B57,N$4:N57),0))</f>
        <v>0</v>
      </c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spans="1:31" ht="18" customHeight="1">
      <c r="A58" s="157">
        <f t="shared" si="13"/>
        <v>55</v>
      </c>
      <c r="B58" s="77">
        <f>IF(A58="","",ROUNDUP(A58/Inputs!$B$14,0))</f>
        <v>13</v>
      </c>
      <c r="C58" s="160" t="str">
        <f>IF(A58="","",IF(A58=Inputs!$C$54,"Cuota + abono extra","Pago normal"))</f>
        <v>Pago normal</v>
      </c>
      <c r="D58" s="149">
        <f t="shared" si="8"/>
        <v>645103.28033717477</v>
      </c>
      <c r="E58" s="149">
        <f>IF(A58="","",D58*Inputs!$B$17)</f>
        <v>7833.6800711734149</v>
      </c>
      <c r="F58" s="149">
        <f>IF(A58="","",MIN(Inputs!$B$20,D58+E58))</f>
        <v>111014.82187676849</v>
      </c>
      <c r="G58" s="149">
        <f t="shared" si="9"/>
        <v>103181.14180559508</v>
      </c>
      <c r="H58" s="149">
        <f>IF(A58=Inputs!$C$54,MIN(Inputs!$C$53,D58-G58),0)</f>
        <v>0</v>
      </c>
      <c r="I58" s="149">
        <f t="shared" si="10"/>
        <v>111014.82187676849</v>
      </c>
      <c r="J58" s="149">
        <f t="shared" si="11"/>
        <v>541922.13853157964</v>
      </c>
      <c r="K58" s="163" t="str">
        <f t="shared" si="12"/>
        <v>Vigente</v>
      </c>
      <c r="L58" s="149">
        <f>IF($A58="","",Inputs!$B$28)</f>
        <v>48643.172307692315</v>
      </c>
      <c r="M58" s="149">
        <f>IF($A58="","",Inputs!$B$29)</f>
        <v>10984.615384615387</v>
      </c>
      <c r="N58" s="149">
        <f>IF($A58="","",Inputs!$B$30)</f>
        <v>3406.3846153846157</v>
      </c>
      <c r="O58" s="149">
        <f t="shared" si="6"/>
        <v>63034.172307692315</v>
      </c>
      <c r="P58" s="149">
        <f t="shared" si="7"/>
        <v>174048.99418446081</v>
      </c>
      <c r="Q58" s="149">
        <f>IF($B58="","",IF(OR($B59="",ROUNDUP(($A58+1)/Inputs!$B$14,0)&gt;$B58),SUMIF($B$4:$B58,$B58,L$4:L58),0))</f>
        <v>0</v>
      </c>
      <c r="R58" s="149">
        <f>IF($B58="","",IF(OR($B59="",ROUNDUP(($A58+1)/Inputs!$B$14,0)&gt;$B58),SUMIF($B$4:$B58,$B58,M$4:M58),0))</f>
        <v>0</v>
      </c>
      <c r="S58" s="149">
        <f>IF($B58="","",IF(OR($B59="",ROUNDUP(($A58+1)/Inputs!$B$14,0)&gt;$B58),SUMIF($B$4:$B58,$B58,N$4:N58),0))</f>
        <v>0</v>
      </c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spans="1:31" ht="18" customHeight="1">
      <c r="A59" s="157">
        <f t="shared" si="13"/>
        <v>56</v>
      </c>
      <c r="B59" s="77">
        <f>IF(A59="","",ROUNDUP(A59/Inputs!$B$14,0))</f>
        <v>13</v>
      </c>
      <c r="C59" s="160" t="str">
        <f>IF(A59="","",IF(A59=Inputs!$C$54,"Cuota + abono extra","Pago normal"))</f>
        <v>Pago normal</v>
      </c>
      <c r="D59" s="149">
        <f t="shared" si="8"/>
        <v>541922.13853157964</v>
      </c>
      <c r="E59" s="149">
        <f>IF(A59="","",D59*Inputs!$B$17)</f>
        <v>6580.7209266145119</v>
      </c>
      <c r="F59" s="149">
        <f>IF(A59="","",MIN(Inputs!$B$20,D59+E59))</f>
        <v>111014.82187676849</v>
      </c>
      <c r="G59" s="149">
        <f t="shared" si="9"/>
        <v>104434.10095015398</v>
      </c>
      <c r="H59" s="149">
        <f>IF(A59=Inputs!$C$54,MIN(Inputs!$C$53,D59-G59),0)</f>
        <v>0</v>
      </c>
      <c r="I59" s="149">
        <f t="shared" si="10"/>
        <v>111014.82187676849</v>
      </c>
      <c r="J59" s="149">
        <f t="shared" si="11"/>
        <v>437488.03758142563</v>
      </c>
      <c r="K59" s="163" t="str">
        <f t="shared" si="12"/>
        <v>Vigente</v>
      </c>
      <c r="L59" s="149">
        <f>IF($A59="","",Inputs!$B$28)</f>
        <v>48643.172307692315</v>
      </c>
      <c r="M59" s="149">
        <f>IF($A59="","",Inputs!$B$29)</f>
        <v>10984.615384615387</v>
      </c>
      <c r="N59" s="149">
        <f>IF($A59="","",Inputs!$B$30)</f>
        <v>3406.3846153846157</v>
      </c>
      <c r="O59" s="149">
        <f t="shared" si="6"/>
        <v>63034.172307692315</v>
      </c>
      <c r="P59" s="149">
        <f t="shared" si="7"/>
        <v>174048.99418446081</v>
      </c>
      <c r="Q59" s="149">
        <f>IF($B59="","",IF(OR($B60="",ROUNDUP(($A59+1)/Inputs!$B$14,0)&gt;$B59),SUMIF($B$4:$B59,$B59,L$4:L59),0))</f>
        <v>194572.68923076926</v>
      </c>
      <c r="R59" s="149">
        <f>IF($B59="","",IF(OR($B60="",ROUNDUP(($A59+1)/Inputs!$B$14,0)&gt;$B59),SUMIF($B$4:$B59,$B59,M$4:M59),0))</f>
        <v>43938.461538461546</v>
      </c>
      <c r="S59" s="149">
        <f>IF($B59="","",IF(OR($B60="",ROUNDUP(($A59+1)/Inputs!$B$14,0)&gt;$B59),SUMIF($B$4:$B59,$B59,N$4:N59),0))</f>
        <v>13625.538461538463</v>
      </c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spans="1:31" ht="18" customHeight="1">
      <c r="A60" s="157">
        <f t="shared" si="13"/>
        <v>57</v>
      </c>
      <c r="B60" s="77">
        <f>IF(A60="","",ROUNDUP(A60/Inputs!$B$14,0))</f>
        <v>14</v>
      </c>
      <c r="C60" s="160" t="str">
        <f>IF(A60="","",IF(A60=Inputs!$C$54,"Cuota + abono extra","Pago normal"))</f>
        <v>Pago normal</v>
      </c>
      <c r="D60" s="149">
        <f t="shared" si="8"/>
        <v>437488.03758142563</v>
      </c>
      <c r="E60" s="149">
        <f>IF(A60="","",D60*Inputs!$B$17)</f>
        <v>5312.5467283116641</v>
      </c>
      <c r="F60" s="149">
        <f>IF(A60="","",MIN(Inputs!$B$20,D60+E60))</f>
        <v>111014.82187676849</v>
      </c>
      <c r="G60" s="149">
        <f t="shared" si="9"/>
        <v>105702.27514845683</v>
      </c>
      <c r="H60" s="149">
        <f>IF(A60=Inputs!$C$54,MIN(Inputs!$C$53,D60-G60),0)</f>
        <v>0</v>
      </c>
      <c r="I60" s="149">
        <f t="shared" si="10"/>
        <v>111014.82187676849</v>
      </c>
      <c r="J60" s="149">
        <f t="shared" si="11"/>
        <v>331785.76243296883</v>
      </c>
      <c r="K60" s="163" t="str">
        <f t="shared" si="12"/>
        <v>Vigente</v>
      </c>
      <c r="L60" s="149">
        <f>IF($A60="","",Inputs!$B$28)</f>
        <v>48643.172307692315</v>
      </c>
      <c r="M60" s="149">
        <f>IF($A60="","",Inputs!$B$29)</f>
        <v>10984.615384615387</v>
      </c>
      <c r="N60" s="149">
        <f>IF($A60="","",Inputs!$B$30)</f>
        <v>3406.3846153846157</v>
      </c>
      <c r="O60" s="149">
        <f t="shared" si="6"/>
        <v>63034.172307692315</v>
      </c>
      <c r="P60" s="149">
        <f t="shared" si="7"/>
        <v>174048.99418446081</v>
      </c>
      <c r="Q60" s="149">
        <f>IF($B60="","",IF(OR($B61="",ROUNDUP(($A60+1)/Inputs!$B$14,0)&gt;$B60),SUMIF($B$4:$B60,$B60,L$4:L60),0))</f>
        <v>0</v>
      </c>
      <c r="R60" s="149">
        <f>IF($B60="","",IF(OR($B61="",ROUNDUP(($A60+1)/Inputs!$B$14,0)&gt;$B60),SUMIF($B$4:$B60,$B60,M$4:M60),0))</f>
        <v>0</v>
      </c>
      <c r="S60" s="149">
        <f>IF($B60="","",IF(OR($B61="",ROUNDUP(($A60+1)/Inputs!$B$14,0)&gt;$B60),SUMIF($B$4:$B60,$B60,N$4:N60),0))</f>
        <v>0</v>
      </c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spans="1:31" ht="18" customHeight="1">
      <c r="A61" s="157">
        <f t="shared" si="13"/>
        <v>58</v>
      </c>
      <c r="B61" s="77">
        <f>IF(A61="","",ROUNDUP(A61/Inputs!$B$14,0))</f>
        <v>14</v>
      </c>
      <c r="C61" s="160" t="str">
        <f>IF(A61="","",IF(A61=Inputs!$C$54,"Cuota + abono extra","Pago normal"))</f>
        <v>Pago normal</v>
      </c>
      <c r="D61" s="149">
        <f t="shared" si="8"/>
        <v>331785.76243296883</v>
      </c>
      <c r="E61" s="149">
        <f>IF(A61="","",D61*Inputs!$B$17)</f>
        <v>4028.9727153638983</v>
      </c>
      <c r="F61" s="149">
        <f>IF(A61="","",MIN(Inputs!$B$20,D61+E61))</f>
        <v>111014.82187676849</v>
      </c>
      <c r="G61" s="149">
        <f t="shared" si="9"/>
        <v>106985.84916140459</v>
      </c>
      <c r="H61" s="149">
        <f>IF(A61=Inputs!$C$54,MIN(Inputs!$C$53,D61-G61),0)</f>
        <v>0</v>
      </c>
      <c r="I61" s="149">
        <f t="shared" si="10"/>
        <v>111014.82187676849</v>
      </c>
      <c r="J61" s="149">
        <f t="shared" si="11"/>
        <v>224799.91327156423</v>
      </c>
      <c r="K61" s="163" t="str">
        <f t="shared" si="12"/>
        <v>Vigente</v>
      </c>
      <c r="L61" s="149">
        <f>IF($A61="","",Inputs!$B$28)</f>
        <v>48643.172307692315</v>
      </c>
      <c r="M61" s="149">
        <f>IF($A61="","",Inputs!$B$29)</f>
        <v>10984.615384615387</v>
      </c>
      <c r="N61" s="149">
        <f>IF($A61="","",Inputs!$B$30)</f>
        <v>3406.3846153846157</v>
      </c>
      <c r="O61" s="149">
        <f t="shared" si="6"/>
        <v>63034.172307692315</v>
      </c>
      <c r="P61" s="149">
        <f t="shared" si="7"/>
        <v>174048.99418446081</v>
      </c>
      <c r="Q61" s="149">
        <f>IF($B61="","",IF(OR($B62="",ROUNDUP(($A61+1)/Inputs!$B$14,0)&gt;$B61),SUMIF($B$4:$B61,$B61,L$4:L61),0))</f>
        <v>0</v>
      </c>
      <c r="R61" s="149">
        <f>IF($B61="","",IF(OR($B62="",ROUNDUP(($A61+1)/Inputs!$B$14,0)&gt;$B61),SUMIF($B$4:$B61,$B61,M$4:M61),0))</f>
        <v>0</v>
      </c>
      <c r="S61" s="149">
        <f>IF($B61="","",IF(OR($B62="",ROUNDUP(($A61+1)/Inputs!$B$14,0)&gt;$B61),SUMIF($B$4:$B61,$B61,N$4:N61),0))</f>
        <v>0</v>
      </c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spans="1:31" ht="18" customHeight="1">
      <c r="A62" s="157">
        <f t="shared" si="13"/>
        <v>59</v>
      </c>
      <c r="B62" s="77">
        <f>IF(A62="","",ROUNDUP(A62/Inputs!$B$14,0))</f>
        <v>14</v>
      </c>
      <c r="C62" s="160" t="str">
        <f>IF(A62="","",IF(A62=Inputs!$C$54,"Cuota + abono extra","Pago normal"))</f>
        <v>Pago normal</v>
      </c>
      <c r="D62" s="149">
        <f t="shared" si="8"/>
        <v>224799.91327156423</v>
      </c>
      <c r="E62" s="149">
        <f>IF(A62="","",D62*Inputs!$B$17)</f>
        <v>2729.8118832639343</v>
      </c>
      <c r="F62" s="149">
        <f>IF(A62="","",MIN(Inputs!$B$20,D62+E62))</f>
        <v>111014.82187676849</v>
      </c>
      <c r="G62" s="149">
        <f t="shared" si="9"/>
        <v>108285.00999350456</v>
      </c>
      <c r="H62" s="149">
        <f>IF(A62=Inputs!$C$54,MIN(Inputs!$C$53,D62-G62),0)</f>
        <v>0</v>
      </c>
      <c r="I62" s="149">
        <f t="shared" si="10"/>
        <v>111014.82187676849</v>
      </c>
      <c r="J62" s="149">
        <f t="shared" si="11"/>
        <v>116514.90327805968</v>
      </c>
      <c r="K62" s="163" t="str">
        <f t="shared" si="12"/>
        <v>Vigente</v>
      </c>
      <c r="L62" s="149">
        <f>IF($A62="","",Inputs!$B$28)</f>
        <v>48643.172307692315</v>
      </c>
      <c r="M62" s="149">
        <f>IF($A62="","",Inputs!$B$29)</f>
        <v>10984.615384615387</v>
      </c>
      <c r="N62" s="149">
        <f>IF($A62="","",Inputs!$B$30)</f>
        <v>3406.3846153846157</v>
      </c>
      <c r="O62" s="149">
        <f t="shared" si="6"/>
        <v>63034.172307692315</v>
      </c>
      <c r="P62" s="149">
        <f t="shared" si="7"/>
        <v>174048.99418446081</v>
      </c>
      <c r="Q62" s="149">
        <f>IF($B62="","",IF(OR($B63="",ROUNDUP(($A62+1)/Inputs!$B$14,0)&gt;$B62),SUMIF($B$4:$B62,$B62,L$4:L62),0))</f>
        <v>0</v>
      </c>
      <c r="R62" s="149">
        <f>IF($B62="","",IF(OR($B63="",ROUNDUP(($A62+1)/Inputs!$B$14,0)&gt;$B62),SUMIF($B$4:$B62,$B62,M$4:M62),0))</f>
        <v>0</v>
      </c>
      <c r="S62" s="149">
        <f>IF($B62="","",IF(OR($B63="",ROUNDUP(($A62+1)/Inputs!$B$14,0)&gt;$B62),SUMIF($B$4:$B62,$B62,N$4:N62),0))</f>
        <v>0</v>
      </c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spans="1:31" ht="18" customHeight="1">
      <c r="A63" s="157">
        <f t="shared" si="13"/>
        <v>60</v>
      </c>
      <c r="B63" s="77">
        <f>IF(A63="","",ROUNDUP(A63/Inputs!$B$14,0))</f>
        <v>14</v>
      </c>
      <c r="C63" s="160" t="str">
        <f>IF(A63="","",IF(A63=Inputs!$C$54,"Cuota + abono extra","Pago normal"))</f>
        <v>Pago normal</v>
      </c>
      <c r="D63" s="149">
        <f t="shared" si="8"/>
        <v>116514.90327805968</v>
      </c>
      <c r="E63" s="149">
        <f>IF(A63="","",D63*Inputs!$B$17)</f>
        <v>1414.874956653412</v>
      </c>
      <c r="F63" s="149">
        <f>IF(A63="","",MIN(Inputs!$B$20,D63+E63))</f>
        <v>111014.82187676849</v>
      </c>
      <c r="G63" s="149">
        <f t="shared" si="9"/>
        <v>109599.94692011508</v>
      </c>
      <c r="H63" s="149">
        <f>IF(A63=Inputs!$C$54,MIN(Inputs!$C$53,D63-G63),0)</f>
        <v>0</v>
      </c>
      <c r="I63" s="149">
        <f t="shared" si="10"/>
        <v>111014.82187676849</v>
      </c>
      <c r="J63" s="149">
        <f t="shared" si="11"/>
        <v>6914.9563579445967</v>
      </c>
      <c r="K63" s="163" t="str">
        <f t="shared" si="12"/>
        <v>Vigente</v>
      </c>
      <c r="L63" s="149">
        <f>IF($A63="","",Inputs!$B$28)</f>
        <v>48643.172307692315</v>
      </c>
      <c r="M63" s="149">
        <f>IF($A63="","",Inputs!$B$29)</f>
        <v>10984.615384615387</v>
      </c>
      <c r="N63" s="149">
        <f>IF($A63="","",Inputs!$B$30)</f>
        <v>3406.3846153846157</v>
      </c>
      <c r="O63" s="149">
        <f t="shared" si="6"/>
        <v>63034.172307692315</v>
      </c>
      <c r="P63" s="149">
        <f t="shared" si="7"/>
        <v>174048.99418446081</v>
      </c>
      <c r="Q63" s="149">
        <f>IF($B63="","",IF(OR($B64="",ROUNDUP(($A63+1)/Inputs!$B$14,0)&gt;$B63),SUMIF($B$4:$B63,$B63,L$4:L63),0))</f>
        <v>194572.68923076926</v>
      </c>
      <c r="R63" s="149">
        <f>IF($B63="","",IF(OR($B64="",ROUNDUP(($A63+1)/Inputs!$B$14,0)&gt;$B63),SUMIF($B$4:$B63,$B63,M$4:M63),0))</f>
        <v>43938.461538461546</v>
      </c>
      <c r="S63" s="149">
        <f>IF($B63="","",IF(OR($B64="",ROUNDUP(($A63+1)/Inputs!$B$14,0)&gt;$B63),SUMIF($B$4:$B63,$B63,N$4:N63),0))</f>
        <v>13625.538461538463</v>
      </c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spans="1:31" ht="18" customHeight="1">
      <c r="A64" s="157">
        <f t="shared" si="13"/>
        <v>61</v>
      </c>
      <c r="B64" s="77">
        <f>IF(A64="","",ROUNDUP(A64/Inputs!$B$14,0))</f>
        <v>15</v>
      </c>
      <c r="C64" s="160" t="str">
        <f>IF(A64="","",IF(A64=Inputs!$C$54,"Cuota + abono extra","Pago normal"))</f>
        <v>Pago normal</v>
      </c>
      <c r="D64" s="149">
        <f t="shared" si="8"/>
        <v>6914.9563579445967</v>
      </c>
      <c r="E64" s="149">
        <f>IF(A64="","",D64*Inputs!$B$17)</f>
        <v>83.970361747272165</v>
      </c>
      <c r="F64" s="149">
        <f>IF(A64="","",MIN(Inputs!$B$20,D64+E64))</f>
        <v>6998.926719691869</v>
      </c>
      <c r="G64" s="149">
        <f t="shared" si="9"/>
        <v>6914.9563579445967</v>
      </c>
      <c r="H64" s="149">
        <f>IF(A64=Inputs!$C$54,MIN(Inputs!$C$53,D64-G64),0)</f>
        <v>0</v>
      </c>
      <c r="I64" s="149">
        <f t="shared" si="10"/>
        <v>6998.926719691869</v>
      </c>
      <c r="J64" s="149">
        <f t="shared" si="11"/>
        <v>0</v>
      </c>
      <c r="K64" s="163" t="str">
        <f t="shared" si="12"/>
        <v>Amortizado</v>
      </c>
      <c r="L64" s="149">
        <f>IF($A64="","",Inputs!$B$28)</f>
        <v>48643.172307692315</v>
      </c>
      <c r="M64" s="149">
        <f>IF($A64="","",Inputs!$B$29)</f>
        <v>10984.615384615387</v>
      </c>
      <c r="N64" s="149">
        <f>IF($A64="","",Inputs!$B$30)</f>
        <v>3406.3846153846157</v>
      </c>
      <c r="O64" s="149">
        <f t="shared" si="6"/>
        <v>63034.172307692315</v>
      </c>
      <c r="P64" s="149">
        <f t="shared" si="7"/>
        <v>70033.099027384189</v>
      </c>
      <c r="Q64" s="149">
        <f>IF($B64="","",IF(OR($B65="",ROUNDUP(($A64+1)/Inputs!$B$14,0)&gt;$B64),SUMIF($B$4:$B64,$B64,L$4:L64),0))</f>
        <v>48643.172307692315</v>
      </c>
      <c r="R64" s="149">
        <f>IF($B64="","",IF(OR($B65="",ROUNDUP(($A64+1)/Inputs!$B$14,0)&gt;$B64),SUMIF($B$4:$B64,$B64,M$4:M64),0))</f>
        <v>10984.615384615387</v>
      </c>
      <c r="S64" s="149">
        <f>IF($B64="","",IF(OR($B65="",ROUNDUP(($A64+1)/Inputs!$B$14,0)&gt;$B64),SUMIF($B$4:$B64,$B64,N$4:N64),0))</f>
        <v>3406.3846153846157</v>
      </c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spans="1:31" ht="18" customHeight="1">
      <c r="A65" s="157" t="str">
        <f t="shared" si="13"/>
        <v/>
      </c>
      <c r="B65" s="77" t="str">
        <f>IF(A65="","",ROUNDUP(A65/Inputs!$B$14,0))</f>
        <v/>
      </c>
      <c r="C65" s="160" t="str">
        <f>IF(A65="","",IF(A65=Inputs!$C$54,"Cuota + abono extra","Pago normal"))</f>
        <v/>
      </c>
      <c r="D65" s="149" t="str">
        <f t="shared" si="8"/>
        <v/>
      </c>
      <c r="E65" s="149" t="str">
        <f>IF(A65="","",D65*Inputs!$B$17)</f>
        <v/>
      </c>
      <c r="F65" s="149" t="str">
        <f>IF(A65="","",MIN(Inputs!$B$20,D65+E65))</f>
        <v/>
      </c>
      <c r="G65" s="149" t="str">
        <f t="shared" si="9"/>
        <v/>
      </c>
      <c r="H65" s="149">
        <f>IF(A65=Inputs!$C$54,MIN(Inputs!$C$53,D65-G65),0)</f>
        <v>0</v>
      </c>
      <c r="I65" s="149" t="str">
        <f t="shared" si="10"/>
        <v/>
      </c>
      <c r="J65" s="149" t="str">
        <f t="shared" si="11"/>
        <v/>
      </c>
      <c r="K65" s="163" t="str">
        <f t="shared" si="12"/>
        <v/>
      </c>
      <c r="L65" s="149" t="str">
        <f>IF($A65="","",Inputs!$B$28)</f>
        <v/>
      </c>
      <c r="M65" s="149" t="str">
        <f>IF($A65="","",Inputs!$B$29)</f>
        <v/>
      </c>
      <c r="N65" s="149" t="str">
        <f>IF($A65="","",Inputs!$B$30)</f>
        <v/>
      </c>
      <c r="O65" s="149" t="str">
        <f t="shared" si="6"/>
        <v/>
      </c>
      <c r="P65" s="149" t="str">
        <f t="shared" si="7"/>
        <v/>
      </c>
      <c r="Q65" s="149" t="str">
        <f>IF($B65="","",IF(OR($B66="",ROUNDUP(($A65+1)/Inputs!$B$14,0)&gt;$B65),SUMIF($B$4:$B65,$B65,L$4:L65),0))</f>
        <v/>
      </c>
      <c r="R65" s="149" t="str">
        <f>IF($B65="","",IF(OR($B66="",ROUNDUP(($A65+1)/Inputs!$B$14,0)&gt;$B65),SUMIF($B$4:$B65,$B65,M$4:M65),0))</f>
        <v/>
      </c>
      <c r="S65" s="149" t="str">
        <f>IF($B65="","",IF(OR($B66="",ROUNDUP(($A65+1)/Inputs!$B$14,0)&gt;$B65),SUMIF($B$4:$B65,$B65,N$4:N65),0))</f>
        <v/>
      </c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spans="1:31" ht="18" customHeight="1">
      <c r="A66" s="157" t="str">
        <f t="shared" si="13"/>
        <v/>
      </c>
      <c r="B66" s="77" t="str">
        <f>IF(A66="","",ROUNDUP(A66/Inputs!$B$14,0))</f>
        <v/>
      </c>
      <c r="C66" s="160" t="str">
        <f>IF(A66="","",IF(A66=Inputs!$C$54,"Cuota + abono extra","Pago normal"))</f>
        <v/>
      </c>
      <c r="D66" s="149" t="str">
        <f t="shared" si="8"/>
        <v/>
      </c>
      <c r="E66" s="149" t="str">
        <f>IF(A66="","",D66*Inputs!$B$17)</f>
        <v/>
      </c>
      <c r="F66" s="149" t="str">
        <f>IF(A66="","",MIN(Inputs!$B$20,D66+E66))</f>
        <v/>
      </c>
      <c r="G66" s="149" t="str">
        <f t="shared" si="9"/>
        <v/>
      </c>
      <c r="H66" s="149">
        <f>IF(A66=Inputs!$C$54,MIN(Inputs!$C$53,D66-G66),0)</f>
        <v>0</v>
      </c>
      <c r="I66" s="149" t="str">
        <f t="shared" si="10"/>
        <v/>
      </c>
      <c r="J66" s="149" t="str">
        <f t="shared" si="11"/>
        <v/>
      </c>
      <c r="K66" s="163" t="str">
        <f t="shared" si="12"/>
        <v/>
      </c>
      <c r="L66" s="149" t="str">
        <f>IF($A66="","",Inputs!$B$28)</f>
        <v/>
      </c>
      <c r="M66" s="149" t="str">
        <f>IF($A66="","",Inputs!$B$29)</f>
        <v/>
      </c>
      <c r="N66" s="149" t="str">
        <f>IF($A66="","",Inputs!$B$30)</f>
        <v/>
      </c>
      <c r="O66" s="149" t="str">
        <f t="shared" si="6"/>
        <v/>
      </c>
      <c r="P66" s="149" t="str">
        <f t="shared" si="7"/>
        <v/>
      </c>
      <c r="Q66" s="149" t="str">
        <f>IF($B66="","",IF(OR($B67="",ROUNDUP(($A66+1)/Inputs!$B$14,0)&gt;$B66),SUMIF($B$4:$B66,$B66,L$4:L66),0))</f>
        <v/>
      </c>
      <c r="R66" s="149" t="str">
        <f>IF($B66="","",IF(OR($B67="",ROUNDUP(($A66+1)/Inputs!$B$14,0)&gt;$B66),SUMIF($B$4:$B66,$B66,M$4:M66),0))</f>
        <v/>
      </c>
      <c r="S66" s="149" t="str">
        <f>IF($B66="","",IF(OR($B67="",ROUNDUP(($A66+1)/Inputs!$B$14,0)&gt;$B66),SUMIF($B$4:$B66,$B66,N$4:N66),0))</f>
        <v/>
      </c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spans="1:31" ht="18" customHeight="1">
      <c r="A67" s="157" t="str">
        <f t="shared" si="13"/>
        <v/>
      </c>
      <c r="B67" s="77" t="str">
        <f>IF(A67="","",ROUNDUP(A67/Inputs!$B$14,0))</f>
        <v/>
      </c>
      <c r="C67" s="160" t="str">
        <f>IF(A67="","",IF(A67=Inputs!$C$54,"Cuota + abono extra","Pago normal"))</f>
        <v/>
      </c>
      <c r="D67" s="149" t="str">
        <f t="shared" si="8"/>
        <v/>
      </c>
      <c r="E67" s="149" t="str">
        <f>IF(A67="","",D67*Inputs!$B$17)</f>
        <v/>
      </c>
      <c r="F67" s="149" t="str">
        <f>IF(A67="","",MIN(Inputs!$B$20,D67+E67))</f>
        <v/>
      </c>
      <c r="G67" s="149" t="str">
        <f t="shared" si="9"/>
        <v/>
      </c>
      <c r="H67" s="149">
        <f>IF(A67=Inputs!$C$54,MIN(Inputs!$C$53,D67-G67),0)</f>
        <v>0</v>
      </c>
      <c r="I67" s="149" t="str">
        <f t="shared" si="10"/>
        <v/>
      </c>
      <c r="J67" s="149" t="str">
        <f t="shared" si="11"/>
        <v/>
      </c>
      <c r="K67" s="163" t="str">
        <f t="shared" si="12"/>
        <v/>
      </c>
      <c r="L67" s="149" t="str">
        <f>IF($A67="","",Inputs!$B$28)</f>
        <v/>
      </c>
      <c r="M67" s="149" t="str">
        <f>IF($A67="","",Inputs!$B$29)</f>
        <v/>
      </c>
      <c r="N67" s="149" t="str">
        <f>IF($A67="","",Inputs!$B$30)</f>
        <v/>
      </c>
      <c r="O67" s="149" t="str">
        <f t="shared" si="6"/>
        <v/>
      </c>
      <c r="P67" s="149" t="str">
        <f t="shared" si="7"/>
        <v/>
      </c>
      <c r="Q67" s="149" t="str">
        <f>IF($B67="","",IF(OR($B68="",ROUNDUP(($A67+1)/Inputs!$B$14,0)&gt;$B67),SUMIF($B$4:$B67,$B67,L$4:L67),0))</f>
        <v/>
      </c>
      <c r="R67" s="149" t="str">
        <f>IF($B67="","",IF(OR($B68="",ROUNDUP(($A67+1)/Inputs!$B$14,0)&gt;$B67),SUMIF($B$4:$B67,$B67,M$4:M67),0))</f>
        <v/>
      </c>
      <c r="S67" s="149" t="str">
        <f>IF($B67="","",IF(OR($B68="",ROUNDUP(($A67+1)/Inputs!$B$14,0)&gt;$B67),SUMIF($B$4:$B67,$B67,N$4:N67),0))</f>
        <v/>
      </c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spans="1:31" ht="18" customHeight="1">
      <c r="A68" s="157" t="str">
        <f t="shared" si="13"/>
        <v/>
      </c>
      <c r="B68" s="77" t="str">
        <f>IF(A68="","",ROUNDUP(A68/Inputs!$B$14,0))</f>
        <v/>
      </c>
      <c r="C68" s="160" t="str">
        <f>IF(A68="","",IF(A68=Inputs!$C$54,"Cuota + abono extra","Pago normal"))</f>
        <v/>
      </c>
      <c r="D68" s="149" t="str">
        <f t="shared" ref="D68:D103" si="14">IF(A68="","",J67)</f>
        <v/>
      </c>
      <c r="E68" s="149" t="str">
        <f>IF(A68="","",D68*Inputs!$B$17)</f>
        <v/>
      </c>
      <c r="F68" s="149" t="str">
        <f>IF(A68="","",MIN(Inputs!$B$20,D68+E68))</f>
        <v/>
      </c>
      <c r="G68" s="149" t="str">
        <f t="shared" ref="G68:G99" si="15">IF(A68="","",MIN(D68,F68-E68))</f>
        <v/>
      </c>
      <c r="H68" s="149">
        <f>IF(A68=Inputs!$C$54,MIN(Inputs!$C$53,D68-G68),0)</f>
        <v>0</v>
      </c>
      <c r="I68" s="149" t="str">
        <f t="shared" ref="I68:I99" si="16">IF(A68="","",F68+H68)</f>
        <v/>
      </c>
      <c r="J68" s="149" t="str">
        <f t="shared" ref="J68:J103" si="17">IF(A68="","",MAX(0,D68-G68-H68))</f>
        <v/>
      </c>
      <c r="K68" s="163" t="str">
        <f t="shared" ref="K68:K99" si="18">IF(A68="","",IF(J68&lt;=0.005,"Amortizado","Vigente"))</f>
        <v/>
      </c>
      <c r="L68" s="149" t="str">
        <f>IF($A68="","",Inputs!$B$28)</f>
        <v/>
      </c>
      <c r="M68" s="149" t="str">
        <f>IF($A68="","",Inputs!$B$29)</f>
        <v/>
      </c>
      <c r="N68" s="149" t="str">
        <f>IF($A68="","",Inputs!$B$30)</f>
        <v/>
      </c>
      <c r="O68" s="149" t="str">
        <f t="shared" si="6"/>
        <v/>
      </c>
      <c r="P68" s="149" t="str">
        <f t="shared" si="7"/>
        <v/>
      </c>
      <c r="Q68" s="149" t="str">
        <f>IF($B68="","",IF(OR($B69="",ROUNDUP(($A68+1)/Inputs!$B$14,0)&gt;$B68),SUMIF($B$4:$B68,$B68,L$4:L68),0))</f>
        <v/>
      </c>
      <c r="R68" s="149" t="str">
        <f>IF($B68="","",IF(OR($B69="",ROUNDUP(($A68+1)/Inputs!$B$14,0)&gt;$B68),SUMIF($B$4:$B68,$B68,M$4:M68),0))</f>
        <v/>
      </c>
      <c r="S68" s="149" t="str">
        <f>IF($B68="","",IF(OR($B69="",ROUNDUP(($A68+1)/Inputs!$B$14,0)&gt;$B68),SUMIF($B$4:$B68,$B68,N$4:N68),0))</f>
        <v/>
      </c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spans="1:31" ht="18" customHeight="1">
      <c r="A69" s="157" t="str">
        <f t="shared" ref="A69:A103" si="19">IF(A68="","",IF(J68&lt;=0.005,"",A68+1))</f>
        <v/>
      </c>
      <c r="B69" s="77" t="str">
        <f>IF(A69="","",ROUNDUP(A69/Inputs!$B$14,0))</f>
        <v/>
      </c>
      <c r="C69" s="160" t="str">
        <f>IF(A69="","",IF(A69=Inputs!$C$54,"Cuota + abono extra","Pago normal"))</f>
        <v/>
      </c>
      <c r="D69" s="149" t="str">
        <f t="shared" si="14"/>
        <v/>
      </c>
      <c r="E69" s="149" t="str">
        <f>IF(A69="","",D69*Inputs!$B$17)</f>
        <v/>
      </c>
      <c r="F69" s="149" t="str">
        <f>IF(A69="","",MIN(Inputs!$B$20,D69+E69))</f>
        <v/>
      </c>
      <c r="G69" s="149" t="str">
        <f t="shared" si="15"/>
        <v/>
      </c>
      <c r="H69" s="149">
        <f>IF(A69=Inputs!$C$54,MIN(Inputs!$C$53,D69-G69),0)</f>
        <v>0</v>
      </c>
      <c r="I69" s="149" t="str">
        <f t="shared" si="16"/>
        <v/>
      </c>
      <c r="J69" s="149" t="str">
        <f t="shared" si="17"/>
        <v/>
      </c>
      <c r="K69" s="163" t="str">
        <f t="shared" si="18"/>
        <v/>
      </c>
      <c r="L69" s="149" t="str">
        <f>IF($A69="","",Inputs!$B$28)</f>
        <v/>
      </c>
      <c r="M69" s="149" t="str">
        <f>IF($A69="","",Inputs!$B$29)</f>
        <v/>
      </c>
      <c r="N69" s="149" t="str">
        <f>IF($A69="","",Inputs!$B$30)</f>
        <v/>
      </c>
      <c r="O69" s="149" t="str">
        <f t="shared" ref="O69:O103" si="20">IF($A69="","",SUM(L69:N69))</f>
        <v/>
      </c>
      <c r="P69" s="149" t="str">
        <f t="shared" ref="P69:P103" si="21">IF($A69="","",I69+O69)</f>
        <v/>
      </c>
      <c r="Q69" s="149" t="str">
        <f>IF($B69="","",IF(OR($B70="",ROUNDUP(($A69+1)/Inputs!$B$14,0)&gt;$B69),SUMIF($B$4:$B69,$B69,L$4:L69),0))</f>
        <v/>
      </c>
      <c r="R69" s="149" t="str">
        <f>IF($B69="","",IF(OR($B70="",ROUNDUP(($A69+1)/Inputs!$B$14,0)&gt;$B69),SUMIF($B$4:$B69,$B69,M$4:M69),0))</f>
        <v/>
      </c>
      <c r="S69" s="149" t="str">
        <f>IF($B69="","",IF(OR($B70="",ROUNDUP(($A69+1)/Inputs!$B$14,0)&gt;$B69),SUMIF($B$4:$B69,$B69,N$4:N69),0))</f>
        <v/>
      </c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spans="1:31" ht="18" customHeight="1">
      <c r="A70" s="157" t="str">
        <f t="shared" si="19"/>
        <v/>
      </c>
      <c r="B70" s="77" t="str">
        <f>IF(A70="","",ROUNDUP(A70/Inputs!$B$14,0))</f>
        <v/>
      </c>
      <c r="C70" s="160" t="str">
        <f>IF(A70="","",IF(A70=Inputs!$C$54,"Cuota + abono extra","Pago normal"))</f>
        <v/>
      </c>
      <c r="D70" s="149" t="str">
        <f t="shared" si="14"/>
        <v/>
      </c>
      <c r="E70" s="149" t="str">
        <f>IF(A70="","",D70*Inputs!$B$17)</f>
        <v/>
      </c>
      <c r="F70" s="149" t="str">
        <f>IF(A70="","",MIN(Inputs!$B$20,D70+E70))</f>
        <v/>
      </c>
      <c r="G70" s="149" t="str">
        <f t="shared" si="15"/>
        <v/>
      </c>
      <c r="H70" s="149">
        <f>IF(A70=Inputs!$C$54,MIN(Inputs!$C$53,D70-G70),0)</f>
        <v>0</v>
      </c>
      <c r="I70" s="149" t="str">
        <f t="shared" si="16"/>
        <v/>
      </c>
      <c r="J70" s="149" t="str">
        <f t="shared" si="17"/>
        <v/>
      </c>
      <c r="K70" s="163" t="str">
        <f t="shared" si="18"/>
        <v/>
      </c>
      <c r="L70" s="149" t="str">
        <f>IF($A70="","",Inputs!$B$28)</f>
        <v/>
      </c>
      <c r="M70" s="149" t="str">
        <f>IF($A70="","",Inputs!$B$29)</f>
        <v/>
      </c>
      <c r="N70" s="149" t="str">
        <f>IF($A70="","",Inputs!$B$30)</f>
        <v/>
      </c>
      <c r="O70" s="149" t="str">
        <f t="shared" si="20"/>
        <v/>
      </c>
      <c r="P70" s="149" t="str">
        <f t="shared" si="21"/>
        <v/>
      </c>
      <c r="Q70" s="149" t="str">
        <f>IF($B70="","",IF(OR($B71="",ROUNDUP(($A70+1)/Inputs!$B$14,0)&gt;$B70),SUMIF($B$4:$B70,$B70,L$4:L70),0))</f>
        <v/>
      </c>
      <c r="R70" s="149" t="str">
        <f>IF($B70="","",IF(OR($B71="",ROUNDUP(($A70+1)/Inputs!$B$14,0)&gt;$B70),SUMIF($B$4:$B70,$B70,M$4:M70),0))</f>
        <v/>
      </c>
      <c r="S70" s="149" t="str">
        <f>IF($B70="","",IF(OR($B71="",ROUNDUP(($A70+1)/Inputs!$B$14,0)&gt;$B70),SUMIF($B$4:$B70,$B70,N$4:N70),0))</f>
        <v/>
      </c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spans="1:31" ht="18" customHeight="1">
      <c r="A71" s="157" t="str">
        <f t="shared" si="19"/>
        <v/>
      </c>
      <c r="B71" s="77" t="str">
        <f>IF(A71="","",ROUNDUP(A71/Inputs!$B$14,0))</f>
        <v/>
      </c>
      <c r="C71" s="160" t="str">
        <f>IF(A71="","",IF(A71=Inputs!$C$54,"Cuota + abono extra","Pago normal"))</f>
        <v/>
      </c>
      <c r="D71" s="149" t="str">
        <f t="shared" si="14"/>
        <v/>
      </c>
      <c r="E71" s="149" t="str">
        <f>IF(A71="","",D71*Inputs!$B$17)</f>
        <v/>
      </c>
      <c r="F71" s="149" t="str">
        <f>IF(A71="","",MIN(Inputs!$B$20,D71+E71))</f>
        <v/>
      </c>
      <c r="G71" s="149" t="str">
        <f t="shared" si="15"/>
        <v/>
      </c>
      <c r="H71" s="149">
        <f>IF(A71=Inputs!$C$54,MIN(Inputs!$C$53,D71-G71),0)</f>
        <v>0</v>
      </c>
      <c r="I71" s="149" t="str">
        <f t="shared" si="16"/>
        <v/>
      </c>
      <c r="J71" s="149" t="str">
        <f t="shared" si="17"/>
        <v/>
      </c>
      <c r="K71" s="163" t="str">
        <f t="shared" si="18"/>
        <v/>
      </c>
      <c r="L71" s="149" t="str">
        <f>IF($A71="","",Inputs!$B$28)</f>
        <v/>
      </c>
      <c r="M71" s="149" t="str">
        <f>IF($A71="","",Inputs!$B$29)</f>
        <v/>
      </c>
      <c r="N71" s="149" t="str">
        <f>IF($A71="","",Inputs!$B$30)</f>
        <v/>
      </c>
      <c r="O71" s="149" t="str">
        <f t="shared" si="20"/>
        <v/>
      </c>
      <c r="P71" s="149" t="str">
        <f t="shared" si="21"/>
        <v/>
      </c>
      <c r="Q71" s="149" t="str">
        <f>IF($B71="","",IF(OR($B72="",ROUNDUP(($A71+1)/Inputs!$B$14,0)&gt;$B71),SUMIF($B$4:$B71,$B71,L$4:L71),0))</f>
        <v/>
      </c>
      <c r="R71" s="149" t="str">
        <f>IF($B71="","",IF(OR($B72="",ROUNDUP(($A71+1)/Inputs!$B$14,0)&gt;$B71),SUMIF($B$4:$B71,$B71,M$4:M71),0))</f>
        <v/>
      </c>
      <c r="S71" s="149" t="str">
        <f>IF($B71="","",IF(OR($B72="",ROUNDUP(($A71+1)/Inputs!$B$14,0)&gt;$B71),SUMIF($B$4:$B71,$B71,N$4:N71),0))</f>
        <v/>
      </c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spans="1:31" ht="18" customHeight="1">
      <c r="A72" s="157" t="str">
        <f t="shared" si="19"/>
        <v/>
      </c>
      <c r="B72" s="77" t="str">
        <f>IF(A72="","",ROUNDUP(A72/Inputs!$B$14,0))</f>
        <v/>
      </c>
      <c r="C72" s="160" t="str">
        <f>IF(A72="","",IF(A72=Inputs!$C$54,"Cuota + abono extra","Pago normal"))</f>
        <v/>
      </c>
      <c r="D72" s="149" t="str">
        <f t="shared" si="14"/>
        <v/>
      </c>
      <c r="E72" s="149" t="str">
        <f>IF(A72="","",D72*Inputs!$B$17)</f>
        <v/>
      </c>
      <c r="F72" s="149" t="str">
        <f>IF(A72="","",MIN(Inputs!$B$20,D72+E72))</f>
        <v/>
      </c>
      <c r="G72" s="149" t="str">
        <f t="shared" si="15"/>
        <v/>
      </c>
      <c r="H72" s="149">
        <f>IF(A72=Inputs!$C$54,MIN(Inputs!$C$53,D72-G72),0)</f>
        <v>0</v>
      </c>
      <c r="I72" s="149" t="str">
        <f t="shared" si="16"/>
        <v/>
      </c>
      <c r="J72" s="149" t="str">
        <f t="shared" si="17"/>
        <v/>
      </c>
      <c r="K72" s="163" t="str">
        <f t="shared" si="18"/>
        <v/>
      </c>
      <c r="L72" s="149" t="str">
        <f>IF($A72="","",Inputs!$B$28)</f>
        <v/>
      </c>
      <c r="M72" s="149" t="str">
        <f>IF($A72="","",Inputs!$B$29)</f>
        <v/>
      </c>
      <c r="N72" s="149" t="str">
        <f>IF($A72="","",Inputs!$B$30)</f>
        <v/>
      </c>
      <c r="O72" s="149" t="str">
        <f t="shared" si="20"/>
        <v/>
      </c>
      <c r="P72" s="149" t="str">
        <f t="shared" si="21"/>
        <v/>
      </c>
      <c r="Q72" s="149" t="str">
        <f>IF($B72="","",IF(OR($B73="",ROUNDUP(($A72+1)/Inputs!$B$14,0)&gt;$B72),SUMIF($B$4:$B72,$B72,L$4:L72),0))</f>
        <v/>
      </c>
      <c r="R72" s="149" t="str">
        <f>IF($B72="","",IF(OR($B73="",ROUNDUP(($A72+1)/Inputs!$B$14,0)&gt;$B72),SUMIF($B$4:$B72,$B72,M$4:M72),0))</f>
        <v/>
      </c>
      <c r="S72" s="149" t="str">
        <f>IF($B72="","",IF(OR($B73="",ROUNDUP(($A72+1)/Inputs!$B$14,0)&gt;$B72),SUMIF($B$4:$B72,$B72,N$4:N72),0))</f>
        <v/>
      </c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spans="1:31" ht="18" customHeight="1">
      <c r="A73" s="157" t="str">
        <f t="shared" si="19"/>
        <v/>
      </c>
      <c r="B73" s="77" t="str">
        <f>IF(A73="","",ROUNDUP(A73/Inputs!$B$14,0))</f>
        <v/>
      </c>
      <c r="C73" s="160" t="str">
        <f>IF(A73="","",IF(A73=Inputs!$C$54,"Cuota + abono extra","Pago normal"))</f>
        <v/>
      </c>
      <c r="D73" s="149" t="str">
        <f t="shared" si="14"/>
        <v/>
      </c>
      <c r="E73" s="149" t="str">
        <f>IF(A73="","",D73*Inputs!$B$17)</f>
        <v/>
      </c>
      <c r="F73" s="149" t="str">
        <f>IF(A73="","",MIN(Inputs!$B$20,D73+E73))</f>
        <v/>
      </c>
      <c r="G73" s="149" t="str">
        <f t="shared" si="15"/>
        <v/>
      </c>
      <c r="H73" s="149">
        <f>IF(A73=Inputs!$C$54,MIN(Inputs!$C$53,D73-G73),0)</f>
        <v>0</v>
      </c>
      <c r="I73" s="149" t="str">
        <f t="shared" si="16"/>
        <v/>
      </c>
      <c r="J73" s="149" t="str">
        <f t="shared" si="17"/>
        <v/>
      </c>
      <c r="K73" s="163" t="str">
        <f t="shared" si="18"/>
        <v/>
      </c>
      <c r="L73" s="149" t="str">
        <f>IF($A73="","",Inputs!$B$28)</f>
        <v/>
      </c>
      <c r="M73" s="149" t="str">
        <f>IF($A73="","",Inputs!$B$29)</f>
        <v/>
      </c>
      <c r="N73" s="149" t="str">
        <f>IF($A73="","",Inputs!$B$30)</f>
        <v/>
      </c>
      <c r="O73" s="149" t="str">
        <f t="shared" si="20"/>
        <v/>
      </c>
      <c r="P73" s="149" t="str">
        <f t="shared" si="21"/>
        <v/>
      </c>
      <c r="Q73" s="149" t="str">
        <f>IF($B73="","",IF(OR($B74="",ROUNDUP(($A73+1)/Inputs!$B$14,0)&gt;$B73),SUMIF($B$4:$B73,$B73,L$4:L73),0))</f>
        <v/>
      </c>
      <c r="R73" s="149" t="str">
        <f>IF($B73="","",IF(OR($B74="",ROUNDUP(($A73+1)/Inputs!$B$14,0)&gt;$B73),SUMIF($B$4:$B73,$B73,M$4:M73),0))</f>
        <v/>
      </c>
      <c r="S73" s="149" t="str">
        <f>IF($B73="","",IF(OR($B74="",ROUNDUP(($A73+1)/Inputs!$B$14,0)&gt;$B73),SUMIF($B$4:$B73,$B73,N$4:N73),0))</f>
        <v/>
      </c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spans="1:31" ht="18" customHeight="1">
      <c r="A74" s="157" t="str">
        <f t="shared" si="19"/>
        <v/>
      </c>
      <c r="B74" s="77" t="str">
        <f>IF(A74="","",ROUNDUP(A74/Inputs!$B$14,0))</f>
        <v/>
      </c>
      <c r="C74" s="160" t="str">
        <f>IF(A74="","",IF(A74=Inputs!$C$54,"Cuota + abono extra","Pago normal"))</f>
        <v/>
      </c>
      <c r="D74" s="149" t="str">
        <f t="shared" si="14"/>
        <v/>
      </c>
      <c r="E74" s="149" t="str">
        <f>IF(A74="","",D74*Inputs!$B$17)</f>
        <v/>
      </c>
      <c r="F74" s="149" t="str">
        <f>IF(A74="","",MIN(Inputs!$B$20,D74+E74))</f>
        <v/>
      </c>
      <c r="G74" s="149" t="str">
        <f t="shared" si="15"/>
        <v/>
      </c>
      <c r="H74" s="149">
        <f>IF(A74=Inputs!$C$54,MIN(Inputs!$C$53,D74-G74),0)</f>
        <v>0</v>
      </c>
      <c r="I74" s="149" t="str">
        <f t="shared" si="16"/>
        <v/>
      </c>
      <c r="J74" s="149" t="str">
        <f t="shared" si="17"/>
        <v/>
      </c>
      <c r="K74" s="163" t="str">
        <f t="shared" si="18"/>
        <v/>
      </c>
      <c r="L74" s="149" t="str">
        <f>IF($A74="","",Inputs!$B$28)</f>
        <v/>
      </c>
      <c r="M74" s="149" t="str">
        <f>IF($A74="","",Inputs!$B$29)</f>
        <v/>
      </c>
      <c r="N74" s="149" t="str">
        <f>IF($A74="","",Inputs!$B$30)</f>
        <v/>
      </c>
      <c r="O74" s="149" t="str">
        <f t="shared" si="20"/>
        <v/>
      </c>
      <c r="P74" s="149" t="str">
        <f t="shared" si="21"/>
        <v/>
      </c>
      <c r="Q74" s="149" t="str">
        <f>IF($B74="","",IF(OR($B75="",ROUNDUP(($A74+1)/Inputs!$B$14,0)&gt;$B74),SUMIF($B$4:$B74,$B74,L$4:L74),0))</f>
        <v/>
      </c>
      <c r="R74" s="149" t="str">
        <f>IF($B74="","",IF(OR($B75="",ROUNDUP(($A74+1)/Inputs!$B$14,0)&gt;$B74),SUMIF($B$4:$B74,$B74,M$4:M74),0))</f>
        <v/>
      </c>
      <c r="S74" s="149" t="str">
        <f>IF($B74="","",IF(OR($B75="",ROUNDUP(($A74+1)/Inputs!$B$14,0)&gt;$B74),SUMIF($B$4:$B74,$B74,N$4:N74),0))</f>
        <v/>
      </c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spans="1:31" ht="18" customHeight="1">
      <c r="A75" s="157" t="str">
        <f t="shared" si="19"/>
        <v/>
      </c>
      <c r="B75" s="77" t="str">
        <f>IF(A75="","",ROUNDUP(A75/Inputs!$B$14,0))</f>
        <v/>
      </c>
      <c r="C75" s="160" t="str">
        <f>IF(A75="","",IF(A75=Inputs!$C$54,"Cuota + abono extra","Pago normal"))</f>
        <v/>
      </c>
      <c r="D75" s="149" t="str">
        <f t="shared" si="14"/>
        <v/>
      </c>
      <c r="E75" s="149" t="str">
        <f>IF(A75="","",D75*Inputs!$B$17)</f>
        <v/>
      </c>
      <c r="F75" s="149" t="str">
        <f>IF(A75="","",MIN(Inputs!$B$20,D75+E75))</f>
        <v/>
      </c>
      <c r="G75" s="149" t="str">
        <f t="shared" si="15"/>
        <v/>
      </c>
      <c r="H75" s="149">
        <f>IF(A75=Inputs!$C$54,MIN(Inputs!$C$53,D75-G75),0)</f>
        <v>0</v>
      </c>
      <c r="I75" s="149" t="str">
        <f t="shared" si="16"/>
        <v/>
      </c>
      <c r="J75" s="149" t="str">
        <f t="shared" si="17"/>
        <v/>
      </c>
      <c r="K75" s="163" t="str">
        <f t="shared" si="18"/>
        <v/>
      </c>
      <c r="L75" s="149" t="str">
        <f>IF($A75="","",Inputs!$B$28)</f>
        <v/>
      </c>
      <c r="M75" s="149" t="str">
        <f>IF($A75="","",Inputs!$B$29)</f>
        <v/>
      </c>
      <c r="N75" s="149" t="str">
        <f>IF($A75="","",Inputs!$B$30)</f>
        <v/>
      </c>
      <c r="O75" s="149" t="str">
        <f t="shared" si="20"/>
        <v/>
      </c>
      <c r="P75" s="149" t="str">
        <f t="shared" si="21"/>
        <v/>
      </c>
      <c r="Q75" s="149" t="str">
        <f>IF($B75="","",IF(OR($B76="",ROUNDUP(($A75+1)/Inputs!$B$14,0)&gt;$B75),SUMIF($B$4:$B75,$B75,L$4:L75),0))</f>
        <v/>
      </c>
      <c r="R75" s="149" t="str">
        <f>IF($B75="","",IF(OR($B76="",ROUNDUP(($A75+1)/Inputs!$B$14,0)&gt;$B75),SUMIF($B$4:$B75,$B75,M$4:M75),0))</f>
        <v/>
      </c>
      <c r="S75" s="149" t="str">
        <f>IF($B75="","",IF(OR($B76="",ROUNDUP(($A75+1)/Inputs!$B$14,0)&gt;$B75),SUMIF($B$4:$B75,$B75,N$4:N75),0))</f>
        <v/>
      </c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spans="1:31" ht="18" customHeight="1">
      <c r="A76" s="157" t="str">
        <f t="shared" si="19"/>
        <v/>
      </c>
      <c r="B76" s="77" t="str">
        <f>IF(A76="","",ROUNDUP(A76/Inputs!$B$14,0))</f>
        <v/>
      </c>
      <c r="C76" s="160" t="str">
        <f>IF(A76="","",IF(A76=Inputs!$C$54,"Cuota + abono extra","Pago normal"))</f>
        <v/>
      </c>
      <c r="D76" s="149" t="str">
        <f t="shared" si="14"/>
        <v/>
      </c>
      <c r="E76" s="149" t="str">
        <f>IF(A76="","",D76*Inputs!$B$17)</f>
        <v/>
      </c>
      <c r="F76" s="149" t="str">
        <f>IF(A76="","",MIN(Inputs!$B$20,D76+E76))</f>
        <v/>
      </c>
      <c r="G76" s="149" t="str">
        <f t="shared" si="15"/>
        <v/>
      </c>
      <c r="H76" s="149">
        <f>IF(A76=Inputs!$C$54,MIN(Inputs!$C$53,D76-G76),0)</f>
        <v>0</v>
      </c>
      <c r="I76" s="149" t="str">
        <f t="shared" si="16"/>
        <v/>
      </c>
      <c r="J76" s="149" t="str">
        <f t="shared" si="17"/>
        <v/>
      </c>
      <c r="K76" s="163" t="str">
        <f t="shared" si="18"/>
        <v/>
      </c>
      <c r="L76" s="149" t="str">
        <f>IF($A76="","",Inputs!$B$28)</f>
        <v/>
      </c>
      <c r="M76" s="149" t="str">
        <f>IF($A76="","",Inputs!$B$29)</f>
        <v/>
      </c>
      <c r="N76" s="149" t="str">
        <f>IF($A76="","",Inputs!$B$30)</f>
        <v/>
      </c>
      <c r="O76" s="149" t="str">
        <f t="shared" si="20"/>
        <v/>
      </c>
      <c r="P76" s="149" t="str">
        <f t="shared" si="21"/>
        <v/>
      </c>
      <c r="Q76" s="149" t="str">
        <f>IF($B76="","",IF(OR($B77="",ROUNDUP(($A76+1)/Inputs!$B$14,0)&gt;$B76),SUMIF($B$4:$B76,$B76,L$4:L76),0))</f>
        <v/>
      </c>
      <c r="R76" s="149" t="str">
        <f>IF($B76="","",IF(OR($B77="",ROUNDUP(($A76+1)/Inputs!$B$14,0)&gt;$B76),SUMIF($B$4:$B76,$B76,M$4:M76),0))</f>
        <v/>
      </c>
      <c r="S76" s="149" t="str">
        <f>IF($B76="","",IF(OR($B77="",ROUNDUP(($A76+1)/Inputs!$B$14,0)&gt;$B76),SUMIF($B$4:$B76,$B76,N$4:N76),0))</f>
        <v/>
      </c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spans="1:31" ht="18" customHeight="1">
      <c r="A77" s="157" t="str">
        <f t="shared" si="19"/>
        <v/>
      </c>
      <c r="B77" s="77" t="str">
        <f>IF(A77="","",ROUNDUP(A77/Inputs!$B$14,0))</f>
        <v/>
      </c>
      <c r="C77" s="160" t="str">
        <f>IF(A77="","",IF(A77=Inputs!$C$54,"Cuota + abono extra","Pago normal"))</f>
        <v/>
      </c>
      <c r="D77" s="205" t="str">
        <f t="shared" si="14"/>
        <v/>
      </c>
      <c r="E77" s="205" t="str">
        <f>IF(A77="","",D77*Inputs!$B$17)</f>
        <v/>
      </c>
      <c r="F77" s="205" t="str">
        <f>IF(A77="","",MIN(Inputs!$B$20,D77+E77))</f>
        <v/>
      </c>
      <c r="G77" s="205" t="str">
        <f t="shared" si="15"/>
        <v/>
      </c>
      <c r="H77" s="205">
        <f>IF(A77=Inputs!$C$54,MIN(Inputs!$C$53,D77-G77),0)</f>
        <v>0</v>
      </c>
      <c r="I77" s="205" t="str">
        <f t="shared" si="16"/>
        <v/>
      </c>
      <c r="J77" s="205" t="str">
        <f t="shared" si="17"/>
        <v/>
      </c>
      <c r="K77" s="163" t="str">
        <f t="shared" si="18"/>
        <v/>
      </c>
      <c r="L77" s="205" t="str">
        <f>IF($A77="","",Inputs!$B$28)</f>
        <v/>
      </c>
      <c r="M77" s="205" t="str">
        <f>IF($A77="","",Inputs!$B$29)</f>
        <v/>
      </c>
      <c r="N77" s="205" t="str">
        <f>IF($A77="","",Inputs!$B$30)</f>
        <v/>
      </c>
      <c r="O77" s="205" t="str">
        <f t="shared" si="20"/>
        <v/>
      </c>
      <c r="P77" s="205" t="str">
        <f t="shared" si="21"/>
        <v/>
      </c>
      <c r="Q77" s="205" t="str">
        <f>IF($B77="","",IF(OR($B78="",ROUNDUP(($A77+1)/Inputs!$B$14,0)&gt;$B77),SUMIF($B$4:$B77,$B77,L$4:L77),0))</f>
        <v/>
      </c>
      <c r="R77" s="205" t="str">
        <f>IF($B77="","",IF(OR($B78="",ROUNDUP(($A77+1)/Inputs!$B$14,0)&gt;$B77),SUMIF($B$4:$B77,$B77,M$4:M77),0))</f>
        <v/>
      </c>
      <c r="S77" s="205" t="str">
        <f>IF($B77="","",IF(OR($B78="",ROUNDUP(($A77+1)/Inputs!$B$14,0)&gt;$B77),SUMIF($B$4:$B77,$B77,N$4:N77),0))</f>
        <v/>
      </c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spans="1:31" ht="18" customHeight="1">
      <c r="A78" s="157" t="str">
        <f t="shared" si="19"/>
        <v/>
      </c>
      <c r="B78" s="77" t="str">
        <f>IF(A78="","",ROUNDUP(A78/Inputs!$B$14,0))</f>
        <v/>
      </c>
      <c r="C78" s="160" t="str">
        <f>IF(A78="","",IF(A78=Inputs!$C$54,"Cuota + abono extra","Pago normal"))</f>
        <v/>
      </c>
      <c r="D78" s="205" t="str">
        <f t="shared" si="14"/>
        <v/>
      </c>
      <c r="E78" s="205" t="str">
        <f>IF(A78="","",D78*Inputs!$B$17)</f>
        <v/>
      </c>
      <c r="F78" s="205" t="str">
        <f>IF(A78="","",MIN(Inputs!$B$20,D78+E78))</f>
        <v/>
      </c>
      <c r="G78" s="205" t="str">
        <f t="shared" si="15"/>
        <v/>
      </c>
      <c r="H78" s="205">
        <f>IF(A78=Inputs!$C$54,MIN(Inputs!$C$53,D78-G78),0)</f>
        <v>0</v>
      </c>
      <c r="I78" s="205" t="str">
        <f t="shared" si="16"/>
        <v/>
      </c>
      <c r="J78" s="205" t="str">
        <f t="shared" si="17"/>
        <v/>
      </c>
      <c r="K78" s="163" t="str">
        <f t="shared" si="18"/>
        <v/>
      </c>
      <c r="L78" s="205" t="str">
        <f>IF($A78="","",Inputs!$B$28)</f>
        <v/>
      </c>
      <c r="M78" s="205" t="str">
        <f>IF($A78="","",Inputs!$B$29)</f>
        <v/>
      </c>
      <c r="N78" s="205" t="str">
        <f>IF($A78="","",Inputs!$B$30)</f>
        <v/>
      </c>
      <c r="O78" s="205" t="str">
        <f t="shared" si="20"/>
        <v/>
      </c>
      <c r="P78" s="205" t="str">
        <f t="shared" si="21"/>
        <v/>
      </c>
      <c r="Q78" s="205" t="str">
        <f>IF($B78="","",IF(OR($B79="",ROUNDUP(($A78+1)/Inputs!$B$14,0)&gt;$B78),SUMIF($B$4:$B78,$B78,L$4:L78),0))</f>
        <v/>
      </c>
      <c r="R78" s="205" t="str">
        <f>IF($B78="","",IF(OR($B79="",ROUNDUP(($A78+1)/Inputs!$B$14,0)&gt;$B78),SUMIF($B$4:$B78,$B78,M$4:M78),0))</f>
        <v/>
      </c>
      <c r="S78" s="205" t="str">
        <f>IF($B78="","",IF(OR($B79="",ROUNDUP(($A78+1)/Inputs!$B$14,0)&gt;$B78),SUMIF($B$4:$B78,$B78,N$4:N78),0))</f>
        <v/>
      </c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spans="1:31" ht="18" customHeight="1">
      <c r="A79" s="157" t="str">
        <f t="shared" si="19"/>
        <v/>
      </c>
      <c r="B79" s="77" t="str">
        <f>IF(A79="","",ROUNDUP(A79/Inputs!$B$14,0))</f>
        <v/>
      </c>
      <c r="C79" s="160" t="str">
        <f>IF(A79="","",IF(A79=Inputs!$C$54,"Cuota + abono extra","Pago normal"))</f>
        <v/>
      </c>
      <c r="D79" s="205" t="str">
        <f t="shared" si="14"/>
        <v/>
      </c>
      <c r="E79" s="205" t="str">
        <f>IF(A79="","",D79*Inputs!$B$17)</f>
        <v/>
      </c>
      <c r="F79" s="205" t="str">
        <f>IF(A79="","",MIN(Inputs!$B$20,D79+E79))</f>
        <v/>
      </c>
      <c r="G79" s="205" t="str">
        <f t="shared" si="15"/>
        <v/>
      </c>
      <c r="H79" s="205">
        <f>IF(A79=Inputs!$C$54,MIN(Inputs!$C$53,D79-G79),0)</f>
        <v>0</v>
      </c>
      <c r="I79" s="205" t="str">
        <f t="shared" si="16"/>
        <v/>
      </c>
      <c r="J79" s="205" t="str">
        <f t="shared" si="17"/>
        <v/>
      </c>
      <c r="K79" s="163" t="str">
        <f t="shared" si="18"/>
        <v/>
      </c>
      <c r="L79" s="205" t="str">
        <f>IF($A79="","",Inputs!$B$28)</f>
        <v/>
      </c>
      <c r="M79" s="205" t="str">
        <f>IF($A79="","",Inputs!$B$29)</f>
        <v/>
      </c>
      <c r="N79" s="205" t="str">
        <f>IF($A79="","",Inputs!$B$30)</f>
        <v/>
      </c>
      <c r="O79" s="205" t="str">
        <f t="shared" si="20"/>
        <v/>
      </c>
      <c r="P79" s="205" t="str">
        <f t="shared" si="21"/>
        <v/>
      </c>
      <c r="Q79" s="205" t="str">
        <f>IF($B79="","",IF(OR($B80="",ROUNDUP(($A79+1)/Inputs!$B$14,0)&gt;$B79),SUMIF($B$4:$B79,$B79,L$4:L79),0))</f>
        <v/>
      </c>
      <c r="R79" s="205" t="str">
        <f>IF($B79="","",IF(OR($B80="",ROUNDUP(($A79+1)/Inputs!$B$14,0)&gt;$B79),SUMIF($B$4:$B79,$B79,M$4:M79),0))</f>
        <v/>
      </c>
      <c r="S79" s="205" t="str">
        <f>IF($B79="","",IF(OR($B80="",ROUNDUP(($A79+1)/Inputs!$B$14,0)&gt;$B79),SUMIF($B$4:$B79,$B79,N$4:N79),0))</f>
        <v/>
      </c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spans="1:31" ht="18" customHeight="1">
      <c r="A80" s="157" t="str">
        <f t="shared" si="19"/>
        <v/>
      </c>
      <c r="B80" s="77" t="str">
        <f>IF(A80="","",ROUNDUP(A80/Inputs!$B$14,0))</f>
        <v/>
      </c>
      <c r="C80" s="160" t="str">
        <f>IF(A80="","",IF(A80=Inputs!$C$54,"Cuota + abono extra","Pago normal"))</f>
        <v/>
      </c>
      <c r="D80" s="205" t="str">
        <f t="shared" si="14"/>
        <v/>
      </c>
      <c r="E80" s="205" t="str">
        <f>IF(A80="","",D80*Inputs!$B$17)</f>
        <v/>
      </c>
      <c r="F80" s="205" t="str">
        <f>IF(A80="","",MIN(Inputs!$B$20,D80+E80))</f>
        <v/>
      </c>
      <c r="G80" s="205" t="str">
        <f t="shared" si="15"/>
        <v/>
      </c>
      <c r="H80" s="205">
        <f>IF(A80=Inputs!$C$54,MIN(Inputs!$C$53,D80-G80),0)</f>
        <v>0</v>
      </c>
      <c r="I80" s="205" t="str">
        <f t="shared" si="16"/>
        <v/>
      </c>
      <c r="J80" s="205" t="str">
        <f t="shared" si="17"/>
        <v/>
      </c>
      <c r="K80" s="163" t="str">
        <f t="shared" si="18"/>
        <v/>
      </c>
      <c r="L80" s="205" t="str">
        <f>IF($A80="","",Inputs!$B$28)</f>
        <v/>
      </c>
      <c r="M80" s="205" t="str">
        <f>IF($A80="","",Inputs!$B$29)</f>
        <v/>
      </c>
      <c r="N80" s="205" t="str">
        <f>IF($A80="","",Inputs!$B$30)</f>
        <v/>
      </c>
      <c r="O80" s="205" t="str">
        <f t="shared" si="20"/>
        <v/>
      </c>
      <c r="P80" s="205" t="str">
        <f t="shared" si="21"/>
        <v/>
      </c>
      <c r="Q80" s="205" t="str">
        <f>IF($B80="","",IF(OR($B81="",ROUNDUP(($A80+1)/Inputs!$B$14,0)&gt;$B80),SUMIF($B$4:$B80,$B80,L$4:L80),0))</f>
        <v/>
      </c>
      <c r="R80" s="205" t="str">
        <f>IF($B80="","",IF(OR($B81="",ROUNDUP(($A80+1)/Inputs!$B$14,0)&gt;$B80),SUMIF($B$4:$B80,$B80,M$4:M80),0))</f>
        <v/>
      </c>
      <c r="S80" s="205" t="str">
        <f>IF($B80="","",IF(OR($B81="",ROUNDUP(($A80+1)/Inputs!$B$14,0)&gt;$B80),SUMIF($B$4:$B80,$B80,N$4:N80),0))</f>
        <v/>
      </c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spans="1:31" ht="18" customHeight="1">
      <c r="A81" s="157" t="str">
        <f t="shared" si="19"/>
        <v/>
      </c>
      <c r="B81" s="77" t="str">
        <f>IF(A81="","",ROUNDUP(A81/Inputs!$B$14,0))</f>
        <v/>
      </c>
      <c r="C81" s="160" t="str">
        <f>IF(A81="","",IF(A81=Inputs!$C$54,"Cuota + abono extra","Pago normal"))</f>
        <v/>
      </c>
      <c r="D81" s="205" t="str">
        <f t="shared" si="14"/>
        <v/>
      </c>
      <c r="E81" s="205" t="str">
        <f>IF(A81="","",D81*Inputs!$B$17)</f>
        <v/>
      </c>
      <c r="F81" s="205" t="str">
        <f>IF(A81="","",MIN(Inputs!$B$20,D81+E81))</f>
        <v/>
      </c>
      <c r="G81" s="205" t="str">
        <f t="shared" si="15"/>
        <v/>
      </c>
      <c r="H81" s="205">
        <f>IF(A81=Inputs!$C$54,MIN(Inputs!$C$53,D81-G81),0)</f>
        <v>0</v>
      </c>
      <c r="I81" s="205" t="str">
        <f t="shared" si="16"/>
        <v/>
      </c>
      <c r="J81" s="205" t="str">
        <f t="shared" si="17"/>
        <v/>
      </c>
      <c r="K81" s="163" t="str">
        <f t="shared" si="18"/>
        <v/>
      </c>
      <c r="L81" s="205" t="str">
        <f>IF($A81="","",Inputs!$B$28)</f>
        <v/>
      </c>
      <c r="M81" s="205" t="str">
        <f>IF($A81="","",Inputs!$B$29)</f>
        <v/>
      </c>
      <c r="N81" s="205" t="str">
        <f>IF($A81="","",Inputs!$B$30)</f>
        <v/>
      </c>
      <c r="O81" s="205" t="str">
        <f t="shared" si="20"/>
        <v/>
      </c>
      <c r="P81" s="205" t="str">
        <f t="shared" si="21"/>
        <v/>
      </c>
      <c r="Q81" s="205" t="str">
        <f>IF($B81="","",IF(OR($B82="",ROUNDUP(($A81+1)/Inputs!$B$14,0)&gt;$B81),SUMIF($B$4:$B81,$B81,L$4:L81),0))</f>
        <v/>
      </c>
      <c r="R81" s="205" t="str">
        <f>IF($B81="","",IF(OR($B82="",ROUNDUP(($A81+1)/Inputs!$B$14,0)&gt;$B81),SUMIF($B$4:$B81,$B81,M$4:M81),0))</f>
        <v/>
      </c>
      <c r="S81" s="205" t="str">
        <f>IF($B81="","",IF(OR($B82="",ROUNDUP(($A81+1)/Inputs!$B$14,0)&gt;$B81),SUMIF($B$4:$B81,$B81,N$4:N81),0))</f>
        <v/>
      </c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spans="1:31" ht="18" customHeight="1">
      <c r="A82" s="157" t="str">
        <f t="shared" si="19"/>
        <v/>
      </c>
      <c r="B82" s="77" t="str">
        <f>IF(A82="","",ROUNDUP(A82/Inputs!$B$14,0))</f>
        <v/>
      </c>
      <c r="C82" s="160" t="str">
        <f>IF(A82="","",IF(A82=Inputs!$C$54,"Cuota + abono extra","Pago normal"))</f>
        <v/>
      </c>
      <c r="D82" s="205" t="str">
        <f t="shared" si="14"/>
        <v/>
      </c>
      <c r="E82" s="205" t="str">
        <f>IF(A82="","",D82*Inputs!$B$17)</f>
        <v/>
      </c>
      <c r="F82" s="205" t="str">
        <f>IF(A82="","",MIN(Inputs!$B$20,D82+E82))</f>
        <v/>
      </c>
      <c r="G82" s="205" t="str">
        <f t="shared" si="15"/>
        <v/>
      </c>
      <c r="H82" s="205">
        <f>IF(A82=Inputs!$C$54,MIN(Inputs!$C$53,D82-G82),0)</f>
        <v>0</v>
      </c>
      <c r="I82" s="205" t="str">
        <f t="shared" si="16"/>
        <v/>
      </c>
      <c r="J82" s="205" t="str">
        <f t="shared" si="17"/>
        <v/>
      </c>
      <c r="K82" s="163" t="str">
        <f t="shared" si="18"/>
        <v/>
      </c>
      <c r="L82" s="205" t="str">
        <f>IF($A82="","",Inputs!$B$28)</f>
        <v/>
      </c>
      <c r="M82" s="205" t="str">
        <f>IF($A82="","",Inputs!$B$29)</f>
        <v/>
      </c>
      <c r="N82" s="205" t="str">
        <f>IF($A82="","",Inputs!$B$30)</f>
        <v/>
      </c>
      <c r="O82" s="205" t="str">
        <f t="shared" si="20"/>
        <v/>
      </c>
      <c r="P82" s="205" t="str">
        <f t="shared" si="21"/>
        <v/>
      </c>
      <c r="Q82" s="205" t="str">
        <f>IF($B82="","",IF(OR($B83="",ROUNDUP(($A82+1)/Inputs!$B$14,0)&gt;$B82),SUMIF($B$4:$B82,$B82,L$4:L82),0))</f>
        <v/>
      </c>
      <c r="R82" s="205" t="str">
        <f>IF($B82="","",IF(OR($B83="",ROUNDUP(($A82+1)/Inputs!$B$14,0)&gt;$B82),SUMIF($B$4:$B82,$B82,M$4:M82),0))</f>
        <v/>
      </c>
      <c r="S82" s="205" t="str">
        <f>IF($B82="","",IF(OR($B83="",ROUNDUP(($A82+1)/Inputs!$B$14,0)&gt;$B82),SUMIF($B$4:$B82,$B82,N$4:N82),0))</f>
        <v/>
      </c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  <row r="83" spans="1:31" ht="18" customHeight="1">
      <c r="A83" s="157" t="str">
        <f t="shared" si="19"/>
        <v/>
      </c>
      <c r="B83" s="77" t="str">
        <f>IF(A83="","",ROUNDUP(A83/Inputs!$B$14,0))</f>
        <v/>
      </c>
      <c r="C83" s="160" t="str">
        <f>IF(A83="","",IF(A83=Inputs!$C$54,"Cuota + abono extra","Pago normal"))</f>
        <v/>
      </c>
      <c r="D83" s="205" t="str">
        <f t="shared" si="14"/>
        <v/>
      </c>
      <c r="E83" s="205" t="str">
        <f>IF(A83="","",D83*Inputs!$B$17)</f>
        <v/>
      </c>
      <c r="F83" s="205" t="str">
        <f>IF(A83="","",MIN(Inputs!$B$20,D83+E83))</f>
        <v/>
      </c>
      <c r="G83" s="205" t="str">
        <f t="shared" si="15"/>
        <v/>
      </c>
      <c r="H83" s="205">
        <f>IF(A83=Inputs!$C$54,MIN(Inputs!$C$53,D83-G83),0)</f>
        <v>0</v>
      </c>
      <c r="I83" s="205" t="str">
        <f t="shared" si="16"/>
        <v/>
      </c>
      <c r="J83" s="205" t="str">
        <f t="shared" si="17"/>
        <v/>
      </c>
      <c r="K83" s="163" t="str">
        <f t="shared" si="18"/>
        <v/>
      </c>
      <c r="L83" s="205" t="str">
        <f>IF($A83="","",Inputs!$B$28)</f>
        <v/>
      </c>
      <c r="M83" s="205" t="str">
        <f>IF($A83="","",Inputs!$B$29)</f>
        <v/>
      </c>
      <c r="N83" s="205" t="str">
        <f>IF($A83="","",Inputs!$B$30)</f>
        <v/>
      </c>
      <c r="O83" s="205" t="str">
        <f t="shared" si="20"/>
        <v/>
      </c>
      <c r="P83" s="205" t="str">
        <f t="shared" si="21"/>
        <v/>
      </c>
      <c r="Q83" s="205" t="str">
        <f>IF($B83="","",IF(OR($B84="",ROUNDUP(($A83+1)/Inputs!$B$14,0)&gt;$B83),SUMIF($B$4:$B83,$B83,L$4:L83),0))</f>
        <v/>
      </c>
      <c r="R83" s="205" t="str">
        <f>IF($B83="","",IF(OR($B84="",ROUNDUP(($A83+1)/Inputs!$B$14,0)&gt;$B83),SUMIF($B$4:$B83,$B83,M$4:M83),0))</f>
        <v/>
      </c>
      <c r="S83" s="205" t="str">
        <f>IF($B83="","",IF(OR($B84="",ROUNDUP(($A83+1)/Inputs!$B$14,0)&gt;$B83),SUMIF($B$4:$B83,$B83,N$4:N83),0))</f>
        <v/>
      </c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</row>
    <row r="84" spans="1:31" ht="18" customHeight="1">
      <c r="A84" s="157" t="str">
        <f t="shared" si="19"/>
        <v/>
      </c>
      <c r="B84" s="77" t="str">
        <f>IF(A84="","",ROUNDUP(A84/Inputs!$B$14,0))</f>
        <v/>
      </c>
      <c r="C84" s="160" t="str">
        <f>IF(A84="","",IF(A84=Inputs!$C$54,"Cuota + abono extra","Pago normal"))</f>
        <v/>
      </c>
      <c r="D84" s="205" t="str">
        <f t="shared" si="14"/>
        <v/>
      </c>
      <c r="E84" s="205" t="str">
        <f>IF(A84="","",D84*Inputs!$B$17)</f>
        <v/>
      </c>
      <c r="F84" s="205" t="str">
        <f>IF(A84="","",MIN(Inputs!$B$20,D84+E84))</f>
        <v/>
      </c>
      <c r="G84" s="205" t="str">
        <f t="shared" si="15"/>
        <v/>
      </c>
      <c r="H84" s="205">
        <f>IF(A84=Inputs!$C$54,MIN(Inputs!$C$53,D84-G84),0)</f>
        <v>0</v>
      </c>
      <c r="I84" s="205" t="str">
        <f t="shared" si="16"/>
        <v/>
      </c>
      <c r="J84" s="205" t="str">
        <f t="shared" si="17"/>
        <v/>
      </c>
      <c r="K84" s="163" t="str">
        <f t="shared" si="18"/>
        <v/>
      </c>
      <c r="L84" s="205" t="str">
        <f>IF($A84="","",Inputs!$B$28)</f>
        <v/>
      </c>
      <c r="M84" s="205" t="str">
        <f>IF($A84="","",Inputs!$B$29)</f>
        <v/>
      </c>
      <c r="N84" s="205" t="str">
        <f>IF($A84="","",Inputs!$B$30)</f>
        <v/>
      </c>
      <c r="O84" s="205" t="str">
        <f t="shared" si="20"/>
        <v/>
      </c>
      <c r="P84" s="205" t="str">
        <f t="shared" si="21"/>
        <v/>
      </c>
      <c r="Q84" s="205" t="str">
        <f>IF($B84="","",IF(OR($B85="",ROUNDUP(($A84+1)/Inputs!$B$14,0)&gt;$B84),SUMIF($B$4:$B84,$B84,L$4:L84),0))</f>
        <v/>
      </c>
      <c r="R84" s="205" t="str">
        <f>IF($B84="","",IF(OR($B85="",ROUNDUP(($A84+1)/Inputs!$B$14,0)&gt;$B84),SUMIF($B$4:$B84,$B84,M$4:M84),0))</f>
        <v/>
      </c>
      <c r="S84" s="205" t="str">
        <f>IF($B84="","",IF(OR($B85="",ROUNDUP(($A84+1)/Inputs!$B$14,0)&gt;$B84),SUMIF($B$4:$B84,$B84,N$4:N84),0))</f>
        <v/>
      </c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</row>
    <row r="85" spans="1:31" ht="18" customHeight="1">
      <c r="A85" s="157" t="str">
        <f t="shared" si="19"/>
        <v/>
      </c>
      <c r="B85" s="77" t="str">
        <f>IF(A85="","",ROUNDUP(A85/Inputs!$B$14,0))</f>
        <v/>
      </c>
      <c r="C85" s="160" t="str">
        <f>IF(A85="","",IF(A85=Inputs!$C$54,"Cuota + abono extra","Pago normal"))</f>
        <v/>
      </c>
      <c r="D85" s="205" t="str">
        <f t="shared" si="14"/>
        <v/>
      </c>
      <c r="E85" s="205" t="str">
        <f>IF(A85="","",D85*Inputs!$B$17)</f>
        <v/>
      </c>
      <c r="F85" s="205" t="str">
        <f>IF(A85="","",MIN(Inputs!$B$20,D85+E85))</f>
        <v/>
      </c>
      <c r="G85" s="205" t="str">
        <f t="shared" si="15"/>
        <v/>
      </c>
      <c r="H85" s="205">
        <f>IF(A85=Inputs!$C$54,MIN(Inputs!$C$53,D85-G85),0)</f>
        <v>0</v>
      </c>
      <c r="I85" s="205" t="str">
        <f t="shared" si="16"/>
        <v/>
      </c>
      <c r="J85" s="205" t="str">
        <f t="shared" si="17"/>
        <v/>
      </c>
      <c r="K85" s="163" t="str">
        <f t="shared" si="18"/>
        <v/>
      </c>
      <c r="L85" s="205" t="str">
        <f>IF($A85="","",Inputs!$B$28)</f>
        <v/>
      </c>
      <c r="M85" s="205" t="str">
        <f>IF($A85="","",Inputs!$B$29)</f>
        <v/>
      </c>
      <c r="N85" s="205" t="str">
        <f>IF($A85="","",Inputs!$B$30)</f>
        <v/>
      </c>
      <c r="O85" s="205" t="str">
        <f t="shared" si="20"/>
        <v/>
      </c>
      <c r="P85" s="205" t="str">
        <f t="shared" si="21"/>
        <v/>
      </c>
      <c r="Q85" s="205" t="str">
        <f>IF($B85="","",IF(OR($B86="",ROUNDUP(($A85+1)/Inputs!$B$14,0)&gt;$B85),SUMIF($B$4:$B85,$B85,L$4:L85),0))</f>
        <v/>
      </c>
      <c r="R85" s="205" t="str">
        <f>IF($B85="","",IF(OR($B86="",ROUNDUP(($A85+1)/Inputs!$B$14,0)&gt;$B85),SUMIF($B$4:$B85,$B85,M$4:M85),0))</f>
        <v/>
      </c>
      <c r="S85" s="205" t="str">
        <f>IF($B85="","",IF(OR($B86="",ROUNDUP(($A85+1)/Inputs!$B$14,0)&gt;$B85),SUMIF($B$4:$B85,$B85,N$4:N85),0))</f>
        <v/>
      </c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</row>
    <row r="86" spans="1:31" ht="18" customHeight="1">
      <c r="A86" s="157" t="str">
        <f t="shared" si="19"/>
        <v/>
      </c>
      <c r="B86" s="77" t="str">
        <f>IF(A86="","",ROUNDUP(A86/Inputs!$B$14,0))</f>
        <v/>
      </c>
      <c r="C86" s="160" t="str">
        <f>IF(A86="","",IF(A86=Inputs!$C$54,"Cuota + abono extra","Pago normal"))</f>
        <v/>
      </c>
      <c r="D86" s="205" t="str">
        <f t="shared" si="14"/>
        <v/>
      </c>
      <c r="E86" s="205" t="str">
        <f>IF(A86="","",D86*Inputs!$B$17)</f>
        <v/>
      </c>
      <c r="F86" s="205" t="str">
        <f>IF(A86="","",MIN(Inputs!$B$20,D86+E86))</f>
        <v/>
      </c>
      <c r="G86" s="205" t="str">
        <f t="shared" si="15"/>
        <v/>
      </c>
      <c r="H86" s="205">
        <f>IF(A86=Inputs!$C$54,MIN(Inputs!$C$53,D86-G86),0)</f>
        <v>0</v>
      </c>
      <c r="I86" s="205" t="str">
        <f t="shared" si="16"/>
        <v/>
      </c>
      <c r="J86" s="205" t="str">
        <f t="shared" si="17"/>
        <v/>
      </c>
      <c r="K86" s="163" t="str">
        <f t="shared" si="18"/>
        <v/>
      </c>
      <c r="L86" s="205" t="str">
        <f>IF($A86="","",Inputs!$B$28)</f>
        <v/>
      </c>
      <c r="M86" s="205" t="str">
        <f>IF($A86="","",Inputs!$B$29)</f>
        <v/>
      </c>
      <c r="N86" s="205" t="str">
        <f>IF($A86="","",Inputs!$B$30)</f>
        <v/>
      </c>
      <c r="O86" s="205" t="str">
        <f t="shared" si="20"/>
        <v/>
      </c>
      <c r="P86" s="205" t="str">
        <f t="shared" si="21"/>
        <v/>
      </c>
      <c r="Q86" s="205" t="str">
        <f>IF($B86="","",IF(OR($B87="",ROUNDUP(($A86+1)/Inputs!$B$14,0)&gt;$B86),SUMIF($B$4:$B86,$B86,L$4:L86),0))</f>
        <v/>
      </c>
      <c r="R86" s="205" t="str">
        <f>IF($B86="","",IF(OR($B87="",ROUNDUP(($A86+1)/Inputs!$B$14,0)&gt;$B86),SUMIF($B$4:$B86,$B86,M$4:M86),0))</f>
        <v/>
      </c>
      <c r="S86" s="205" t="str">
        <f>IF($B86="","",IF(OR($B87="",ROUNDUP(($A86+1)/Inputs!$B$14,0)&gt;$B86),SUMIF($B$4:$B86,$B86,N$4:N86),0))</f>
        <v/>
      </c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</row>
    <row r="87" spans="1:31" ht="18" customHeight="1">
      <c r="A87" s="157" t="str">
        <f t="shared" si="19"/>
        <v/>
      </c>
      <c r="B87" s="77" t="str">
        <f>IF(A87="","",ROUNDUP(A87/Inputs!$B$14,0))</f>
        <v/>
      </c>
      <c r="C87" s="160" t="str">
        <f>IF(A87="","",IF(A87=Inputs!$C$54,"Cuota + abono extra","Pago normal"))</f>
        <v/>
      </c>
      <c r="D87" s="205" t="str">
        <f t="shared" si="14"/>
        <v/>
      </c>
      <c r="E87" s="205" t="str">
        <f>IF(A87="","",D87*Inputs!$B$17)</f>
        <v/>
      </c>
      <c r="F87" s="205" t="str">
        <f>IF(A87="","",MIN(Inputs!$B$20,D87+E87))</f>
        <v/>
      </c>
      <c r="G87" s="205" t="str">
        <f t="shared" si="15"/>
        <v/>
      </c>
      <c r="H87" s="205">
        <f>IF(A87=Inputs!$C$54,MIN(Inputs!$C$53,D87-G87),0)</f>
        <v>0</v>
      </c>
      <c r="I87" s="205" t="str">
        <f t="shared" si="16"/>
        <v/>
      </c>
      <c r="J87" s="205" t="str">
        <f t="shared" si="17"/>
        <v/>
      </c>
      <c r="K87" s="163" t="str">
        <f t="shared" si="18"/>
        <v/>
      </c>
      <c r="L87" s="205" t="str">
        <f>IF($A87="","",Inputs!$B$28)</f>
        <v/>
      </c>
      <c r="M87" s="205" t="str">
        <f>IF($A87="","",Inputs!$B$29)</f>
        <v/>
      </c>
      <c r="N87" s="205" t="str">
        <f>IF($A87="","",Inputs!$B$30)</f>
        <v/>
      </c>
      <c r="O87" s="205" t="str">
        <f t="shared" si="20"/>
        <v/>
      </c>
      <c r="P87" s="205" t="str">
        <f t="shared" si="21"/>
        <v/>
      </c>
      <c r="Q87" s="205" t="str">
        <f>IF($B87="","",IF(OR($B88="",ROUNDUP(($A87+1)/Inputs!$B$14,0)&gt;$B87),SUMIF($B$4:$B87,$B87,L$4:L87),0))</f>
        <v/>
      </c>
      <c r="R87" s="205" t="str">
        <f>IF($B87="","",IF(OR($B88="",ROUNDUP(($A87+1)/Inputs!$B$14,0)&gt;$B87),SUMIF($B$4:$B87,$B87,M$4:M87),0))</f>
        <v/>
      </c>
      <c r="S87" s="205" t="str">
        <f>IF($B87="","",IF(OR($B88="",ROUNDUP(($A87+1)/Inputs!$B$14,0)&gt;$B87),SUMIF($B$4:$B87,$B87,N$4:N87),0))</f>
        <v/>
      </c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</row>
    <row r="88" spans="1:31" ht="18" customHeight="1">
      <c r="A88" s="157" t="str">
        <f t="shared" si="19"/>
        <v/>
      </c>
      <c r="B88" s="77" t="str">
        <f>IF(A88="","",ROUNDUP(A88/Inputs!$B$14,0))</f>
        <v/>
      </c>
      <c r="C88" s="160" t="str">
        <f>IF(A88="","",IF(A88=Inputs!$C$54,"Cuota + abono extra","Pago normal"))</f>
        <v/>
      </c>
      <c r="D88" s="205" t="str">
        <f t="shared" si="14"/>
        <v/>
      </c>
      <c r="E88" s="205" t="str">
        <f>IF(A88="","",D88*Inputs!$B$17)</f>
        <v/>
      </c>
      <c r="F88" s="205" t="str">
        <f>IF(A88="","",MIN(Inputs!$B$20,D88+E88))</f>
        <v/>
      </c>
      <c r="G88" s="205" t="str">
        <f t="shared" si="15"/>
        <v/>
      </c>
      <c r="H88" s="205">
        <f>IF(A88=Inputs!$C$54,MIN(Inputs!$C$53,D88-G88),0)</f>
        <v>0</v>
      </c>
      <c r="I88" s="205" t="str">
        <f t="shared" si="16"/>
        <v/>
      </c>
      <c r="J88" s="205" t="str">
        <f t="shared" si="17"/>
        <v/>
      </c>
      <c r="K88" s="163" t="str">
        <f t="shared" si="18"/>
        <v/>
      </c>
      <c r="L88" s="205" t="str">
        <f>IF($A88="","",Inputs!$B$28)</f>
        <v/>
      </c>
      <c r="M88" s="205" t="str">
        <f>IF($A88="","",Inputs!$B$29)</f>
        <v/>
      </c>
      <c r="N88" s="205" t="str">
        <f>IF($A88="","",Inputs!$B$30)</f>
        <v/>
      </c>
      <c r="O88" s="205" t="str">
        <f t="shared" si="20"/>
        <v/>
      </c>
      <c r="P88" s="205" t="str">
        <f t="shared" si="21"/>
        <v/>
      </c>
      <c r="Q88" s="205" t="str">
        <f>IF($B88="","",IF(OR($B89="",ROUNDUP(($A88+1)/Inputs!$B$14,0)&gt;$B88),SUMIF($B$4:$B88,$B88,L$4:L88),0))</f>
        <v/>
      </c>
      <c r="R88" s="205" t="str">
        <f>IF($B88="","",IF(OR($B89="",ROUNDUP(($A88+1)/Inputs!$B$14,0)&gt;$B88),SUMIF($B$4:$B88,$B88,M$4:M88),0))</f>
        <v/>
      </c>
      <c r="S88" s="205" t="str">
        <f>IF($B88="","",IF(OR($B89="",ROUNDUP(($A88+1)/Inputs!$B$14,0)&gt;$B88),SUMIF($B$4:$B88,$B88,N$4:N88),0))</f>
        <v/>
      </c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</row>
    <row r="89" spans="1:31" ht="18" customHeight="1">
      <c r="A89" s="157" t="str">
        <f t="shared" si="19"/>
        <v/>
      </c>
      <c r="B89" s="77" t="str">
        <f>IF(A89="","",ROUNDUP(A89/Inputs!$B$14,0))</f>
        <v/>
      </c>
      <c r="C89" s="160" t="str">
        <f>IF(A89="","",IF(A89=Inputs!$C$54,"Cuota + abono extra","Pago normal"))</f>
        <v/>
      </c>
      <c r="D89" s="205" t="str">
        <f t="shared" si="14"/>
        <v/>
      </c>
      <c r="E89" s="205" t="str">
        <f>IF(A89="","",D89*Inputs!$B$17)</f>
        <v/>
      </c>
      <c r="F89" s="205" t="str">
        <f>IF(A89="","",MIN(Inputs!$B$20,D89+E89))</f>
        <v/>
      </c>
      <c r="G89" s="205" t="str">
        <f t="shared" si="15"/>
        <v/>
      </c>
      <c r="H89" s="205">
        <f>IF(A89=Inputs!$C$54,MIN(Inputs!$C$53,D89-G89),0)</f>
        <v>0</v>
      </c>
      <c r="I89" s="205" t="str">
        <f t="shared" si="16"/>
        <v/>
      </c>
      <c r="J89" s="205" t="str">
        <f t="shared" si="17"/>
        <v/>
      </c>
      <c r="K89" s="163" t="str">
        <f t="shared" si="18"/>
        <v/>
      </c>
      <c r="L89" s="205" t="str">
        <f>IF($A89="","",Inputs!$B$28)</f>
        <v/>
      </c>
      <c r="M89" s="205" t="str">
        <f>IF($A89="","",Inputs!$B$29)</f>
        <v/>
      </c>
      <c r="N89" s="205" t="str">
        <f>IF($A89="","",Inputs!$B$30)</f>
        <v/>
      </c>
      <c r="O89" s="205" t="str">
        <f t="shared" si="20"/>
        <v/>
      </c>
      <c r="P89" s="205" t="str">
        <f t="shared" si="21"/>
        <v/>
      </c>
      <c r="Q89" s="205" t="str">
        <f>IF($B89="","",IF(OR($B90="",ROUNDUP(($A89+1)/Inputs!$B$14,0)&gt;$B89),SUMIF($B$4:$B89,$B89,L$4:L89),0))</f>
        <v/>
      </c>
      <c r="R89" s="205" t="str">
        <f>IF($B89="","",IF(OR($B90="",ROUNDUP(($A89+1)/Inputs!$B$14,0)&gt;$B89),SUMIF($B$4:$B89,$B89,M$4:M89),0))</f>
        <v/>
      </c>
      <c r="S89" s="205" t="str">
        <f>IF($B89="","",IF(OR($B90="",ROUNDUP(($A89+1)/Inputs!$B$14,0)&gt;$B89),SUMIF($B$4:$B89,$B89,N$4:N89),0))</f>
        <v/>
      </c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</row>
    <row r="90" spans="1:31" ht="18" customHeight="1">
      <c r="A90" s="157" t="str">
        <f t="shared" si="19"/>
        <v/>
      </c>
      <c r="B90" s="77" t="str">
        <f>IF(A90="","",ROUNDUP(A90/Inputs!$B$14,0))</f>
        <v/>
      </c>
      <c r="C90" s="160" t="str">
        <f>IF(A90="","",IF(A90=Inputs!$C$54,"Cuota + abono extra","Pago normal"))</f>
        <v/>
      </c>
      <c r="D90" s="205" t="str">
        <f t="shared" si="14"/>
        <v/>
      </c>
      <c r="E90" s="205" t="str">
        <f>IF(A90="","",D90*Inputs!$B$17)</f>
        <v/>
      </c>
      <c r="F90" s="205" t="str">
        <f>IF(A90="","",MIN(Inputs!$B$20,D90+E90))</f>
        <v/>
      </c>
      <c r="G90" s="205" t="str">
        <f t="shared" si="15"/>
        <v/>
      </c>
      <c r="H90" s="205">
        <f>IF(A90=Inputs!$C$54,MIN(Inputs!$C$53,D90-G90),0)</f>
        <v>0</v>
      </c>
      <c r="I90" s="205" t="str">
        <f t="shared" si="16"/>
        <v/>
      </c>
      <c r="J90" s="205" t="str">
        <f t="shared" si="17"/>
        <v/>
      </c>
      <c r="K90" s="163" t="str">
        <f t="shared" si="18"/>
        <v/>
      </c>
      <c r="L90" s="205" t="str">
        <f>IF($A90="","",Inputs!$B$28)</f>
        <v/>
      </c>
      <c r="M90" s="205" t="str">
        <f>IF($A90="","",Inputs!$B$29)</f>
        <v/>
      </c>
      <c r="N90" s="205" t="str">
        <f>IF($A90="","",Inputs!$B$30)</f>
        <v/>
      </c>
      <c r="O90" s="205" t="str">
        <f t="shared" si="20"/>
        <v/>
      </c>
      <c r="P90" s="205" t="str">
        <f t="shared" si="21"/>
        <v/>
      </c>
      <c r="Q90" s="205" t="str">
        <f>IF($B90="","",IF(OR($B91="",ROUNDUP(($A90+1)/Inputs!$B$14,0)&gt;$B90),SUMIF($B$4:$B90,$B90,L$4:L90),0))</f>
        <v/>
      </c>
      <c r="R90" s="205" t="str">
        <f>IF($B90="","",IF(OR($B91="",ROUNDUP(($A90+1)/Inputs!$B$14,0)&gt;$B90),SUMIF($B$4:$B90,$B90,M$4:M90),0))</f>
        <v/>
      </c>
      <c r="S90" s="205" t="str">
        <f>IF($B90="","",IF(OR($B91="",ROUNDUP(($A90+1)/Inputs!$B$14,0)&gt;$B90),SUMIF($B$4:$B90,$B90,N$4:N90),0))</f>
        <v/>
      </c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</row>
    <row r="91" spans="1:31" ht="18" customHeight="1">
      <c r="A91" s="157" t="str">
        <f t="shared" si="19"/>
        <v/>
      </c>
      <c r="B91" s="77" t="str">
        <f>IF(A91="","",ROUNDUP(A91/Inputs!$B$14,0))</f>
        <v/>
      </c>
      <c r="C91" s="160" t="str">
        <f>IF(A91="","",IF(A91=Inputs!$C$54,"Cuota + abono extra","Pago normal"))</f>
        <v/>
      </c>
      <c r="D91" s="205" t="str">
        <f t="shared" si="14"/>
        <v/>
      </c>
      <c r="E91" s="205" t="str">
        <f>IF(A91="","",D91*Inputs!$B$17)</f>
        <v/>
      </c>
      <c r="F91" s="205" t="str">
        <f>IF(A91="","",MIN(Inputs!$B$20,D91+E91))</f>
        <v/>
      </c>
      <c r="G91" s="205" t="str">
        <f t="shared" si="15"/>
        <v/>
      </c>
      <c r="H91" s="205">
        <f>IF(A91=Inputs!$C$54,MIN(Inputs!$C$53,D91-G91),0)</f>
        <v>0</v>
      </c>
      <c r="I91" s="205" t="str">
        <f t="shared" si="16"/>
        <v/>
      </c>
      <c r="J91" s="205" t="str">
        <f t="shared" si="17"/>
        <v/>
      </c>
      <c r="K91" s="163" t="str">
        <f t="shared" si="18"/>
        <v/>
      </c>
      <c r="L91" s="205" t="str">
        <f>IF($A91="","",Inputs!$B$28)</f>
        <v/>
      </c>
      <c r="M91" s="205" t="str">
        <f>IF($A91="","",Inputs!$B$29)</f>
        <v/>
      </c>
      <c r="N91" s="205" t="str">
        <f>IF($A91="","",Inputs!$B$30)</f>
        <v/>
      </c>
      <c r="O91" s="205" t="str">
        <f t="shared" si="20"/>
        <v/>
      </c>
      <c r="P91" s="205" t="str">
        <f t="shared" si="21"/>
        <v/>
      </c>
      <c r="Q91" s="205" t="str">
        <f>IF($B91="","",IF(OR($B92="",ROUNDUP(($A91+1)/Inputs!$B$14,0)&gt;$B91),SUMIF($B$4:$B91,$B91,L$4:L91),0))</f>
        <v/>
      </c>
      <c r="R91" s="205" t="str">
        <f>IF($B91="","",IF(OR($B92="",ROUNDUP(($A91+1)/Inputs!$B$14,0)&gt;$B91),SUMIF($B$4:$B91,$B91,M$4:M91),0))</f>
        <v/>
      </c>
      <c r="S91" s="205" t="str">
        <f>IF($B91="","",IF(OR($B92="",ROUNDUP(($A91+1)/Inputs!$B$14,0)&gt;$B91),SUMIF($B$4:$B91,$B91,N$4:N91),0))</f>
        <v/>
      </c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</row>
    <row r="92" spans="1:31" ht="18" customHeight="1">
      <c r="A92" s="157" t="str">
        <f t="shared" si="19"/>
        <v/>
      </c>
      <c r="B92" s="77" t="str">
        <f>IF(A92="","",ROUNDUP(A92/Inputs!$B$14,0))</f>
        <v/>
      </c>
      <c r="C92" s="160" t="str">
        <f>IF(A92="","",IF(A92=Inputs!$C$54,"Cuota + abono extra","Pago normal"))</f>
        <v/>
      </c>
      <c r="D92" s="205" t="str">
        <f t="shared" si="14"/>
        <v/>
      </c>
      <c r="E92" s="205" t="str">
        <f>IF(A92="","",D92*Inputs!$B$17)</f>
        <v/>
      </c>
      <c r="F92" s="205" t="str">
        <f>IF(A92="","",MIN(Inputs!$B$20,D92+E92))</f>
        <v/>
      </c>
      <c r="G92" s="205" t="str">
        <f t="shared" si="15"/>
        <v/>
      </c>
      <c r="H92" s="205">
        <f>IF(A92=Inputs!$C$54,MIN(Inputs!$C$53,D92-G92),0)</f>
        <v>0</v>
      </c>
      <c r="I92" s="205" t="str">
        <f t="shared" si="16"/>
        <v/>
      </c>
      <c r="J92" s="205" t="str">
        <f t="shared" si="17"/>
        <v/>
      </c>
      <c r="K92" s="163" t="str">
        <f t="shared" si="18"/>
        <v/>
      </c>
      <c r="L92" s="205" t="str">
        <f>IF($A92="","",Inputs!$B$28)</f>
        <v/>
      </c>
      <c r="M92" s="205" t="str">
        <f>IF($A92="","",Inputs!$B$29)</f>
        <v/>
      </c>
      <c r="N92" s="205" t="str">
        <f>IF($A92="","",Inputs!$B$30)</f>
        <v/>
      </c>
      <c r="O92" s="205" t="str">
        <f t="shared" si="20"/>
        <v/>
      </c>
      <c r="P92" s="205" t="str">
        <f t="shared" si="21"/>
        <v/>
      </c>
      <c r="Q92" s="205" t="str">
        <f>IF($B92="","",IF(OR($B93="",ROUNDUP(($A92+1)/Inputs!$B$14,0)&gt;$B92),SUMIF($B$4:$B92,$B92,L$4:L92),0))</f>
        <v/>
      </c>
      <c r="R92" s="205" t="str">
        <f>IF($B92="","",IF(OR($B93="",ROUNDUP(($A92+1)/Inputs!$B$14,0)&gt;$B92),SUMIF($B$4:$B92,$B92,M$4:M92),0))</f>
        <v/>
      </c>
      <c r="S92" s="205" t="str">
        <f>IF($B92="","",IF(OR($B93="",ROUNDUP(($A92+1)/Inputs!$B$14,0)&gt;$B92),SUMIF($B$4:$B92,$B92,N$4:N92),0))</f>
        <v/>
      </c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</row>
    <row r="93" spans="1:31" ht="18" customHeight="1">
      <c r="A93" s="157" t="str">
        <f t="shared" si="19"/>
        <v/>
      </c>
      <c r="B93" s="77" t="str">
        <f>IF(A93="","",ROUNDUP(A93/Inputs!$B$14,0))</f>
        <v/>
      </c>
      <c r="C93" s="160" t="str">
        <f>IF(A93="","",IF(A93=Inputs!$C$54,"Cuota + abono extra","Pago normal"))</f>
        <v/>
      </c>
      <c r="D93" s="205" t="str">
        <f t="shared" si="14"/>
        <v/>
      </c>
      <c r="E93" s="205" t="str">
        <f>IF(A93="","",D93*Inputs!$B$17)</f>
        <v/>
      </c>
      <c r="F93" s="205" t="str">
        <f>IF(A93="","",MIN(Inputs!$B$20,D93+E93))</f>
        <v/>
      </c>
      <c r="G93" s="205" t="str">
        <f t="shared" si="15"/>
        <v/>
      </c>
      <c r="H93" s="205">
        <f>IF(A93=Inputs!$C$54,MIN(Inputs!$C$53,D93-G93),0)</f>
        <v>0</v>
      </c>
      <c r="I93" s="205" t="str">
        <f t="shared" si="16"/>
        <v/>
      </c>
      <c r="J93" s="205" t="str">
        <f t="shared" si="17"/>
        <v/>
      </c>
      <c r="K93" s="163" t="str">
        <f t="shared" si="18"/>
        <v/>
      </c>
      <c r="L93" s="205" t="str">
        <f>IF($A93="","",Inputs!$B$28)</f>
        <v/>
      </c>
      <c r="M93" s="205" t="str">
        <f>IF($A93="","",Inputs!$B$29)</f>
        <v/>
      </c>
      <c r="N93" s="205" t="str">
        <f>IF($A93="","",Inputs!$B$30)</f>
        <v/>
      </c>
      <c r="O93" s="205" t="str">
        <f t="shared" si="20"/>
        <v/>
      </c>
      <c r="P93" s="205" t="str">
        <f t="shared" si="21"/>
        <v/>
      </c>
      <c r="Q93" s="205" t="str">
        <f>IF($B93="","",IF(OR($B94="",ROUNDUP(($A93+1)/Inputs!$B$14,0)&gt;$B93),SUMIF($B$4:$B93,$B93,L$4:L93),0))</f>
        <v/>
      </c>
      <c r="R93" s="205" t="str">
        <f>IF($B93="","",IF(OR($B94="",ROUNDUP(($A93+1)/Inputs!$B$14,0)&gt;$B93),SUMIF($B$4:$B93,$B93,M$4:M93),0))</f>
        <v/>
      </c>
      <c r="S93" s="205" t="str">
        <f>IF($B93="","",IF(OR($B94="",ROUNDUP(($A93+1)/Inputs!$B$14,0)&gt;$B93),SUMIF($B$4:$B93,$B93,N$4:N93),0))</f>
        <v/>
      </c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</row>
    <row r="94" spans="1:31" ht="18" customHeight="1">
      <c r="A94" s="157" t="str">
        <f t="shared" si="19"/>
        <v/>
      </c>
      <c r="B94" s="77" t="str">
        <f>IF(A94="","",ROUNDUP(A94/Inputs!$B$14,0))</f>
        <v/>
      </c>
      <c r="C94" s="160" t="str">
        <f>IF(A94="","",IF(A94=Inputs!$C$54,"Cuota + abono extra","Pago normal"))</f>
        <v/>
      </c>
      <c r="D94" s="205" t="str">
        <f t="shared" si="14"/>
        <v/>
      </c>
      <c r="E94" s="205" t="str">
        <f>IF(A94="","",D94*Inputs!$B$17)</f>
        <v/>
      </c>
      <c r="F94" s="205" t="str">
        <f>IF(A94="","",MIN(Inputs!$B$20,D94+E94))</f>
        <v/>
      </c>
      <c r="G94" s="205" t="str">
        <f t="shared" si="15"/>
        <v/>
      </c>
      <c r="H94" s="205">
        <f>IF(A94=Inputs!$C$54,MIN(Inputs!$C$53,D94-G94),0)</f>
        <v>0</v>
      </c>
      <c r="I94" s="205" t="str">
        <f t="shared" si="16"/>
        <v/>
      </c>
      <c r="J94" s="205" t="str">
        <f t="shared" si="17"/>
        <v/>
      </c>
      <c r="K94" s="163" t="str">
        <f t="shared" si="18"/>
        <v/>
      </c>
      <c r="L94" s="205" t="str">
        <f>IF($A94="","",Inputs!$B$28)</f>
        <v/>
      </c>
      <c r="M94" s="205" t="str">
        <f>IF($A94="","",Inputs!$B$29)</f>
        <v/>
      </c>
      <c r="N94" s="205" t="str">
        <f>IF($A94="","",Inputs!$B$30)</f>
        <v/>
      </c>
      <c r="O94" s="205" t="str">
        <f t="shared" si="20"/>
        <v/>
      </c>
      <c r="P94" s="205" t="str">
        <f t="shared" si="21"/>
        <v/>
      </c>
      <c r="Q94" s="205" t="str">
        <f>IF($B94="","",IF(OR($B95="",ROUNDUP(($A94+1)/Inputs!$B$14,0)&gt;$B94),SUMIF($B$4:$B94,$B94,L$4:L94),0))</f>
        <v/>
      </c>
      <c r="R94" s="205" t="str">
        <f>IF($B94="","",IF(OR($B95="",ROUNDUP(($A94+1)/Inputs!$B$14,0)&gt;$B94),SUMIF($B$4:$B94,$B94,M$4:M94),0))</f>
        <v/>
      </c>
      <c r="S94" s="205" t="str">
        <f>IF($B94="","",IF(OR($B95="",ROUNDUP(($A94+1)/Inputs!$B$14,0)&gt;$B94),SUMIF($B$4:$B94,$B94,N$4:N94),0))</f>
        <v/>
      </c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</row>
    <row r="95" spans="1:31" ht="18" customHeight="1">
      <c r="A95" s="157" t="str">
        <f t="shared" si="19"/>
        <v/>
      </c>
      <c r="B95" s="77" t="str">
        <f>IF(A95="","",ROUNDUP(A95/Inputs!$B$14,0))</f>
        <v/>
      </c>
      <c r="C95" s="160" t="str">
        <f>IF(A95="","",IF(A95=Inputs!$C$54,"Cuota + abono extra","Pago normal"))</f>
        <v/>
      </c>
      <c r="D95" s="205" t="str">
        <f t="shared" si="14"/>
        <v/>
      </c>
      <c r="E95" s="205" t="str">
        <f>IF(A95="","",D95*Inputs!$B$17)</f>
        <v/>
      </c>
      <c r="F95" s="205" t="str">
        <f>IF(A95="","",MIN(Inputs!$B$20,D95+E95))</f>
        <v/>
      </c>
      <c r="G95" s="205" t="str">
        <f t="shared" si="15"/>
        <v/>
      </c>
      <c r="H95" s="205">
        <f>IF(A95=Inputs!$C$54,MIN(Inputs!$C$53,D95-G95),0)</f>
        <v>0</v>
      </c>
      <c r="I95" s="205" t="str">
        <f t="shared" si="16"/>
        <v/>
      </c>
      <c r="J95" s="205" t="str">
        <f t="shared" si="17"/>
        <v/>
      </c>
      <c r="K95" s="163" t="str">
        <f t="shared" si="18"/>
        <v/>
      </c>
      <c r="L95" s="205" t="str">
        <f>IF($A95="","",Inputs!$B$28)</f>
        <v/>
      </c>
      <c r="M95" s="205" t="str">
        <f>IF($A95="","",Inputs!$B$29)</f>
        <v/>
      </c>
      <c r="N95" s="205" t="str">
        <f>IF($A95="","",Inputs!$B$30)</f>
        <v/>
      </c>
      <c r="O95" s="205" t="str">
        <f t="shared" si="20"/>
        <v/>
      </c>
      <c r="P95" s="205" t="str">
        <f t="shared" si="21"/>
        <v/>
      </c>
      <c r="Q95" s="205" t="str">
        <f>IF($B95="","",IF(OR($B96="",ROUNDUP(($A95+1)/Inputs!$B$14,0)&gt;$B95),SUMIF($B$4:$B95,$B95,L$4:L95),0))</f>
        <v/>
      </c>
      <c r="R95" s="205" t="str">
        <f>IF($B95="","",IF(OR($B96="",ROUNDUP(($A95+1)/Inputs!$B$14,0)&gt;$B95),SUMIF($B$4:$B95,$B95,M$4:M95),0))</f>
        <v/>
      </c>
      <c r="S95" s="205" t="str">
        <f>IF($B95="","",IF(OR($B96="",ROUNDUP(($A95+1)/Inputs!$B$14,0)&gt;$B95),SUMIF($B$4:$B95,$B95,N$4:N95),0))</f>
        <v/>
      </c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</row>
    <row r="96" spans="1:31" ht="18" customHeight="1">
      <c r="A96" s="157" t="str">
        <f t="shared" si="19"/>
        <v/>
      </c>
      <c r="B96" s="77" t="str">
        <f>IF(A96="","",ROUNDUP(A96/Inputs!$B$14,0))</f>
        <v/>
      </c>
      <c r="C96" s="160" t="str">
        <f>IF(A96="","",IF(A96=Inputs!$C$54,"Cuota + abono extra","Pago normal"))</f>
        <v/>
      </c>
      <c r="D96" s="205" t="str">
        <f t="shared" si="14"/>
        <v/>
      </c>
      <c r="E96" s="205" t="str">
        <f>IF(A96="","",D96*Inputs!$B$17)</f>
        <v/>
      </c>
      <c r="F96" s="205" t="str">
        <f>IF(A96="","",MIN(Inputs!$B$20,D96+E96))</f>
        <v/>
      </c>
      <c r="G96" s="205" t="str">
        <f t="shared" si="15"/>
        <v/>
      </c>
      <c r="H96" s="205">
        <f>IF(A96=Inputs!$C$54,MIN(Inputs!$C$53,D96-G96),0)</f>
        <v>0</v>
      </c>
      <c r="I96" s="205" t="str">
        <f t="shared" si="16"/>
        <v/>
      </c>
      <c r="J96" s="205" t="str">
        <f t="shared" si="17"/>
        <v/>
      </c>
      <c r="K96" s="163" t="str">
        <f t="shared" si="18"/>
        <v/>
      </c>
      <c r="L96" s="205" t="str">
        <f>IF($A96="","",Inputs!$B$28)</f>
        <v/>
      </c>
      <c r="M96" s="205" t="str">
        <f>IF($A96="","",Inputs!$B$29)</f>
        <v/>
      </c>
      <c r="N96" s="205" t="str">
        <f>IF($A96="","",Inputs!$B$30)</f>
        <v/>
      </c>
      <c r="O96" s="205" t="str">
        <f t="shared" si="20"/>
        <v/>
      </c>
      <c r="P96" s="205" t="str">
        <f t="shared" si="21"/>
        <v/>
      </c>
      <c r="Q96" s="205" t="str">
        <f>IF($B96="","",IF(OR($B97="",ROUNDUP(($A96+1)/Inputs!$B$14,0)&gt;$B96),SUMIF($B$4:$B96,$B96,L$4:L96),0))</f>
        <v/>
      </c>
      <c r="R96" s="205" t="str">
        <f>IF($B96="","",IF(OR($B97="",ROUNDUP(($A96+1)/Inputs!$B$14,0)&gt;$B96),SUMIF($B$4:$B96,$B96,M$4:M96),0))</f>
        <v/>
      </c>
      <c r="S96" s="205" t="str">
        <f>IF($B96="","",IF(OR($B97="",ROUNDUP(($A96+1)/Inputs!$B$14,0)&gt;$B96),SUMIF($B$4:$B96,$B96,N$4:N96),0))</f>
        <v/>
      </c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</row>
    <row r="97" spans="1:31" ht="18" customHeight="1">
      <c r="A97" s="157" t="str">
        <f t="shared" si="19"/>
        <v/>
      </c>
      <c r="B97" s="77" t="str">
        <f>IF(A97="","",ROUNDUP(A97/Inputs!$B$14,0))</f>
        <v/>
      </c>
      <c r="C97" s="160" t="str">
        <f>IF(A97="","",IF(A97=Inputs!$C$54,"Cuota + abono extra","Pago normal"))</f>
        <v/>
      </c>
      <c r="D97" s="205" t="str">
        <f t="shared" si="14"/>
        <v/>
      </c>
      <c r="E97" s="205" t="str">
        <f>IF(A97="","",D97*Inputs!$B$17)</f>
        <v/>
      </c>
      <c r="F97" s="205" t="str">
        <f>IF(A97="","",MIN(Inputs!$B$20,D97+E97))</f>
        <v/>
      </c>
      <c r="G97" s="205" t="str">
        <f t="shared" si="15"/>
        <v/>
      </c>
      <c r="H97" s="205">
        <f>IF(A97=Inputs!$C$54,MIN(Inputs!$C$53,D97-G97),0)</f>
        <v>0</v>
      </c>
      <c r="I97" s="205" t="str">
        <f t="shared" si="16"/>
        <v/>
      </c>
      <c r="J97" s="205" t="str">
        <f t="shared" si="17"/>
        <v/>
      </c>
      <c r="K97" s="163" t="str">
        <f t="shared" si="18"/>
        <v/>
      </c>
      <c r="L97" s="205" t="str">
        <f>IF($A97="","",Inputs!$B$28)</f>
        <v/>
      </c>
      <c r="M97" s="205" t="str">
        <f>IF($A97="","",Inputs!$B$29)</f>
        <v/>
      </c>
      <c r="N97" s="205" t="str">
        <f>IF($A97="","",Inputs!$B$30)</f>
        <v/>
      </c>
      <c r="O97" s="205" t="str">
        <f t="shared" si="20"/>
        <v/>
      </c>
      <c r="P97" s="205" t="str">
        <f t="shared" si="21"/>
        <v/>
      </c>
      <c r="Q97" s="205" t="str">
        <f>IF($B97="","",IF(OR($B98="",ROUNDUP(($A97+1)/Inputs!$B$14,0)&gt;$B97),SUMIF($B$4:$B97,$B97,L$4:L97),0))</f>
        <v/>
      </c>
      <c r="R97" s="205" t="str">
        <f>IF($B97="","",IF(OR($B98="",ROUNDUP(($A97+1)/Inputs!$B$14,0)&gt;$B97),SUMIF($B$4:$B97,$B97,M$4:M97),0))</f>
        <v/>
      </c>
      <c r="S97" s="205" t="str">
        <f>IF($B97="","",IF(OR($B98="",ROUNDUP(($A97+1)/Inputs!$B$14,0)&gt;$B97),SUMIF($B$4:$B97,$B97,N$4:N97),0))</f>
        <v/>
      </c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</row>
    <row r="98" spans="1:31" ht="18" customHeight="1">
      <c r="A98" s="157" t="str">
        <f t="shared" si="19"/>
        <v/>
      </c>
      <c r="B98" s="77" t="str">
        <f>IF(A98="","",ROUNDUP(A98/Inputs!$B$14,0))</f>
        <v/>
      </c>
      <c r="C98" s="160" t="str">
        <f>IF(A98="","",IF(A98=Inputs!$C$54,"Cuota + abono extra","Pago normal"))</f>
        <v/>
      </c>
      <c r="D98" s="205" t="str">
        <f t="shared" si="14"/>
        <v/>
      </c>
      <c r="E98" s="205" t="str">
        <f>IF(A98="","",D98*Inputs!$B$17)</f>
        <v/>
      </c>
      <c r="F98" s="205" t="str">
        <f>IF(A98="","",MIN(Inputs!$B$20,D98+E98))</f>
        <v/>
      </c>
      <c r="G98" s="205" t="str">
        <f t="shared" si="15"/>
        <v/>
      </c>
      <c r="H98" s="205">
        <f>IF(A98=Inputs!$C$54,MIN(Inputs!$C$53,D98-G98),0)</f>
        <v>0</v>
      </c>
      <c r="I98" s="205" t="str">
        <f t="shared" si="16"/>
        <v/>
      </c>
      <c r="J98" s="205" t="str">
        <f t="shared" si="17"/>
        <v/>
      </c>
      <c r="K98" s="163" t="str">
        <f t="shared" si="18"/>
        <v/>
      </c>
      <c r="L98" s="205" t="str">
        <f>IF($A98="","",Inputs!$B$28)</f>
        <v/>
      </c>
      <c r="M98" s="205" t="str">
        <f>IF($A98="","",Inputs!$B$29)</f>
        <v/>
      </c>
      <c r="N98" s="205" t="str">
        <f>IF($A98="","",Inputs!$B$30)</f>
        <v/>
      </c>
      <c r="O98" s="205" t="str">
        <f t="shared" si="20"/>
        <v/>
      </c>
      <c r="P98" s="205" t="str">
        <f t="shared" si="21"/>
        <v/>
      </c>
      <c r="Q98" s="205" t="str">
        <f>IF($B98="","",IF(OR($B99="",ROUNDUP(($A98+1)/Inputs!$B$14,0)&gt;$B98),SUMIF($B$4:$B98,$B98,L$4:L98),0))</f>
        <v/>
      </c>
      <c r="R98" s="205" t="str">
        <f>IF($B98="","",IF(OR($B99="",ROUNDUP(($A98+1)/Inputs!$B$14,0)&gt;$B98),SUMIF($B$4:$B98,$B98,M$4:M98),0))</f>
        <v/>
      </c>
      <c r="S98" s="205" t="str">
        <f>IF($B98="","",IF(OR($B99="",ROUNDUP(($A98+1)/Inputs!$B$14,0)&gt;$B98),SUMIF($B$4:$B98,$B98,N$4:N98),0))</f>
        <v/>
      </c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</row>
    <row r="99" spans="1:31" ht="18" customHeight="1">
      <c r="A99" s="157" t="str">
        <f t="shared" si="19"/>
        <v/>
      </c>
      <c r="B99" s="77" t="str">
        <f>IF(A99="","",ROUNDUP(A99/Inputs!$B$14,0))</f>
        <v/>
      </c>
      <c r="C99" s="160" t="str">
        <f>IF(A99="","",IF(A99=Inputs!$C$54,"Cuota + abono extra","Pago normal"))</f>
        <v/>
      </c>
      <c r="D99" s="205" t="str">
        <f t="shared" si="14"/>
        <v/>
      </c>
      <c r="E99" s="205" t="str">
        <f>IF(A99="","",D99*Inputs!$B$17)</f>
        <v/>
      </c>
      <c r="F99" s="205" t="str">
        <f>IF(A99="","",MIN(Inputs!$B$20,D99+E99))</f>
        <v/>
      </c>
      <c r="G99" s="205" t="str">
        <f t="shared" si="15"/>
        <v/>
      </c>
      <c r="H99" s="205">
        <f>IF(A99=Inputs!$C$54,MIN(Inputs!$C$53,D99-G99),0)</f>
        <v>0</v>
      </c>
      <c r="I99" s="205" t="str">
        <f t="shared" si="16"/>
        <v/>
      </c>
      <c r="J99" s="205" t="str">
        <f t="shared" si="17"/>
        <v/>
      </c>
      <c r="K99" s="163" t="str">
        <f t="shared" si="18"/>
        <v/>
      </c>
      <c r="L99" s="205" t="str">
        <f>IF($A99="","",Inputs!$B$28)</f>
        <v/>
      </c>
      <c r="M99" s="205" t="str">
        <f>IF($A99="","",Inputs!$B$29)</f>
        <v/>
      </c>
      <c r="N99" s="205" t="str">
        <f>IF($A99="","",Inputs!$B$30)</f>
        <v/>
      </c>
      <c r="O99" s="205" t="str">
        <f t="shared" si="20"/>
        <v/>
      </c>
      <c r="P99" s="205" t="str">
        <f t="shared" si="21"/>
        <v/>
      </c>
      <c r="Q99" s="205" t="str">
        <f>IF($B99="","",IF(OR($B100="",ROUNDUP(($A99+1)/Inputs!$B$14,0)&gt;$B99),SUMIF($B$4:$B99,$B99,L$4:L99),0))</f>
        <v/>
      </c>
      <c r="R99" s="205" t="str">
        <f>IF($B99="","",IF(OR($B100="",ROUNDUP(($A99+1)/Inputs!$B$14,0)&gt;$B99),SUMIF($B$4:$B99,$B99,M$4:M99),0))</f>
        <v/>
      </c>
      <c r="S99" s="205" t="str">
        <f>IF($B99="","",IF(OR($B100="",ROUNDUP(($A99+1)/Inputs!$B$14,0)&gt;$B99),SUMIF($B$4:$B99,$B99,N$4:N99),0))</f>
        <v/>
      </c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</row>
    <row r="100" spans="1:31" ht="18" customHeight="1">
      <c r="A100" s="157" t="str">
        <f t="shared" si="19"/>
        <v/>
      </c>
      <c r="B100" s="77" t="str">
        <f>IF(A100="","",ROUNDUP(A100/Inputs!$B$14,0))</f>
        <v/>
      </c>
      <c r="C100" s="160" t="str">
        <f>IF(A100="","",IF(A100=Inputs!$C$54,"Cuota + abono extra","Pago normal"))</f>
        <v/>
      </c>
      <c r="D100" s="205" t="str">
        <f t="shared" si="14"/>
        <v/>
      </c>
      <c r="E100" s="205" t="str">
        <f>IF(A100="","",D100*Inputs!$B$17)</f>
        <v/>
      </c>
      <c r="F100" s="205" t="str">
        <f>IF(A100="","",MIN(Inputs!$B$20,D100+E100))</f>
        <v/>
      </c>
      <c r="G100" s="205" t="str">
        <f t="shared" ref="G100:G103" si="22">IF(A100="","",MIN(D100,F100-E100))</f>
        <v/>
      </c>
      <c r="H100" s="205">
        <f>IF(A100=Inputs!$C$54,MIN(Inputs!$C$53,D100-G100),0)</f>
        <v>0</v>
      </c>
      <c r="I100" s="205" t="str">
        <f t="shared" ref="I100:I103" si="23">IF(A100="","",F100+H100)</f>
        <v/>
      </c>
      <c r="J100" s="205" t="str">
        <f t="shared" si="17"/>
        <v/>
      </c>
      <c r="K100" s="163" t="str">
        <f t="shared" ref="K100:K103" si="24">IF(A100="","",IF(J100&lt;=0.005,"Amortizado","Vigente"))</f>
        <v/>
      </c>
      <c r="L100" s="205" t="str">
        <f>IF($A100="","",Inputs!$B$28)</f>
        <v/>
      </c>
      <c r="M100" s="205" t="str">
        <f>IF($A100="","",Inputs!$B$29)</f>
        <v/>
      </c>
      <c r="N100" s="205" t="str">
        <f>IF($A100="","",Inputs!$B$30)</f>
        <v/>
      </c>
      <c r="O100" s="205" t="str">
        <f t="shared" si="20"/>
        <v/>
      </c>
      <c r="P100" s="205" t="str">
        <f t="shared" si="21"/>
        <v/>
      </c>
      <c r="Q100" s="205" t="str">
        <f>IF($B100="","",IF(OR($B101="",ROUNDUP(($A100+1)/Inputs!$B$14,0)&gt;$B100),SUMIF($B$4:$B100,$B100,L$4:L100),0))</f>
        <v/>
      </c>
      <c r="R100" s="205" t="str">
        <f>IF($B100="","",IF(OR($B101="",ROUNDUP(($A100+1)/Inputs!$B$14,0)&gt;$B100),SUMIF($B$4:$B100,$B100,M$4:M100),0))</f>
        <v/>
      </c>
      <c r="S100" s="205" t="str">
        <f>IF($B100="","",IF(OR($B101="",ROUNDUP(($A100+1)/Inputs!$B$14,0)&gt;$B100),SUMIF($B$4:$B100,$B100,N$4:N100),0))</f>
        <v/>
      </c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</row>
    <row r="101" spans="1:31" ht="18" customHeight="1">
      <c r="A101" s="157" t="str">
        <f t="shared" si="19"/>
        <v/>
      </c>
      <c r="B101" s="77" t="str">
        <f>IF(A101="","",ROUNDUP(A101/Inputs!$B$14,0))</f>
        <v/>
      </c>
      <c r="C101" s="160" t="str">
        <f>IF(A101="","",IF(A101=Inputs!$C$54,"Cuota + abono extra","Pago normal"))</f>
        <v/>
      </c>
      <c r="D101" s="205" t="str">
        <f t="shared" si="14"/>
        <v/>
      </c>
      <c r="E101" s="205" t="str">
        <f>IF(A101="","",D101*Inputs!$B$17)</f>
        <v/>
      </c>
      <c r="F101" s="205" t="str">
        <f>IF(A101="","",MIN(Inputs!$B$20,D101+E101))</f>
        <v/>
      </c>
      <c r="G101" s="205" t="str">
        <f t="shared" si="22"/>
        <v/>
      </c>
      <c r="H101" s="205">
        <f>IF(A101=Inputs!$C$54,MIN(Inputs!$C$53,D101-G101),0)</f>
        <v>0</v>
      </c>
      <c r="I101" s="205" t="str">
        <f t="shared" si="23"/>
        <v/>
      </c>
      <c r="J101" s="205" t="str">
        <f t="shared" si="17"/>
        <v/>
      </c>
      <c r="K101" s="163" t="str">
        <f t="shared" si="24"/>
        <v/>
      </c>
      <c r="L101" s="205" t="str">
        <f>IF($A101="","",Inputs!$B$28)</f>
        <v/>
      </c>
      <c r="M101" s="205" t="str">
        <f>IF($A101="","",Inputs!$B$29)</f>
        <v/>
      </c>
      <c r="N101" s="205" t="str">
        <f>IF($A101="","",Inputs!$B$30)</f>
        <v/>
      </c>
      <c r="O101" s="205" t="str">
        <f t="shared" si="20"/>
        <v/>
      </c>
      <c r="P101" s="205" t="str">
        <f t="shared" si="21"/>
        <v/>
      </c>
      <c r="Q101" s="205" t="str">
        <f>IF($B101="","",IF(OR($B102="",ROUNDUP(($A101+1)/Inputs!$B$14,0)&gt;$B101),SUMIF($B$4:$B101,$B101,L$4:L101),0))</f>
        <v/>
      </c>
      <c r="R101" s="205" t="str">
        <f>IF($B101="","",IF(OR($B102="",ROUNDUP(($A101+1)/Inputs!$B$14,0)&gt;$B101),SUMIF($B$4:$B101,$B101,M$4:M101),0))</f>
        <v/>
      </c>
      <c r="S101" s="205" t="str">
        <f>IF($B101="","",IF(OR($B102="",ROUNDUP(($A101+1)/Inputs!$B$14,0)&gt;$B101),SUMIF($B$4:$B101,$B101,N$4:N101),0))</f>
        <v/>
      </c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</row>
    <row r="102" spans="1:31" ht="18" customHeight="1">
      <c r="A102" s="157" t="str">
        <f t="shared" si="19"/>
        <v/>
      </c>
      <c r="B102" s="77" t="str">
        <f>IF(A102="","",ROUNDUP(A102/Inputs!$B$14,0))</f>
        <v/>
      </c>
      <c r="C102" s="160" t="str">
        <f>IF(A102="","",IF(A102=Inputs!$C$54,"Cuota + abono extra","Pago normal"))</f>
        <v/>
      </c>
      <c r="D102" s="205" t="str">
        <f t="shared" si="14"/>
        <v/>
      </c>
      <c r="E102" s="205" t="str">
        <f>IF(A102="","",D102*Inputs!$B$17)</f>
        <v/>
      </c>
      <c r="F102" s="205" t="str">
        <f>IF(A102="","",MIN(Inputs!$B$20,D102+E102))</f>
        <v/>
      </c>
      <c r="G102" s="205" t="str">
        <f t="shared" si="22"/>
        <v/>
      </c>
      <c r="H102" s="205">
        <f>IF(A102=Inputs!$C$54,MIN(Inputs!$C$53,D102-G102),0)</f>
        <v>0</v>
      </c>
      <c r="I102" s="205" t="str">
        <f t="shared" si="23"/>
        <v/>
      </c>
      <c r="J102" s="205" t="str">
        <f t="shared" si="17"/>
        <v/>
      </c>
      <c r="K102" s="163" t="str">
        <f t="shared" si="24"/>
        <v/>
      </c>
      <c r="L102" s="205" t="str">
        <f>IF($A102="","",Inputs!$B$28)</f>
        <v/>
      </c>
      <c r="M102" s="205" t="str">
        <f>IF($A102="","",Inputs!$B$29)</f>
        <v/>
      </c>
      <c r="N102" s="205" t="str">
        <f>IF($A102="","",Inputs!$B$30)</f>
        <v/>
      </c>
      <c r="O102" s="205" t="str">
        <f t="shared" si="20"/>
        <v/>
      </c>
      <c r="P102" s="205" t="str">
        <f t="shared" si="21"/>
        <v/>
      </c>
      <c r="Q102" s="205" t="str">
        <f>IF($B102="","",IF(OR($B103="",ROUNDUP(($A102+1)/Inputs!$B$14,0)&gt;$B102),SUMIF($B$4:$B102,$B102,L$4:L102),0))</f>
        <v/>
      </c>
      <c r="R102" s="205" t="str">
        <f>IF($B102="","",IF(OR($B103="",ROUNDUP(($A102+1)/Inputs!$B$14,0)&gt;$B102),SUMIF($B$4:$B102,$B102,M$4:M102),0))</f>
        <v/>
      </c>
      <c r="S102" s="205" t="str">
        <f>IF($B102="","",IF(OR($B103="",ROUNDUP(($A102+1)/Inputs!$B$14,0)&gt;$B102),SUMIF($B$4:$B102,$B102,N$4:N102),0))</f>
        <v/>
      </c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</row>
    <row r="103" spans="1:31" ht="18" customHeight="1">
      <c r="A103" s="158" t="str">
        <f t="shared" si="19"/>
        <v/>
      </c>
      <c r="B103" s="78" t="str">
        <f>IF(A103="","",ROUNDUP(A103/Inputs!$B$14,0))</f>
        <v/>
      </c>
      <c r="C103" s="161" t="str">
        <f>IF(A103="","",IF(A103=Inputs!$C$54,"Cuota + abono extra","Pago normal"))</f>
        <v/>
      </c>
      <c r="D103" s="206" t="str">
        <f t="shared" si="14"/>
        <v/>
      </c>
      <c r="E103" s="206" t="str">
        <f>IF(A103="","",D103*Inputs!$B$17)</f>
        <v/>
      </c>
      <c r="F103" s="206" t="str">
        <f>IF(A103="","",MIN(Inputs!$B$20,D103+E103))</f>
        <v/>
      </c>
      <c r="G103" s="206" t="str">
        <f t="shared" si="22"/>
        <v/>
      </c>
      <c r="H103" s="206">
        <f>IF(A103=Inputs!$C$54,MIN(Inputs!$C$53,D103-G103),0)</f>
        <v>0</v>
      </c>
      <c r="I103" s="206" t="str">
        <f t="shared" si="23"/>
        <v/>
      </c>
      <c r="J103" s="206" t="str">
        <f t="shared" si="17"/>
        <v/>
      </c>
      <c r="K103" s="164" t="str">
        <f t="shared" si="24"/>
        <v/>
      </c>
      <c r="L103" s="206" t="str">
        <f>IF($A103="","",Inputs!$B$28)</f>
        <v/>
      </c>
      <c r="M103" s="206" t="str">
        <f>IF($A103="","",Inputs!$B$29)</f>
        <v/>
      </c>
      <c r="N103" s="206" t="str">
        <f>IF($A103="","",Inputs!$B$30)</f>
        <v/>
      </c>
      <c r="O103" s="206" t="str">
        <f t="shared" si="20"/>
        <v/>
      </c>
      <c r="P103" s="206" t="str">
        <f t="shared" si="21"/>
        <v/>
      </c>
      <c r="Q103" s="206" t="str">
        <f>IF($B103="","",IF(OR($B104="",ROUNDUP(($A103+1)/Inputs!$B$14,0)&gt;$B103),SUMIF($B$4:$B103,$B103,L$4:L103),0))</f>
        <v/>
      </c>
      <c r="R103" s="206" t="str">
        <f>IF($B103="","",IF(OR($B104="",ROUNDUP(($A103+1)/Inputs!$B$14,0)&gt;$B103),SUMIF($B$4:$B103,$B103,M$4:M103),0))</f>
        <v/>
      </c>
      <c r="S103" s="206" t="str">
        <f>IF($B103="","",IF(OR($B104="",ROUNDUP(($A103+1)/Inputs!$B$14,0)&gt;$B103),SUMIF($B$4:$B103,$B103,N$4:N103),0))</f>
        <v/>
      </c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</row>
    <row r="104" spans="1:31" ht="18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</row>
    <row r="105" spans="1:31" ht="18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</row>
    <row r="106" spans="1:31" ht="18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</row>
    <row r="107" spans="1:31" ht="18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</row>
    <row r="108" spans="1:31" ht="18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</row>
  </sheetData>
  <conditionalFormatting sqref="A4:S103">
    <cfRule type="expression" dxfId="35" priority="1">
      <formula>AND($C4&lt;&gt;"",$C4&lt;&gt;"Pago normal")</formula>
    </cfRule>
    <cfRule type="expression" dxfId="34" priority="2">
      <formula>AND(ISNUMBER($A4),MOD($A4,2)=0)</formula>
    </cfRule>
  </conditionalFormatting>
  <conditionalFormatting sqref="K4:K103">
    <cfRule type="containsText" dxfId="33" priority="3" operator="containsText" text="mora">
      <formula>NOT(ISERROR(SEARCH("mora",K4)))</formula>
    </cfRule>
    <cfRule type="containsText" dxfId="32" priority="4" operator="containsText" text="Vigente">
      <formula>NOT(ISERROR(SEARCH("Vigente",K4)))</formula>
    </cfRule>
    <cfRule type="containsText" dxfId="31" priority="5" operator="containsText" text="Amortiz">
      <formula>NOT(ISERROR(SEARCH("Amortiz",K4)))</formula>
    </cfRule>
    <cfRule type="containsText" dxfId="30" priority="6" operator="containsText" text="Cerrado">
      <formula>NOT(ISERROR(SEARCH("Cerrado",K4)))</formula>
    </cfRule>
    <cfRule type="containsText" dxfId="29" priority="7" operator="containsText" text="Cancel">
      <formula>NOT(ISERROR(SEARCH("Cancel",K4)))</formula>
    </cfRule>
  </conditionalFormatting>
  <conditionalFormatting sqref="X13">
    <cfRule type="expression" dxfId="28" priority="8">
      <formula>ABS(X13)&lt;0.5</formula>
    </cfRule>
    <cfRule type="expression" dxfId="27" priority="9">
      <formula>ABS(X13)&gt;=0.5</formula>
    </cfRule>
  </conditionalFormatting>
  <hyperlinks>
    <hyperlink ref="U16" location="'Casos'!A1" tooltip="Abrir Casos" display="←  Volver a Casos" xr:uid="{5DF733E2-2BE7-4B74-A1A3-C3DE6ED991B3}"/>
    <hyperlink ref="U17" location="'Inputs'!A1" tooltip="Abrir Inputs" display="←  Ir a Inputs (parámetros)" xr:uid="{83D52E75-D23F-4352-8761-A1D74FEB530E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E94"/>
  <sheetViews>
    <sheetView showGridLines="0" topLeftCell="D1" workbookViewId="0">
      <pane ySplit="2" topLeftCell="A5" activePane="bottomLeft" state="frozen"/>
      <selection pane="bottomLeft" activeCell="E2" sqref="E2:H11"/>
    </sheetView>
  </sheetViews>
  <sheetFormatPr baseColWidth="10" defaultColWidth="8.796875" defaultRowHeight="15" customHeight="1"/>
  <cols>
    <col min="1" max="2" width="9.69921875" style="6" customWidth="1"/>
    <col min="3" max="3" width="25" style="6" customWidth="1"/>
    <col min="4" max="10" width="16.69921875" style="6" customWidth="1"/>
    <col min="11" max="19" width="20" style="6" customWidth="1"/>
    <col min="20" max="20" width="3" style="6" customWidth="1"/>
    <col min="21" max="21" width="38.296875" style="6" customWidth="1"/>
    <col min="22" max="23" width="20" style="6" customWidth="1"/>
    <col min="24" max="24" width="55" style="6" customWidth="1"/>
    <col min="25" max="31" width="10.69921875" style="6" customWidth="1"/>
    <col min="32" max="32" width="11.69921875" style="6" bestFit="1" customWidth="1"/>
    <col min="33" max="33" width="9" style="6" bestFit="1" customWidth="1"/>
    <col min="34" max="16384" width="8.796875" style="6"/>
  </cols>
  <sheetData>
    <row r="1" spans="1:31" ht="34.049999999999997" customHeight="1">
      <c r="A1" s="148" t="s">
        <v>344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8"/>
      <c r="U1" s="115" t="s">
        <v>336</v>
      </c>
      <c r="V1" s="23"/>
      <c r="W1" s="23"/>
      <c r="X1" s="23"/>
      <c r="Y1" s="18"/>
      <c r="Z1" s="18"/>
      <c r="AA1" s="18"/>
      <c r="AB1" s="18"/>
      <c r="AC1" s="18"/>
      <c r="AD1" s="18"/>
      <c r="AE1" s="18"/>
    </row>
    <row r="2" spans="1:31" ht="34.049999999999997" customHeight="1">
      <c r="A2" s="140" t="s">
        <v>76</v>
      </c>
      <c r="B2" s="141" t="s">
        <v>77</v>
      </c>
      <c r="C2" s="141" t="s">
        <v>78</v>
      </c>
      <c r="D2" s="141" t="s">
        <v>79</v>
      </c>
      <c r="E2" s="141" t="s">
        <v>111</v>
      </c>
      <c r="F2" s="141" t="s">
        <v>73</v>
      </c>
      <c r="G2" s="141" t="s">
        <v>139</v>
      </c>
      <c r="H2" s="141" t="s">
        <v>144</v>
      </c>
      <c r="I2" s="141" t="s">
        <v>148</v>
      </c>
      <c r="J2" s="141" t="s">
        <v>86</v>
      </c>
      <c r="K2" s="142" t="s">
        <v>90</v>
      </c>
      <c r="L2" s="141" t="s">
        <v>82</v>
      </c>
      <c r="M2" s="141" t="s">
        <v>83</v>
      </c>
      <c r="N2" s="141" t="s">
        <v>84</v>
      </c>
      <c r="O2" s="141" t="s">
        <v>9</v>
      </c>
      <c r="P2" s="141" t="s">
        <v>85</v>
      </c>
      <c r="Q2" s="141" t="s">
        <v>87</v>
      </c>
      <c r="R2" s="141" t="s">
        <v>88</v>
      </c>
      <c r="S2" s="141" t="s">
        <v>89</v>
      </c>
      <c r="T2" s="18"/>
      <c r="U2" s="110" t="s">
        <v>56</v>
      </c>
      <c r="V2" s="180">
        <f>Inputs!$C$57</f>
        <v>43</v>
      </c>
      <c r="W2" s="66"/>
      <c r="X2" s="66"/>
      <c r="Y2" s="18"/>
      <c r="Z2" s="18"/>
      <c r="AA2" s="18"/>
      <c r="AB2" s="18"/>
      <c r="AC2" s="18"/>
      <c r="AD2" s="18"/>
      <c r="AE2" s="18"/>
    </row>
    <row r="3" spans="1:31" ht="18" customHeight="1">
      <c r="A3" s="155">
        <v>0</v>
      </c>
      <c r="B3" s="156">
        <v>0</v>
      </c>
      <c r="C3" s="159" t="s">
        <v>92</v>
      </c>
      <c r="D3" s="153">
        <f>Inputs!$B$3</f>
        <v>5904400</v>
      </c>
      <c r="E3" s="153">
        <v>0</v>
      </c>
      <c r="F3" s="153">
        <v>0</v>
      </c>
      <c r="G3" s="153">
        <v>0</v>
      </c>
      <c r="H3" s="153">
        <v>0</v>
      </c>
      <c r="I3" s="153">
        <v>0</v>
      </c>
      <c r="J3" s="153">
        <f>D3</f>
        <v>5904400</v>
      </c>
      <c r="K3" s="162" t="s">
        <v>93</v>
      </c>
      <c r="L3" s="153">
        <v>0</v>
      </c>
      <c r="M3" s="153">
        <v>0</v>
      </c>
      <c r="N3" s="153">
        <v>0</v>
      </c>
      <c r="O3" s="153">
        <v>0</v>
      </c>
      <c r="P3" s="153">
        <v>0</v>
      </c>
      <c r="Q3" s="153">
        <v>0</v>
      </c>
      <c r="R3" s="153">
        <v>0</v>
      </c>
      <c r="S3" s="153">
        <v>0</v>
      </c>
      <c r="T3" s="18"/>
      <c r="U3" s="111" t="s">
        <v>144</v>
      </c>
      <c r="V3" s="167">
        <f>Inputs!$C$56</f>
        <v>2000000</v>
      </c>
      <c r="W3" s="146"/>
      <c r="X3" s="146"/>
      <c r="Y3" s="18"/>
      <c r="Z3" s="18"/>
      <c r="AA3" s="18"/>
      <c r="AB3" s="18"/>
      <c r="AC3" s="18"/>
      <c r="AD3" s="18"/>
      <c r="AE3" s="18"/>
    </row>
    <row r="4" spans="1:31" ht="18" customHeight="1">
      <c r="A4" s="157">
        <v>1</v>
      </c>
      <c r="B4" s="77">
        <f>ROUNDUP(A4/Inputs!$B$14,0)</f>
        <v>1</v>
      </c>
      <c r="C4" s="160" t="str">
        <f>IF(A4=Inputs!$C$57,"Cuota + abono extra",IF(A4=Inputs!$B$15,"Pago final","Pago normal"))</f>
        <v>Pago normal</v>
      </c>
      <c r="D4" s="149">
        <f t="shared" ref="D4:D35" si="0">J3</f>
        <v>5904400</v>
      </c>
      <c r="E4" s="149">
        <f>D4*Inputs!$B$17</f>
        <v>71698.876787700196</v>
      </c>
      <c r="F4" s="149">
        <f>IF(A4&lt;=Inputs!$C$57,MIN(Inputs!$B$20,D4+E4),IF(A4=Inputs!$C$57+1,PMT(Inputs!$B$17,Inputs!$B$15-Inputs!$C$57,-J3),F3))</f>
        <v>111014.82187676849</v>
      </c>
      <c r="G4" s="149">
        <f t="shared" ref="G4:G35" si="1">MIN(D4,F4-E4)</f>
        <v>39315.945089068293</v>
      </c>
      <c r="H4" s="149">
        <f>IF(A4=Inputs!$C$57,MIN(Inputs!$C$56,D4-G4),0)</f>
        <v>0</v>
      </c>
      <c r="I4" s="149">
        <f t="shared" ref="I4:I35" si="2">F4+H4</f>
        <v>111014.82187676849</v>
      </c>
      <c r="J4" s="149">
        <f t="shared" ref="J4:J35" si="3">MAX(0,D4-G4-H4)</f>
        <v>5865084.0549109317</v>
      </c>
      <c r="K4" s="163" t="str">
        <f t="shared" ref="K4:K35" si="4">IF(J4&lt;=0.005,"Amortizado","Vigente")</f>
        <v>Vigente</v>
      </c>
      <c r="L4" s="149">
        <f>Inputs!$B$28</f>
        <v>48643.172307692315</v>
      </c>
      <c r="M4" s="149">
        <f>Inputs!$B$29</f>
        <v>10984.615384615387</v>
      </c>
      <c r="N4" s="149">
        <f>Inputs!$B$30</f>
        <v>3406.3846153846157</v>
      </c>
      <c r="O4" s="149">
        <f>SUM(L4:N4)</f>
        <v>63034.172307692315</v>
      </c>
      <c r="P4" s="149">
        <f>I4+O4</f>
        <v>174048.99418446081</v>
      </c>
      <c r="Q4" s="149">
        <f>IF($B4="","",IF(OR($B5="",ROUNDUP(($A4+1)/Inputs!$B$14,0)&gt;$B4),SUMIF($B$4:$B4,$B4,L$4:L4),0))</f>
        <v>0</v>
      </c>
      <c r="R4" s="149">
        <f>IF($B4="","",IF(OR($B5="",ROUNDUP(($A4+1)/Inputs!$B$14,0)&gt;$B4),SUMIF($B$4:$B4,$B4,M$4:M4),0))</f>
        <v>0</v>
      </c>
      <c r="S4" s="149">
        <f>IF($B4="","",IF(OR($B5="",ROUNDUP(($A4+1)/Inputs!$B$14,0)&gt;$B4),SUMIF($B$4:$B4,$B4,N$4:N4),0))</f>
        <v>0</v>
      </c>
      <c r="T4" s="18"/>
      <c r="U4" s="111" t="s">
        <v>145</v>
      </c>
      <c r="V4" s="167">
        <f>INDEX(J4:J89,Inputs!$C$57)</f>
        <v>1701573.6220031078</v>
      </c>
      <c r="W4" s="146"/>
      <c r="X4" s="146"/>
      <c r="Y4" s="18"/>
      <c r="Z4" s="18"/>
      <c r="AA4" s="18"/>
      <c r="AB4" s="18"/>
      <c r="AC4" s="18"/>
      <c r="AD4" s="18"/>
      <c r="AE4" s="18"/>
    </row>
    <row r="5" spans="1:31" ht="18" customHeight="1">
      <c r="A5" s="157">
        <v>2</v>
      </c>
      <c r="B5" s="77">
        <f>ROUNDUP(A5/Inputs!$B$14,0)</f>
        <v>1</v>
      </c>
      <c r="C5" s="160" t="str">
        <f>IF(A5=Inputs!$C$57,"Cuota + abono extra",IF(A5=Inputs!$B$15,"Pago final","Pago normal"))</f>
        <v>Pago normal</v>
      </c>
      <c r="D5" s="149">
        <f t="shared" si="0"/>
        <v>5865084.0549109317</v>
      </c>
      <c r="E5" s="149">
        <f>D5*Inputs!$B$17</f>
        <v>71221.451629727657</v>
      </c>
      <c r="F5" s="149">
        <f>IF(A5&lt;=Inputs!$C$57,MIN(Inputs!$B$20,D5+E5),IF(A5=Inputs!$C$57+1,PMT(Inputs!$B$17,Inputs!$B$15-Inputs!$C$57,-J4),F4))</f>
        <v>111014.82187676849</v>
      </c>
      <c r="G5" s="149">
        <f t="shared" si="1"/>
        <v>39793.370247040832</v>
      </c>
      <c r="H5" s="149">
        <f>IF(A5=Inputs!$C$57,MIN(Inputs!$C$56,D5-G5),0)</f>
        <v>0</v>
      </c>
      <c r="I5" s="149">
        <f t="shared" si="2"/>
        <v>111014.82187676849</v>
      </c>
      <c r="J5" s="149">
        <f t="shared" si="3"/>
        <v>5825290.6846638909</v>
      </c>
      <c r="K5" s="163" t="str">
        <f t="shared" si="4"/>
        <v>Vigente</v>
      </c>
      <c r="L5" s="149">
        <f>Inputs!$B$28</f>
        <v>48643.172307692315</v>
      </c>
      <c r="M5" s="149">
        <f>Inputs!$B$29</f>
        <v>10984.615384615387</v>
      </c>
      <c r="N5" s="149">
        <f>Inputs!$B$30</f>
        <v>3406.3846153846157</v>
      </c>
      <c r="O5" s="149">
        <f t="shared" ref="O5:O68" si="5">SUM(L5:N5)</f>
        <v>63034.172307692315</v>
      </c>
      <c r="P5" s="149">
        <f t="shared" ref="P5:P68" si="6">I5+O5</f>
        <v>174048.99418446081</v>
      </c>
      <c r="Q5" s="149">
        <f>IF($B5="","",IF(OR($B6="",ROUNDUP(($A5+1)/Inputs!$B$14,0)&gt;$B5),SUMIF($B$4:$B5,$B5,L$4:L5),0))</f>
        <v>0</v>
      </c>
      <c r="R5" s="149">
        <f>IF($B5="","",IF(OR($B6="",ROUNDUP(($A5+1)/Inputs!$B$14,0)&gt;$B5),SUMIF($B$4:$B5,$B5,M$4:M5),0))</f>
        <v>0</v>
      </c>
      <c r="S5" s="149">
        <f>IF($B5="","",IF(OR($B6="",ROUNDUP(($A5+1)/Inputs!$B$14,0)&gt;$B5),SUMIF($B$4:$B5,$B5,N$4:N5),0))</f>
        <v>0</v>
      </c>
      <c r="T5" s="18"/>
      <c r="U5" s="111" t="s">
        <v>110</v>
      </c>
      <c r="V5" s="167">
        <f>INDEX(F4:F89,Inputs!$C$57+1)</f>
        <v>51032.320803782823</v>
      </c>
      <c r="W5" s="146"/>
      <c r="X5" s="146"/>
      <c r="Y5" s="18"/>
      <c r="Z5" s="18"/>
      <c r="AA5" s="18"/>
      <c r="AB5" s="18"/>
      <c r="AC5" s="18"/>
      <c r="AD5" s="18"/>
      <c r="AE5" s="18"/>
    </row>
    <row r="6" spans="1:31" ht="18" customHeight="1">
      <c r="A6" s="157">
        <v>3</v>
      </c>
      <c r="B6" s="77">
        <f>ROUNDUP(A6/Inputs!$B$14,0)</f>
        <v>1</v>
      </c>
      <c r="C6" s="160" t="str">
        <f>IF(A6=Inputs!$C$57,"Cuota + abono extra",IF(A6=Inputs!$B$15,"Pago final","Pago normal"))</f>
        <v>Pago normal</v>
      </c>
      <c r="D6" s="149">
        <f t="shared" si="0"/>
        <v>5825290.6846638909</v>
      </c>
      <c r="E6" s="149">
        <f>D6*Inputs!$B$17</f>
        <v>70738.228956753272</v>
      </c>
      <c r="F6" s="149">
        <f>IF(A6&lt;=Inputs!$C$57,MIN(Inputs!$B$20,D6+E6),IF(A6=Inputs!$C$57+1,PMT(Inputs!$B$17,Inputs!$B$15-Inputs!$C$57,-J5),F5))</f>
        <v>111014.82187676849</v>
      </c>
      <c r="G6" s="149">
        <f t="shared" si="1"/>
        <v>40276.592920015217</v>
      </c>
      <c r="H6" s="149">
        <f>IF(A6=Inputs!$C$57,MIN(Inputs!$C$56,D6-G6),0)</f>
        <v>0</v>
      </c>
      <c r="I6" s="149">
        <f t="shared" si="2"/>
        <v>111014.82187676849</v>
      </c>
      <c r="J6" s="149">
        <f t="shared" si="3"/>
        <v>5785014.0917438753</v>
      </c>
      <c r="K6" s="163" t="str">
        <f t="shared" si="4"/>
        <v>Vigente</v>
      </c>
      <c r="L6" s="149">
        <f>Inputs!$B$28</f>
        <v>48643.172307692315</v>
      </c>
      <c r="M6" s="149">
        <f>Inputs!$B$29</f>
        <v>10984.615384615387</v>
      </c>
      <c r="N6" s="149">
        <f>Inputs!$B$30</f>
        <v>3406.3846153846157</v>
      </c>
      <c r="O6" s="149">
        <f t="shared" si="5"/>
        <v>63034.172307692315</v>
      </c>
      <c r="P6" s="149">
        <f t="shared" si="6"/>
        <v>174048.99418446081</v>
      </c>
      <c r="Q6" s="149">
        <f>IF($B6="","",IF(OR($B7="",ROUNDUP(($A6+1)/Inputs!$B$14,0)&gt;$B6),SUMIF($B$4:$B6,$B6,L$4:L6),0))</f>
        <v>0</v>
      </c>
      <c r="R6" s="149">
        <f>IF($B6="","",IF(OR($B7="",ROUNDUP(($A6+1)/Inputs!$B$14,0)&gt;$B6),SUMIF($B$4:$B6,$B6,M$4:M6),0))</f>
        <v>0</v>
      </c>
      <c r="S6" s="149">
        <f>IF($B6="","",IF(OR($B7="",ROUNDUP(($A6+1)/Inputs!$B$14,0)&gt;$B6),SUMIF($B$4:$B6,$B6,N$4:N6),0))</f>
        <v>0</v>
      </c>
      <c r="T6" s="18"/>
      <c r="U6" s="111" t="s">
        <v>152</v>
      </c>
      <c r="V6" s="167">
        <f>Inputs!$B$20-INDEX(F4:F89,Inputs!$C$57+1)</f>
        <v>59982.501072985666</v>
      </c>
      <c r="W6" s="146"/>
      <c r="X6" s="146"/>
      <c r="Y6" s="18"/>
      <c r="Z6" s="18"/>
      <c r="AA6" s="18"/>
      <c r="AB6" s="18"/>
      <c r="AC6" s="18"/>
      <c r="AD6" s="18"/>
      <c r="AE6" s="18"/>
    </row>
    <row r="7" spans="1:31" ht="18" customHeight="1">
      <c r="A7" s="157">
        <v>4</v>
      </c>
      <c r="B7" s="77">
        <f>ROUNDUP(A7/Inputs!$B$14,0)</f>
        <v>1</v>
      </c>
      <c r="C7" s="160" t="str">
        <f>IF(A7=Inputs!$C$57,"Cuota + abono extra",IF(A7=Inputs!$B$15,"Pago final","Pago normal"))</f>
        <v>Pago normal</v>
      </c>
      <c r="D7" s="149">
        <f t="shared" si="0"/>
        <v>5785014.0917438753</v>
      </c>
      <c r="E7" s="149">
        <f>D7*Inputs!$B$17</f>
        <v>70249.138367836436</v>
      </c>
      <c r="F7" s="149">
        <f>IF(A7&lt;=Inputs!$C$57,MIN(Inputs!$B$20,D7+E7),IF(A7=Inputs!$C$57+1,PMT(Inputs!$B$17,Inputs!$B$15-Inputs!$C$57,-J6),F6))</f>
        <v>111014.82187676849</v>
      </c>
      <c r="G7" s="149">
        <f t="shared" si="1"/>
        <v>40765.683508932052</v>
      </c>
      <c r="H7" s="149">
        <f>IF(A7=Inputs!$C$57,MIN(Inputs!$C$56,D7-G7),0)</f>
        <v>0</v>
      </c>
      <c r="I7" s="149">
        <f t="shared" si="2"/>
        <v>111014.82187676849</v>
      </c>
      <c r="J7" s="149">
        <f t="shared" si="3"/>
        <v>5744248.4082349436</v>
      </c>
      <c r="K7" s="163" t="str">
        <f t="shared" si="4"/>
        <v>Vigente</v>
      </c>
      <c r="L7" s="149">
        <f>Inputs!$B$28</f>
        <v>48643.172307692315</v>
      </c>
      <c r="M7" s="149">
        <f>Inputs!$B$29</f>
        <v>10984.615384615387</v>
      </c>
      <c r="N7" s="149">
        <f>Inputs!$B$30</f>
        <v>3406.3846153846157</v>
      </c>
      <c r="O7" s="149">
        <f t="shared" si="5"/>
        <v>63034.172307692315</v>
      </c>
      <c r="P7" s="149">
        <f t="shared" si="6"/>
        <v>174048.99418446081</v>
      </c>
      <c r="Q7" s="149">
        <f>IF($B7="","",IF(OR($B8="",ROUNDUP(($A7+1)/Inputs!$B$14,0)&gt;$B7),SUMIF($B$4:$B7,$B7,L$4:L7),0))</f>
        <v>194572.68923076926</v>
      </c>
      <c r="R7" s="149">
        <f>IF($B7="","",IF(OR($B8="",ROUNDUP(($A7+1)/Inputs!$B$14,0)&gt;$B7),SUMIF($B$4:$B7,$B7,M$4:M7),0))</f>
        <v>43938.461538461546</v>
      </c>
      <c r="S7" s="149">
        <f>IF($B7="","",IF(OR($B8="",ROUNDUP(($A7+1)/Inputs!$B$14,0)&gt;$B7),SUMIF($B$4:$B7,$B7,N$4:N7),0))</f>
        <v>13625.538461538463</v>
      </c>
      <c r="T7" s="18"/>
      <c r="U7" s="111" t="s">
        <v>153</v>
      </c>
      <c r="V7" s="167">
        <f>MAX(A4:A89)</f>
        <v>86</v>
      </c>
      <c r="W7" s="66"/>
      <c r="X7" s="66"/>
      <c r="Y7" s="18"/>
      <c r="Z7" s="18"/>
      <c r="AA7" s="18"/>
      <c r="AB7" s="18"/>
      <c r="AC7" s="18"/>
      <c r="AD7" s="18"/>
      <c r="AE7" s="18"/>
    </row>
    <row r="8" spans="1:31" ht="18" customHeight="1">
      <c r="A8" s="157">
        <v>5</v>
      </c>
      <c r="B8" s="77">
        <f>ROUNDUP(A8/Inputs!$B$14,0)</f>
        <v>2</v>
      </c>
      <c r="C8" s="160" t="str">
        <f>IF(A8=Inputs!$C$57,"Cuota + abono extra",IF(A8=Inputs!$B$15,"Pago final","Pago normal"))</f>
        <v>Pago normal</v>
      </c>
      <c r="D8" s="149">
        <f t="shared" si="0"/>
        <v>5744248.4082349436</v>
      </c>
      <c r="E8" s="149">
        <f>D8*Inputs!$B$17</f>
        <v>69754.108607137081</v>
      </c>
      <c r="F8" s="149">
        <f>IF(A8&lt;=Inputs!$C$57,MIN(Inputs!$B$20,D8+E8),IF(A8=Inputs!$C$57+1,PMT(Inputs!$B$17,Inputs!$B$15-Inputs!$C$57,-J7),F7))</f>
        <v>111014.82187676849</v>
      </c>
      <c r="G8" s="149">
        <f t="shared" si="1"/>
        <v>41260.713269631407</v>
      </c>
      <c r="H8" s="149">
        <f>IF(A8=Inputs!$C$57,MIN(Inputs!$C$56,D8-G8),0)</f>
        <v>0</v>
      </c>
      <c r="I8" s="149">
        <f t="shared" si="2"/>
        <v>111014.82187676849</v>
      </c>
      <c r="J8" s="149">
        <f t="shared" si="3"/>
        <v>5702987.6949653123</v>
      </c>
      <c r="K8" s="163" t="str">
        <f t="shared" si="4"/>
        <v>Vigente</v>
      </c>
      <c r="L8" s="149">
        <f>Inputs!$B$28</f>
        <v>48643.172307692315</v>
      </c>
      <c r="M8" s="149">
        <f>Inputs!$B$29</f>
        <v>10984.615384615387</v>
      </c>
      <c r="N8" s="149">
        <f>Inputs!$B$30</f>
        <v>3406.3846153846157</v>
      </c>
      <c r="O8" s="149">
        <f t="shared" si="5"/>
        <v>63034.172307692315</v>
      </c>
      <c r="P8" s="149">
        <f t="shared" si="6"/>
        <v>174048.99418446081</v>
      </c>
      <c r="Q8" s="149">
        <f>IF($B8="","",IF(OR($B9="",ROUNDUP(($A8+1)/Inputs!$B$14,0)&gt;$B8),SUMIF($B$4:$B8,$B8,L$4:L8),0))</f>
        <v>0</v>
      </c>
      <c r="R8" s="149">
        <f>IF($B8="","",IF(OR($B9="",ROUNDUP(($A8+1)/Inputs!$B$14,0)&gt;$B8),SUMIF($B$4:$B8,$B8,M$4:M8),0))</f>
        <v>0</v>
      </c>
      <c r="S8" s="149">
        <f>IF($B8="","",IF(OR($B9="",ROUNDUP(($A8+1)/Inputs!$B$14,0)&gt;$B8),SUMIF($B$4:$B8,$B8,N$4:N8),0))</f>
        <v>0</v>
      </c>
      <c r="T8" s="18"/>
      <c r="U8" s="113" t="s">
        <v>86</v>
      </c>
      <c r="V8" s="168">
        <f>J89</f>
        <v>0</v>
      </c>
      <c r="W8" s="146"/>
      <c r="X8" s="146"/>
      <c r="Y8" s="18"/>
      <c r="Z8" s="18"/>
      <c r="AA8" s="18"/>
      <c r="AB8" s="18"/>
      <c r="AC8" s="18"/>
      <c r="AD8" s="18"/>
      <c r="AE8" s="18"/>
    </row>
    <row r="9" spans="1:31" ht="18" customHeight="1">
      <c r="A9" s="157">
        <v>6</v>
      </c>
      <c r="B9" s="77">
        <f>ROUNDUP(A9/Inputs!$B$14,0)</f>
        <v>2</v>
      </c>
      <c r="C9" s="160" t="str">
        <f>IF(A9=Inputs!$C$57,"Cuota + abono extra",IF(A9=Inputs!$B$15,"Pago final","Pago normal"))</f>
        <v>Pago normal</v>
      </c>
      <c r="D9" s="149">
        <f t="shared" si="0"/>
        <v>5702987.6949653123</v>
      </c>
      <c r="E9" s="149">
        <f>D9*Inputs!$B$17</f>
        <v>69253.067553534362</v>
      </c>
      <c r="F9" s="149">
        <f>IF(A9&lt;=Inputs!$C$57,MIN(Inputs!$B$20,D9+E9),IF(A9=Inputs!$C$57+1,PMT(Inputs!$B$17,Inputs!$B$15-Inputs!$C$57,-J8),F8))</f>
        <v>111014.82187676849</v>
      </c>
      <c r="G9" s="149">
        <f t="shared" si="1"/>
        <v>41761.754323234127</v>
      </c>
      <c r="H9" s="149">
        <f>IF(A9=Inputs!$C$57,MIN(Inputs!$C$56,D9-G9),0)</f>
        <v>0</v>
      </c>
      <c r="I9" s="149">
        <f t="shared" si="2"/>
        <v>111014.82187676849</v>
      </c>
      <c r="J9" s="149">
        <f t="shared" si="3"/>
        <v>5661225.9406420784</v>
      </c>
      <c r="K9" s="163" t="str">
        <f t="shared" si="4"/>
        <v>Vigente</v>
      </c>
      <c r="L9" s="149">
        <f>Inputs!$B$28</f>
        <v>48643.172307692315</v>
      </c>
      <c r="M9" s="149">
        <f>Inputs!$B$29</f>
        <v>10984.615384615387</v>
      </c>
      <c r="N9" s="149">
        <f>Inputs!$B$30</f>
        <v>3406.3846153846157</v>
      </c>
      <c r="O9" s="149">
        <f t="shared" si="5"/>
        <v>63034.172307692315</v>
      </c>
      <c r="P9" s="149">
        <f t="shared" si="6"/>
        <v>174048.99418446081</v>
      </c>
      <c r="Q9" s="149">
        <f>IF($B9="","",IF(OR($B10="",ROUNDUP(($A9+1)/Inputs!$B$14,0)&gt;$B9),SUMIF($B$4:$B9,$B9,L$4:L9),0))</f>
        <v>0</v>
      </c>
      <c r="R9" s="149">
        <f>IF($B9="","",IF(OR($B10="",ROUNDUP(($A9+1)/Inputs!$B$14,0)&gt;$B9),SUMIF($B$4:$B9,$B9,M$4:M9),0))</f>
        <v>0</v>
      </c>
      <c r="S9" s="149">
        <f>IF($B9="","",IF(OR($B10="",ROUNDUP(($A9+1)/Inputs!$B$14,0)&gt;$B9),SUMIF($B$4:$B9,$B9,N$4:N9),0))</f>
        <v>0</v>
      </c>
      <c r="T9" s="18"/>
      <c r="U9" s="18"/>
      <c r="V9" s="145"/>
      <c r="W9" s="146"/>
      <c r="X9" s="146"/>
      <c r="Y9" s="18"/>
      <c r="Z9" s="18"/>
      <c r="AA9" s="18"/>
      <c r="AB9" s="18"/>
      <c r="AC9" s="18"/>
      <c r="AD9" s="18"/>
      <c r="AE9" s="18"/>
    </row>
    <row r="10" spans="1:31" ht="18" customHeight="1">
      <c r="A10" s="157">
        <v>7</v>
      </c>
      <c r="B10" s="77">
        <f>ROUNDUP(A10/Inputs!$B$14,0)</f>
        <v>2</v>
      </c>
      <c r="C10" s="160" t="str">
        <f>IF(A10=Inputs!$C$57,"Cuota + abono extra",IF(A10=Inputs!$B$15,"Pago final","Pago normal"))</f>
        <v>Pago normal</v>
      </c>
      <c r="D10" s="149">
        <f t="shared" si="0"/>
        <v>5661225.9406420784</v>
      </c>
      <c r="E10" s="149">
        <f>D10*Inputs!$B$17</f>
        <v>68745.942210119319</v>
      </c>
      <c r="F10" s="149">
        <f>IF(A10&lt;=Inputs!$C$57,MIN(Inputs!$B$20,D10+E10),IF(A10=Inputs!$C$57+1,PMT(Inputs!$B$17,Inputs!$B$15-Inputs!$C$57,-J9),F9))</f>
        <v>111014.82187676849</v>
      </c>
      <c r="G10" s="149">
        <f t="shared" si="1"/>
        <v>42268.879666649169</v>
      </c>
      <c r="H10" s="149">
        <f>IF(A10=Inputs!$C$57,MIN(Inputs!$C$56,D10-G10),0)</f>
        <v>0</v>
      </c>
      <c r="I10" s="149">
        <f t="shared" si="2"/>
        <v>111014.82187676849</v>
      </c>
      <c r="J10" s="149">
        <f t="shared" si="3"/>
        <v>5618957.0609754296</v>
      </c>
      <c r="K10" s="163" t="str">
        <f t="shared" si="4"/>
        <v>Vigente</v>
      </c>
      <c r="L10" s="149">
        <f>Inputs!$B$28</f>
        <v>48643.172307692315</v>
      </c>
      <c r="M10" s="149">
        <f>Inputs!$B$29</f>
        <v>10984.615384615387</v>
      </c>
      <c r="N10" s="149">
        <f>Inputs!$B$30</f>
        <v>3406.3846153846157</v>
      </c>
      <c r="O10" s="149">
        <f t="shared" si="5"/>
        <v>63034.172307692315</v>
      </c>
      <c r="P10" s="149">
        <f t="shared" si="6"/>
        <v>174048.99418446081</v>
      </c>
      <c r="Q10" s="149">
        <f>IF($B10="","",IF(OR($B11="",ROUNDUP(($A10+1)/Inputs!$B$14,0)&gt;$B10),SUMIF($B$4:$B10,$B10,L$4:L10),0))</f>
        <v>0</v>
      </c>
      <c r="R10" s="149">
        <f>IF($B10="","",IF(OR($B11="",ROUNDUP(($A10+1)/Inputs!$B$14,0)&gt;$B10),SUMIF($B$4:$B10,$B10,M$4:M10),0))</f>
        <v>0</v>
      </c>
      <c r="S10" s="149">
        <f>IF($B10="","",IF(OR($B11="",ROUNDUP(($A10+1)/Inputs!$B$14,0)&gt;$B10),SUMIF($B$4:$B10,$B10,N$4:N10),0))</f>
        <v>0</v>
      </c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spans="1:31" ht="18" customHeight="1">
      <c r="A11" s="157">
        <v>8</v>
      </c>
      <c r="B11" s="77">
        <f>ROUNDUP(A11/Inputs!$B$14,0)</f>
        <v>2</v>
      </c>
      <c r="C11" s="160" t="str">
        <f>IF(A11=Inputs!$C$57,"Cuota + abono extra",IF(A11=Inputs!$B$15,"Pago final","Pago normal"))</f>
        <v>Pago normal</v>
      </c>
      <c r="D11" s="149">
        <f t="shared" si="0"/>
        <v>5618957.0609754296</v>
      </c>
      <c r="E11" s="149">
        <f>D11*Inputs!$B$17</f>
        <v>68232.658693559948</v>
      </c>
      <c r="F11" s="149">
        <f>IF(A11&lt;=Inputs!$C$57,MIN(Inputs!$B$20,D11+E11),IF(A11=Inputs!$C$57+1,PMT(Inputs!$B$17,Inputs!$B$15-Inputs!$C$57,-J10),F10))</f>
        <v>111014.82187676849</v>
      </c>
      <c r="G11" s="149">
        <f t="shared" si="1"/>
        <v>42782.16318320854</v>
      </c>
      <c r="H11" s="149">
        <f>IF(A11=Inputs!$C$57,MIN(Inputs!$C$56,D11-G11),0)</f>
        <v>0</v>
      </c>
      <c r="I11" s="149">
        <f t="shared" si="2"/>
        <v>111014.82187676849</v>
      </c>
      <c r="J11" s="149">
        <f t="shared" si="3"/>
        <v>5576174.897792221</v>
      </c>
      <c r="K11" s="163" t="str">
        <f t="shared" si="4"/>
        <v>Vigente</v>
      </c>
      <c r="L11" s="149">
        <f>Inputs!$B$28</f>
        <v>48643.172307692315</v>
      </c>
      <c r="M11" s="149">
        <f>Inputs!$B$29</f>
        <v>10984.615384615387</v>
      </c>
      <c r="N11" s="149">
        <f>Inputs!$B$30</f>
        <v>3406.3846153846157</v>
      </c>
      <c r="O11" s="149">
        <f t="shared" si="5"/>
        <v>63034.172307692315</v>
      </c>
      <c r="P11" s="149">
        <f t="shared" si="6"/>
        <v>174048.99418446081</v>
      </c>
      <c r="Q11" s="149">
        <f>IF($B11="","",IF(OR($B12="",ROUNDUP(($A11+1)/Inputs!$B$14,0)&gt;$B11),SUMIF($B$4:$B11,$B11,L$4:L11),0))</f>
        <v>194572.68923076926</v>
      </c>
      <c r="R11" s="149">
        <f>IF($B11="","",IF(OR($B12="",ROUNDUP(($A11+1)/Inputs!$B$14,0)&gt;$B11),SUMIF($B$4:$B11,$B11,M$4:M11),0))</f>
        <v>43938.461538461546</v>
      </c>
      <c r="S11" s="149">
        <f>IF($B11="","",IF(OR($B12="",ROUNDUP(($A11+1)/Inputs!$B$14,0)&gt;$B11),SUMIF($B$4:$B11,$B11,N$4:N11),0))</f>
        <v>13625.538461538463</v>
      </c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spans="1:31" ht="25.95" customHeight="1">
      <c r="A12" s="157">
        <v>9</v>
      </c>
      <c r="B12" s="77">
        <f>ROUNDUP(A12/Inputs!$B$14,0)</f>
        <v>3</v>
      </c>
      <c r="C12" s="160" t="str">
        <f>IF(A12=Inputs!$C$57,"Cuota + abono extra",IF(A12=Inputs!$B$15,"Pago final","Pago normal"))</f>
        <v>Pago normal</v>
      </c>
      <c r="D12" s="149">
        <f t="shared" si="0"/>
        <v>5576174.897792221</v>
      </c>
      <c r="E12" s="149">
        <f>D12*Inputs!$B$17</f>
        <v>67713.142223337039</v>
      </c>
      <c r="F12" s="149">
        <f>IF(A12&lt;=Inputs!$C$57,MIN(Inputs!$B$20,D12+E12),IF(A12=Inputs!$C$57+1,PMT(Inputs!$B$17,Inputs!$B$15-Inputs!$C$57,-J11),F11))</f>
        <v>111014.82187676849</v>
      </c>
      <c r="G12" s="149">
        <f t="shared" si="1"/>
        <v>43301.679653431449</v>
      </c>
      <c r="H12" s="149">
        <f>IF(A12=Inputs!$C$57,MIN(Inputs!$C$56,D12-G12),0)</f>
        <v>0</v>
      </c>
      <c r="I12" s="149">
        <f t="shared" si="2"/>
        <v>111014.82187676849</v>
      </c>
      <c r="J12" s="149">
        <f t="shared" si="3"/>
        <v>5532873.2181387898</v>
      </c>
      <c r="K12" s="163" t="str">
        <f t="shared" si="4"/>
        <v>Vigente</v>
      </c>
      <c r="L12" s="149">
        <f>Inputs!$B$28</f>
        <v>48643.172307692315</v>
      </c>
      <c r="M12" s="149">
        <f>Inputs!$B$29</f>
        <v>10984.615384615387</v>
      </c>
      <c r="N12" s="149">
        <f>Inputs!$B$30</f>
        <v>3406.3846153846157</v>
      </c>
      <c r="O12" s="149">
        <f t="shared" si="5"/>
        <v>63034.172307692315</v>
      </c>
      <c r="P12" s="149">
        <f t="shared" si="6"/>
        <v>174048.99418446081</v>
      </c>
      <c r="Q12" s="149">
        <f>IF($B12="","",IF(OR($B13="",ROUNDUP(($A12+1)/Inputs!$B$14,0)&gt;$B12),SUMIF($B$4:$B12,$B12,L$4:L12),0))</f>
        <v>0</v>
      </c>
      <c r="R12" s="149">
        <f>IF($B12="","",IF(OR($B13="",ROUNDUP(($A12+1)/Inputs!$B$14,0)&gt;$B12),SUMIF($B$4:$B12,$B12,M$4:M12),0))</f>
        <v>0</v>
      </c>
      <c r="S12" s="149">
        <f>IF($B12="","",IF(OR($B13="",ROUNDUP(($A12+1)/Inputs!$B$14,0)&gt;$B12),SUMIF($B$4:$B12,$B12,N$4:N12),0))</f>
        <v>0</v>
      </c>
      <c r="T12" s="18"/>
      <c r="U12" s="115" t="s">
        <v>95</v>
      </c>
      <c r="V12" s="23"/>
      <c r="W12" s="23"/>
      <c r="X12" s="23"/>
      <c r="Y12" s="18"/>
      <c r="Z12" s="18"/>
      <c r="AA12" s="18"/>
      <c r="AB12" s="18"/>
      <c r="AC12" s="18"/>
      <c r="AD12" s="18"/>
      <c r="AE12" s="18"/>
    </row>
    <row r="13" spans="1:31" ht="18" customHeight="1">
      <c r="A13" s="157">
        <v>10</v>
      </c>
      <c r="B13" s="77">
        <f>ROUNDUP(A13/Inputs!$B$14,0)</f>
        <v>3</v>
      </c>
      <c r="C13" s="160" t="str">
        <f>IF(A13=Inputs!$C$57,"Cuota + abono extra",IF(A13=Inputs!$B$15,"Pago final","Pago normal"))</f>
        <v>Pago normal</v>
      </c>
      <c r="D13" s="149">
        <f t="shared" si="0"/>
        <v>5532873.2181387898</v>
      </c>
      <c r="E13" s="149">
        <f>D13*Inputs!$B$17</f>
        <v>67187.317110849428</v>
      </c>
      <c r="F13" s="149">
        <f>IF(A13&lt;=Inputs!$C$57,MIN(Inputs!$B$20,D13+E13),IF(A13=Inputs!$C$57+1,PMT(Inputs!$B$17,Inputs!$B$15-Inputs!$C$57,-J12),F12))</f>
        <v>111014.82187676849</v>
      </c>
      <c r="G13" s="149">
        <f t="shared" si="1"/>
        <v>43827.50476591906</v>
      </c>
      <c r="H13" s="149">
        <f>IF(A13=Inputs!$C$57,MIN(Inputs!$C$56,D13-G13),0)</f>
        <v>0</v>
      </c>
      <c r="I13" s="149">
        <f t="shared" si="2"/>
        <v>111014.82187676849</v>
      </c>
      <c r="J13" s="149">
        <f t="shared" si="3"/>
        <v>5489045.7133728703</v>
      </c>
      <c r="K13" s="163" t="str">
        <f t="shared" si="4"/>
        <v>Vigente</v>
      </c>
      <c r="L13" s="149">
        <f>Inputs!$B$28</f>
        <v>48643.172307692315</v>
      </c>
      <c r="M13" s="149">
        <f>Inputs!$B$29</f>
        <v>10984.615384615387</v>
      </c>
      <c r="N13" s="149">
        <f>Inputs!$B$30</f>
        <v>3406.3846153846157</v>
      </c>
      <c r="O13" s="149">
        <f t="shared" si="5"/>
        <v>63034.172307692315</v>
      </c>
      <c r="P13" s="149">
        <f t="shared" si="6"/>
        <v>174048.99418446081</v>
      </c>
      <c r="Q13" s="149">
        <f>IF($B13="","",IF(OR($B14="",ROUNDUP(($A13+1)/Inputs!$B$14,0)&gt;$B13),SUMIF($B$4:$B13,$B13,L$4:L13),0))</f>
        <v>0</v>
      </c>
      <c r="R13" s="149">
        <f>IF($B13="","",IF(OR($B14="",ROUNDUP(($A13+1)/Inputs!$B$14,0)&gt;$B13),SUMIF($B$4:$B13,$B13,M$4:M13),0))</f>
        <v>0</v>
      </c>
      <c r="S13" s="149">
        <f>IF($B13="","",IF(OR($B14="",ROUNDUP(($A13+1)/Inputs!$B$14,0)&gt;$B13),SUMIF($B$4:$B13,$B13,N$4:N13),0))</f>
        <v>0</v>
      </c>
      <c r="T13" s="18"/>
      <c r="U13" s="122" t="s">
        <v>96</v>
      </c>
      <c r="V13" s="122" t="s">
        <v>97</v>
      </c>
      <c r="W13" s="122" t="s">
        <v>98</v>
      </c>
      <c r="X13" s="122" t="s">
        <v>99</v>
      </c>
      <c r="Y13" s="18"/>
      <c r="Z13" s="18"/>
      <c r="AA13" s="18"/>
      <c r="AB13" s="18"/>
      <c r="AC13" s="18"/>
      <c r="AD13" s="18"/>
      <c r="AE13" s="18"/>
    </row>
    <row r="14" spans="1:31" ht="18" customHeight="1">
      <c r="A14" s="157">
        <v>11</v>
      </c>
      <c r="B14" s="77">
        <f>ROUNDUP(A14/Inputs!$B$14,0)</f>
        <v>3</v>
      </c>
      <c r="C14" s="160" t="str">
        <f>IF(A14=Inputs!$C$57,"Cuota + abono extra",IF(A14=Inputs!$B$15,"Pago final","Pago normal"))</f>
        <v>Pago normal</v>
      </c>
      <c r="D14" s="149">
        <f t="shared" si="0"/>
        <v>5489045.7133728703</v>
      </c>
      <c r="E14" s="149">
        <f>D14*Inputs!$B$17</f>
        <v>66655.106748386854</v>
      </c>
      <c r="F14" s="149">
        <f>IF(A14&lt;=Inputs!$C$57,MIN(Inputs!$B$20,D14+E14),IF(A14=Inputs!$C$57+1,PMT(Inputs!$B$17,Inputs!$B$15-Inputs!$C$57,-J13),F13))</f>
        <v>111014.82187676849</v>
      </c>
      <c r="G14" s="149">
        <f t="shared" si="1"/>
        <v>44359.715128381635</v>
      </c>
      <c r="H14" s="149">
        <f>IF(A14=Inputs!$C$57,MIN(Inputs!$C$56,D14-G14),0)</f>
        <v>0</v>
      </c>
      <c r="I14" s="149">
        <f t="shared" si="2"/>
        <v>111014.82187676849</v>
      </c>
      <c r="J14" s="149">
        <f t="shared" si="3"/>
        <v>5444685.9982444886</v>
      </c>
      <c r="K14" s="163" t="str">
        <f t="shared" si="4"/>
        <v>Vigente</v>
      </c>
      <c r="L14" s="149">
        <f>Inputs!$B$28</f>
        <v>48643.172307692315</v>
      </c>
      <c r="M14" s="149">
        <f>Inputs!$B$29</f>
        <v>10984.615384615387</v>
      </c>
      <c r="N14" s="149">
        <f>Inputs!$B$30</f>
        <v>3406.3846153846157</v>
      </c>
      <c r="O14" s="149">
        <f t="shared" si="5"/>
        <v>63034.172307692315</v>
      </c>
      <c r="P14" s="149">
        <f t="shared" si="6"/>
        <v>174048.99418446081</v>
      </c>
      <c r="Q14" s="149">
        <f>IF($B14="","",IF(OR($B15="",ROUNDUP(($A14+1)/Inputs!$B$14,0)&gt;$B14),SUMIF($B$4:$B14,$B14,L$4:L14),0))</f>
        <v>0</v>
      </c>
      <c r="R14" s="149">
        <f>IF($B14="","",IF(OR($B15="",ROUNDUP(($A14+1)/Inputs!$B$14,0)&gt;$B14),SUMIF($B$4:$B14,$B14,M$4:M14),0))</f>
        <v>0</v>
      </c>
      <c r="S14" s="149">
        <f>IF($B14="","",IF(OR($B15="",ROUNDUP(($A14+1)/Inputs!$B$14,0)&gt;$B14),SUMIF($B$4:$B14,$B14,N$4:N14),0))</f>
        <v>0</v>
      </c>
      <c r="T14" s="18"/>
      <c r="U14" s="110" t="s">
        <v>100</v>
      </c>
      <c r="V14" s="169">
        <f>Inputs!$C$56</f>
        <v>2000000</v>
      </c>
      <c r="W14" s="169"/>
      <c r="X14" s="171" t="s">
        <v>150</v>
      </c>
      <c r="Y14" s="18"/>
      <c r="Z14" s="18"/>
      <c r="AA14" s="18"/>
      <c r="AB14" s="18"/>
      <c r="AC14" s="18"/>
      <c r="AD14" s="18"/>
      <c r="AE14" s="18"/>
    </row>
    <row r="15" spans="1:31" ht="18" customHeight="1">
      <c r="A15" s="157">
        <v>12</v>
      </c>
      <c r="B15" s="77">
        <f>ROUNDUP(A15/Inputs!$B$14,0)</f>
        <v>3</v>
      </c>
      <c r="C15" s="160" t="str">
        <f>IF(A15=Inputs!$C$57,"Cuota + abono extra",IF(A15=Inputs!$B$15,"Pago final","Pago normal"))</f>
        <v>Pago normal</v>
      </c>
      <c r="D15" s="149">
        <f t="shared" si="0"/>
        <v>5444685.9982444886</v>
      </c>
      <c r="E15" s="149">
        <f>D15*Inputs!$B$17</f>
        <v>66116.433597968979</v>
      </c>
      <c r="F15" s="149">
        <f>IF(A15&lt;=Inputs!$C$57,MIN(Inputs!$B$20,D15+E15),IF(A15=Inputs!$C$57+1,PMT(Inputs!$B$17,Inputs!$B$15-Inputs!$C$57,-J14),F14))</f>
        <v>111014.82187676849</v>
      </c>
      <c r="G15" s="149">
        <f t="shared" si="1"/>
        <v>44898.38827879951</v>
      </c>
      <c r="H15" s="149">
        <f>IF(A15=Inputs!$C$57,MIN(Inputs!$C$56,D15-G15),0)</f>
        <v>0</v>
      </c>
      <c r="I15" s="149">
        <f t="shared" si="2"/>
        <v>111014.82187676849</v>
      </c>
      <c r="J15" s="149">
        <f t="shared" si="3"/>
        <v>5399787.6099656895</v>
      </c>
      <c r="K15" s="163" t="str">
        <f t="shared" si="4"/>
        <v>Vigente</v>
      </c>
      <c r="L15" s="149">
        <f>Inputs!$B$28</f>
        <v>48643.172307692315</v>
      </c>
      <c r="M15" s="149">
        <f>Inputs!$B$29</f>
        <v>10984.615384615387</v>
      </c>
      <c r="N15" s="149">
        <f>Inputs!$B$30</f>
        <v>3406.3846153846157</v>
      </c>
      <c r="O15" s="149">
        <f t="shared" si="5"/>
        <v>63034.172307692315</v>
      </c>
      <c r="P15" s="149">
        <f t="shared" si="6"/>
        <v>174048.99418446081</v>
      </c>
      <c r="Q15" s="149">
        <f>IF($B15="","",IF(OR($B16="",ROUNDUP(($A15+1)/Inputs!$B$14,0)&gt;$B15),SUMIF($B$4:$B15,$B15,L$4:L15),0))</f>
        <v>0</v>
      </c>
      <c r="R15" s="149">
        <f>IF($B15="","",IF(OR($B16="",ROUNDUP(($A15+1)/Inputs!$B$14,0)&gt;$B15),SUMIF($B$4:$B15,$B15,M$4:M15),0))</f>
        <v>0</v>
      </c>
      <c r="S15" s="149">
        <f>IF($B15="","",IF(OR($B16="",ROUNDUP(($A15+1)/Inputs!$B$14,0)&gt;$B15),SUMIF($B$4:$B15,$B15,N$4:N15),0))</f>
        <v>0</v>
      </c>
      <c r="T15" s="18"/>
      <c r="U15" s="173" t="s">
        <v>104</v>
      </c>
      <c r="V15" s="174"/>
      <c r="W15" s="174">
        <f>Inputs!$C$56</f>
        <v>2000000</v>
      </c>
      <c r="X15" s="175" t="s">
        <v>151</v>
      </c>
      <c r="Y15" s="18"/>
      <c r="Z15" s="18"/>
      <c r="AA15" s="18"/>
      <c r="AB15" s="18"/>
      <c r="AC15" s="18"/>
      <c r="AD15" s="18"/>
      <c r="AE15" s="18"/>
    </row>
    <row r="16" spans="1:31" ht="18" customHeight="1">
      <c r="A16" s="157">
        <v>13</v>
      </c>
      <c r="B16" s="77">
        <f>ROUNDUP(A16/Inputs!$B$14,0)</f>
        <v>3</v>
      </c>
      <c r="C16" s="160" t="str">
        <f>IF(A16=Inputs!$C$57,"Cuota + abono extra",IF(A16=Inputs!$B$15,"Pago final","Pago normal"))</f>
        <v>Pago normal</v>
      </c>
      <c r="D16" s="149">
        <f t="shared" si="0"/>
        <v>5399787.6099656895</v>
      </c>
      <c r="E16" s="149">
        <f>D16*Inputs!$B$17</f>
        <v>65571.219180048793</v>
      </c>
      <c r="F16" s="149">
        <f>IF(A16&lt;=Inputs!$C$57,MIN(Inputs!$B$20,D16+E16),IF(A16=Inputs!$C$57+1,PMT(Inputs!$B$17,Inputs!$B$15-Inputs!$C$57,-J15),F15))</f>
        <v>111014.82187676849</v>
      </c>
      <c r="G16" s="149">
        <f t="shared" si="1"/>
        <v>45443.602696719696</v>
      </c>
      <c r="H16" s="149">
        <f>IF(A16=Inputs!$C$57,MIN(Inputs!$C$56,D16-G16),0)</f>
        <v>0</v>
      </c>
      <c r="I16" s="149">
        <f t="shared" si="2"/>
        <v>111014.82187676849</v>
      </c>
      <c r="J16" s="149">
        <f t="shared" si="3"/>
        <v>5354344.0072689699</v>
      </c>
      <c r="K16" s="163" t="str">
        <f t="shared" si="4"/>
        <v>Vigente</v>
      </c>
      <c r="L16" s="149">
        <f>Inputs!$B$28</f>
        <v>48643.172307692315</v>
      </c>
      <c r="M16" s="149">
        <f>Inputs!$B$29</f>
        <v>10984.615384615387</v>
      </c>
      <c r="N16" s="149">
        <f>Inputs!$B$30</f>
        <v>3406.3846153846157</v>
      </c>
      <c r="O16" s="149">
        <f t="shared" si="5"/>
        <v>63034.172307692315</v>
      </c>
      <c r="P16" s="149">
        <f t="shared" si="6"/>
        <v>174048.99418446081</v>
      </c>
      <c r="Q16" s="149">
        <f>IF($B16="","",IF(OR($B17="",ROUNDUP(($A16+1)/Inputs!$B$14,0)&gt;$B16),SUMIF($B$4:$B16,$B16,L$4:L16),0))</f>
        <v>243215.86153846158</v>
      </c>
      <c r="R16" s="149">
        <f>IF($B16="","",IF(OR($B17="",ROUNDUP(($A16+1)/Inputs!$B$14,0)&gt;$B16),SUMIF($B$4:$B16,$B16,M$4:M16),0))</f>
        <v>54923.076923076937</v>
      </c>
      <c r="S16" s="149">
        <f>IF($B16="","",IF(OR($B17="",ROUNDUP(($A16+1)/Inputs!$B$14,0)&gt;$B16),SUMIF($B$4:$B16,$B16,N$4:N16),0))</f>
        <v>17031.923076923078</v>
      </c>
      <c r="T16" s="18"/>
      <c r="U16" s="176" t="s">
        <v>108</v>
      </c>
      <c r="V16" s="177">
        <f>SUM(V14:V15)</f>
        <v>2000000</v>
      </c>
      <c r="W16" s="177">
        <f>SUM(W14:W15)</f>
        <v>2000000</v>
      </c>
      <c r="X16" s="178">
        <f>V16-W16</f>
        <v>0</v>
      </c>
      <c r="Y16" s="18"/>
      <c r="Z16" s="18"/>
      <c r="AA16" s="18"/>
      <c r="AB16" s="204"/>
      <c r="AC16" s="18"/>
      <c r="AD16" s="18"/>
      <c r="AE16" s="18"/>
    </row>
    <row r="17" spans="1:31" ht="18" customHeight="1">
      <c r="A17" s="157">
        <v>14</v>
      </c>
      <c r="B17" s="77">
        <f>ROUNDUP(A17/Inputs!$B$14,0)</f>
        <v>4</v>
      </c>
      <c r="C17" s="160" t="str">
        <f>IF(A17=Inputs!$C$57,"Cuota + abono extra",IF(A17=Inputs!$B$15,"Pago final","Pago normal"))</f>
        <v>Pago normal</v>
      </c>
      <c r="D17" s="149">
        <f t="shared" si="0"/>
        <v>5354344.0072689699</v>
      </c>
      <c r="E17" s="149">
        <f>D17*Inputs!$B$17</f>
        <v>65019.384062078927</v>
      </c>
      <c r="F17" s="149">
        <f>IF(A17&lt;=Inputs!$C$57,MIN(Inputs!$B$20,D17+E17),IF(A17=Inputs!$C$57+1,PMT(Inputs!$B$17,Inputs!$B$15-Inputs!$C$57,-J16),F16))</f>
        <v>111014.82187676849</v>
      </c>
      <c r="G17" s="149">
        <f t="shared" si="1"/>
        <v>45995.437814689561</v>
      </c>
      <c r="H17" s="149">
        <f>IF(A17=Inputs!$C$57,MIN(Inputs!$C$56,D17-G17),0)</f>
        <v>0</v>
      </c>
      <c r="I17" s="149">
        <f t="shared" si="2"/>
        <v>111014.82187676849</v>
      </c>
      <c r="J17" s="149">
        <f t="shared" si="3"/>
        <v>5308348.5694542807</v>
      </c>
      <c r="K17" s="163" t="str">
        <f t="shared" si="4"/>
        <v>Vigente</v>
      </c>
      <c r="L17" s="149">
        <f>Inputs!$B$28</f>
        <v>48643.172307692315</v>
      </c>
      <c r="M17" s="149">
        <f>Inputs!$B$29</f>
        <v>10984.615384615387</v>
      </c>
      <c r="N17" s="149">
        <f>Inputs!$B$30</f>
        <v>3406.3846153846157</v>
      </c>
      <c r="O17" s="149">
        <f t="shared" si="5"/>
        <v>63034.172307692315</v>
      </c>
      <c r="P17" s="149">
        <f t="shared" si="6"/>
        <v>174048.99418446081</v>
      </c>
      <c r="Q17" s="149">
        <f>IF($B17="","",IF(OR($B18="",ROUNDUP(($A17+1)/Inputs!$B$14,0)&gt;$B17),SUMIF($B$4:$B17,$B17,L$4:L17),0))</f>
        <v>0</v>
      </c>
      <c r="R17" s="149">
        <f>IF($B17="","",IF(OR($B18="",ROUNDUP(($A17+1)/Inputs!$B$14,0)&gt;$B17),SUMIF($B$4:$B17,$B17,M$4:M17),0))</f>
        <v>0</v>
      </c>
      <c r="S17" s="149">
        <f>IF($B17="","",IF(OR($B18="",ROUNDUP(($A17+1)/Inputs!$B$14,0)&gt;$B17),SUMIF($B$4:$B17,$B17,N$4:N17),0))</f>
        <v>0</v>
      </c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spans="1:31" ht="18" customHeight="1">
      <c r="A18" s="157">
        <v>15</v>
      </c>
      <c r="B18" s="77">
        <f>ROUNDUP(A18/Inputs!$B$14,0)</f>
        <v>4</v>
      </c>
      <c r="C18" s="160" t="str">
        <f>IF(A18=Inputs!$C$57,"Cuota + abono extra",IF(A18=Inputs!$B$15,"Pago final","Pago normal"))</f>
        <v>Pago normal</v>
      </c>
      <c r="D18" s="149">
        <f t="shared" si="0"/>
        <v>5308348.5694542807</v>
      </c>
      <c r="E18" s="149">
        <f>D18*Inputs!$B$17</f>
        <v>64460.847846939076</v>
      </c>
      <c r="F18" s="149">
        <f>IF(A18&lt;=Inputs!$C$57,MIN(Inputs!$B$20,D18+E18),IF(A18=Inputs!$C$57+1,PMT(Inputs!$B$17,Inputs!$B$15-Inputs!$C$57,-J17),F17))</f>
        <v>111014.82187676849</v>
      </c>
      <c r="G18" s="149">
        <f t="shared" si="1"/>
        <v>46553.974029829413</v>
      </c>
      <c r="H18" s="149">
        <f>IF(A18=Inputs!$C$57,MIN(Inputs!$C$56,D18-G18),0)</f>
        <v>0</v>
      </c>
      <c r="I18" s="149">
        <f t="shared" si="2"/>
        <v>111014.82187676849</v>
      </c>
      <c r="J18" s="149">
        <f t="shared" si="3"/>
        <v>5261794.5954244509</v>
      </c>
      <c r="K18" s="163" t="str">
        <f t="shared" si="4"/>
        <v>Vigente</v>
      </c>
      <c r="L18" s="149">
        <f>Inputs!$B$28</f>
        <v>48643.172307692315</v>
      </c>
      <c r="M18" s="149">
        <f>Inputs!$B$29</f>
        <v>10984.615384615387</v>
      </c>
      <c r="N18" s="149">
        <f>Inputs!$B$30</f>
        <v>3406.3846153846157</v>
      </c>
      <c r="O18" s="149">
        <f t="shared" si="5"/>
        <v>63034.172307692315</v>
      </c>
      <c r="P18" s="149">
        <f t="shared" si="6"/>
        <v>174048.99418446081</v>
      </c>
      <c r="Q18" s="149">
        <f>IF($B18="","",IF(OR($B19="",ROUNDUP(($A18+1)/Inputs!$B$14,0)&gt;$B18),SUMIF($B$4:$B18,$B18,L$4:L18),0))</f>
        <v>0</v>
      </c>
      <c r="R18" s="149">
        <f>IF($B18="","",IF(OR($B19="",ROUNDUP(($A18+1)/Inputs!$B$14,0)&gt;$B18),SUMIF($B$4:$B18,$B18,M$4:M18),0))</f>
        <v>0</v>
      </c>
      <c r="S18" s="149">
        <f>IF($B18="","",IF(OR($B19="",ROUNDUP(($A18+1)/Inputs!$B$14,0)&gt;$B18),SUMIF($B$4:$B18,$B18,N$4:N18),0))</f>
        <v>0</v>
      </c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spans="1:31" ht="18" customHeight="1">
      <c r="A19" s="157">
        <v>16</v>
      </c>
      <c r="B19" s="77">
        <f>ROUNDUP(A19/Inputs!$B$14,0)</f>
        <v>4</v>
      </c>
      <c r="C19" s="160" t="str">
        <f>IF(A19=Inputs!$C$57,"Cuota + abono extra",IF(A19=Inputs!$B$15,"Pago final","Pago normal"))</f>
        <v>Pago normal</v>
      </c>
      <c r="D19" s="149">
        <f t="shared" si="0"/>
        <v>5261794.5954244509</v>
      </c>
      <c r="E19" s="149">
        <f>D19*Inputs!$B$17</f>
        <v>63895.529161222905</v>
      </c>
      <c r="F19" s="149">
        <f>IF(A19&lt;=Inputs!$C$57,MIN(Inputs!$B$20,D19+E19),IF(A19=Inputs!$C$57+1,PMT(Inputs!$B$17,Inputs!$B$15-Inputs!$C$57,-J18),F18))</f>
        <v>111014.82187676849</v>
      </c>
      <c r="G19" s="149">
        <f t="shared" si="1"/>
        <v>47119.292715545584</v>
      </c>
      <c r="H19" s="149">
        <f>IF(A19=Inputs!$C$57,MIN(Inputs!$C$56,D19-G19),0)</f>
        <v>0</v>
      </c>
      <c r="I19" s="149">
        <f t="shared" si="2"/>
        <v>111014.82187676849</v>
      </c>
      <c r="J19" s="149">
        <f t="shared" si="3"/>
        <v>5214675.3027089052</v>
      </c>
      <c r="K19" s="163" t="str">
        <f t="shared" si="4"/>
        <v>Vigente</v>
      </c>
      <c r="L19" s="149">
        <f>Inputs!$B$28</f>
        <v>48643.172307692315</v>
      </c>
      <c r="M19" s="149">
        <f>Inputs!$B$29</f>
        <v>10984.615384615387</v>
      </c>
      <c r="N19" s="149">
        <f>Inputs!$B$30</f>
        <v>3406.3846153846157</v>
      </c>
      <c r="O19" s="149">
        <f t="shared" si="5"/>
        <v>63034.172307692315</v>
      </c>
      <c r="P19" s="149">
        <f t="shared" si="6"/>
        <v>174048.99418446081</v>
      </c>
      <c r="Q19" s="149">
        <f>IF($B19="","",IF(OR($B20="",ROUNDUP(($A19+1)/Inputs!$B$14,0)&gt;$B19),SUMIF($B$4:$B19,$B19,L$4:L19),0))</f>
        <v>0</v>
      </c>
      <c r="R19" s="149">
        <f>IF($B19="","",IF(OR($B20="",ROUNDUP(($A19+1)/Inputs!$B$14,0)&gt;$B19),SUMIF($B$4:$B19,$B19,M$4:M19),0))</f>
        <v>0</v>
      </c>
      <c r="S19" s="149">
        <f>IF($B19="","",IF(OR($B20="",ROUNDUP(($A19+1)/Inputs!$B$14,0)&gt;$B19),SUMIF($B$4:$B19,$B19,N$4:N19),0))</f>
        <v>0</v>
      </c>
      <c r="T19" s="18"/>
      <c r="U19" s="179" t="s">
        <v>337</v>
      </c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spans="1:31" ht="18" customHeight="1">
      <c r="A20" s="157">
        <v>17</v>
      </c>
      <c r="B20" s="77">
        <f>ROUNDUP(A20/Inputs!$B$14,0)</f>
        <v>4</v>
      </c>
      <c r="C20" s="160" t="str">
        <f>IF(A20=Inputs!$C$57,"Cuota + abono extra",IF(A20=Inputs!$B$15,"Pago final","Pago normal"))</f>
        <v>Pago normal</v>
      </c>
      <c r="D20" s="149">
        <f t="shared" si="0"/>
        <v>5214675.3027089052</v>
      </c>
      <c r="E20" s="149">
        <f>D20*Inputs!$B$17</f>
        <v>63323.345643382738</v>
      </c>
      <c r="F20" s="149">
        <f>IF(A20&lt;=Inputs!$C$57,MIN(Inputs!$B$20,D20+E20),IF(A20=Inputs!$C$57+1,PMT(Inputs!$B$17,Inputs!$B$15-Inputs!$C$57,-J19),F19))</f>
        <v>111014.82187676849</v>
      </c>
      <c r="G20" s="149">
        <f t="shared" si="1"/>
        <v>47691.476233385751</v>
      </c>
      <c r="H20" s="149">
        <f>IF(A20=Inputs!$C$57,MIN(Inputs!$C$56,D20-G20),0)</f>
        <v>0</v>
      </c>
      <c r="I20" s="149">
        <f t="shared" si="2"/>
        <v>111014.82187676849</v>
      </c>
      <c r="J20" s="149">
        <f t="shared" si="3"/>
        <v>5166983.8264755197</v>
      </c>
      <c r="K20" s="163" t="str">
        <f t="shared" si="4"/>
        <v>Vigente</v>
      </c>
      <c r="L20" s="149">
        <f>Inputs!$B$28</f>
        <v>48643.172307692315</v>
      </c>
      <c r="M20" s="149">
        <f>Inputs!$B$29</f>
        <v>10984.615384615387</v>
      </c>
      <c r="N20" s="149">
        <f>Inputs!$B$30</f>
        <v>3406.3846153846157</v>
      </c>
      <c r="O20" s="149">
        <f t="shared" si="5"/>
        <v>63034.172307692315</v>
      </c>
      <c r="P20" s="149">
        <f t="shared" si="6"/>
        <v>174048.99418446081</v>
      </c>
      <c r="Q20" s="149">
        <f>IF($B20="","",IF(OR($B21="",ROUNDUP(($A20+1)/Inputs!$B$14,0)&gt;$B20),SUMIF($B$4:$B20,$B20,L$4:L20),0))</f>
        <v>194572.68923076926</v>
      </c>
      <c r="R20" s="149">
        <f>IF($B20="","",IF(OR($B21="",ROUNDUP(($A20+1)/Inputs!$B$14,0)&gt;$B20),SUMIF($B$4:$B20,$B20,M$4:M20),0))</f>
        <v>43938.461538461546</v>
      </c>
      <c r="S20" s="149">
        <f>IF($B20="","",IF(OR($B21="",ROUNDUP(($A20+1)/Inputs!$B$14,0)&gt;$B20),SUMIF($B$4:$B20,$B20,N$4:N20),0))</f>
        <v>13625.538461538463</v>
      </c>
      <c r="T20" s="18"/>
      <c r="U20" s="179" t="s">
        <v>338</v>
      </c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 spans="1:31" ht="18" customHeight="1">
      <c r="A21" s="157">
        <v>18</v>
      </c>
      <c r="B21" s="77">
        <f>ROUNDUP(A21/Inputs!$B$14,0)</f>
        <v>5</v>
      </c>
      <c r="C21" s="160" t="str">
        <f>IF(A21=Inputs!$C$57,"Cuota + abono extra",IF(A21=Inputs!$B$15,"Pago final","Pago normal"))</f>
        <v>Pago normal</v>
      </c>
      <c r="D21" s="149">
        <f t="shared" si="0"/>
        <v>5166983.8264755197</v>
      </c>
      <c r="E21" s="149">
        <f>D21*Inputs!$B$17</f>
        <v>62744.213931730235</v>
      </c>
      <c r="F21" s="149">
        <f>IF(A21&lt;=Inputs!$C$57,MIN(Inputs!$B$20,D21+E21),IF(A21=Inputs!$C$57+1,PMT(Inputs!$B$17,Inputs!$B$15-Inputs!$C$57,-J20),F20))</f>
        <v>111014.82187676849</v>
      </c>
      <c r="G21" s="149">
        <f t="shared" si="1"/>
        <v>48270.607945038253</v>
      </c>
      <c r="H21" s="149">
        <f>IF(A21=Inputs!$C$57,MIN(Inputs!$C$56,D21-G21),0)</f>
        <v>0</v>
      </c>
      <c r="I21" s="149">
        <f t="shared" si="2"/>
        <v>111014.82187676849</v>
      </c>
      <c r="J21" s="149">
        <f t="shared" si="3"/>
        <v>5118713.2185304817</v>
      </c>
      <c r="K21" s="163" t="str">
        <f t="shared" si="4"/>
        <v>Vigente</v>
      </c>
      <c r="L21" s="149">
        <f>Inputs!$B$28</f>
        <v>48643.172307692315</v>
      </c>
      <c r="M21" s="149">
        <f>Inputs!$B$29</f>
        <v>10984.615384615387</v>
      </c>
      <c r="N21" s="149">
        <f>Inputs!$B$30</f>
        <v>3406.3846153846157</v>
      </c>
      <c r="O21" s="149">
        <f t="shared" si="5"/>
        <v>63034.172307692315</v>
      </c>
      <c r="P21" s="149">
        <f t="shared" si="6"/>
        <v>174048.99418446081</v>
      </c>
      <c r="Q21" s="149">
        <f>IF($B21="","",IF(OR($B22="",ROUNDUP(($A21+1)/Inputs!$B$14,0)&gt;$B21),SUMIF($B$4:$B21,$B21,L$4:L21),0))</f>
        <v>0</v>
      </c>
      <c r="R21" s="149">
        <f>IF($B21="","",IF(OR($B22="",ROUNDUP(($A21+1)/Inputs!$B$14,0)&gt;$B21),SUMIF($B$4:$B21,$B21,M$4:M21),0))</f>
        <v>0</v>
      </c>
      <c r="S21" s="149">
        <f>IF($B21="","",IF(OR($B22="",ROUNDUP(($A21+1)/Inputs!$B$14,0)&gt;$B21),SUMIF($B$4:$B21,$B21,N$4:N21),0))</f>
        <v>0</v>
      </c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</row>
    <row r="22" spans="1:31" ht="18" customHeight="1">
      <c r="A22" s="157">
        <v>19</v>
      </c>
      <c r="B22" s="77">
        <f>ROUNDUP(A22/Inputs!$B$14,0)</f>
        <v>5</v>
      </c>
      <c r="C22" s="160" t="str">
        <f>IF(A22=Inputs!$C$57,"Cuota + abono extra",IF(A22=Inputs!$B$15,"Pago final","Pago normal"))</f>
        <v>Pago normal</v>
      </c>
      <c r="D22" s="149">
        <f t="shared" si="0"/>
        <v>5118713.2185304817</v>
      </c>
      <c r="E22" s="149">
        <f>D22*Inputs!$B$17</f>
        <v>62158.049652291396</v>
      </c>
      <c r="F22" s="149">
        <f>IF(A22&lt;=Inputs!$C$57,MIN(Inputs!$B$20,D22+E22),IF(A22=Inputs!$C$57+1,PMT(Inputs!$B$17,Inputs!$B$15-Inputs!$C$57,-J21),F21))</f>
        <v>111014.82187676849</v>
      </c>
      <c r="G22" s="149">
        <f t="shared" si="1"/>
        <v>48856.772224477092</v>
      </c>
      <c r="H22" s="149">
        <f>IF(A22=Inputs!$C$57,MIN(Inputs!$C$56,D22-G22),0)</f>
        <v>0</v>
      </c>
      <c r="I22" s="149">
        <f t="shared" si="2"/>
        <v>111014.82187676849</v>
      </c>
      <c r="J22" s="149">
        <f t="shared" si="3"/>
        <v>5069856.4463060042</v>
      </c>
      <c r="K22" s="163" t="str">
        <f t="shared" si="4"/>
        <v>Vigente</v>
      </c>
      <c r="L22" s="149">
        <f>Inputs!$B$28</f>
        <v>48643.172307692315</v>
      </c>
      <c r="M22" s="149">
        <f>Inputs!$B$29</f>
        <v>10984.615384615387</v>
      </c>
      <c r="N22" s="149">
        <f>Inputs!$B$30</f>
        <v>3406.3846153846157</v>
      </c>
      <c r="O22" s="149">
        <f t="shared" si="5"/>
        <v>63034.172307692315</v>
      </c>
      <c r="P22" s="149">
        <f t="shared" si="6"/>
        <v>174048.99418446081</v>
      </c>
      <c r="Q22" s="149">
        <f>IF($B22="","",IF(OR($B23="",ROUNDUP(($A22+1)/Inputs!$B$14,0)&gt;$B22),SUMIF($B$4:$B22,$B22,L$4:L22),0))</f>
        <v>0</v>
      </c>
      <c r="R22" s="149">
        <f>IF($B22="","",IF(OR($B23="",ROUNDUP(($A22+1)/Inputs!$B$14,0)&gt;$B22),SUMIF($B$4:$B22,$B22,M$4:M22),0))</f>
        <v>0</v>
      </c>
      <c r="S22" s="149">
        <f>IF($B22="","",IF(OR($B23="",ROUNDUP(($A22+1)/Inputs!$B$14,0)&gt;$B22),SUMIF($B$4:$B22,$B22,N$4:N22),0))</f>
        <v>0</v>
      </c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spans="1:31" ht="18" customHeight="1">
      <c r="A23" s="157">
        <v>20</v>
      </c>
      <c r="B23" s="77">
        <f>ROUNDUP(A23/Inputs!$B$14,0)</f>
        <v>5</v>
      </c>
      <c r="C23" s="160" t="str">
        <f>IF(A23=Inputs!$C$57,"Cuota + abono extra",IF(A23=Inputs!$B$15,"Pago final","Pago normal"))</f>
        <v>Pago normal</v>
      </c>
      <c r="D23" s="149">
        <f t="shared" si="0"/>
        <v>5069856.4463060042</v>
      </c>
      <c r="E23" s="149">
        <f>D23*Inputs!$B$17</f>
        <v>61564.767406514089</v>
      </c>
      <c r="F23" s="149">
        <f>IF(A23&lt;=Inputs!$C$57,MIN(Inputs!$B$20,D23+E23),IF(A23=Inputs!$C$57+1,PMT(Inputs!$B$17,Inputs!$B$15-Inputs!$C$57,-J22),F22))</f>
        <v>111014.82187676849</v>
      </c>
      <c r="G23" s="149">
        <f t="shared" si="1"/>
        <v>49450.054470254399</v>
      </c>
      <c r="H23" s="149">
        <f>IF(A23=Inputs!$C$57,MIN(Inputs!$C$56,D23-G23),0)</f>
        <v>0</v>
      </c>
      <c r="I23" s="149">
        <f t="shared" si="2"/>
        <v>111014.82187676849</v>
      </c>
      <c r="J23" s="149">
        <f t="shared" si="3"/>
        <v>5020406.3918357501</v>
      </c>
      <c r="K23" s="163" t="str">
        <f t="shared" si="4"/>
        <v>Vigente</v>
      </c>
      <c r="L23" s="149">
        <f>Inputs!$B$28</f>
        <v>48643.172307692315</v>
      </c>
      <c r="M23" s="149">
        <f>Inputs!$B$29</f>
        <v>10984.615384615387</v>
      </c>
      <c r="N23" s="149">
        <f>Inputs!$B$30</f>
        <v>3406.3846153846157</v>
      </c>
      <c r="O23" s="149">
        <f t="shared" si="5"/>
        <v>63034.172307692315</v>
      </c>
      <c r="P23" s="149">
        <f t="shared" si="6"/>
        <v>174048.99418446081</v>
      </c>
      <c r="Q23" s="149">
        <f>IF($B23="","",IF(OR($B24="",ROUNDUP(($A23+1)/Inputs!$B$14,0)&gt;$B23),SUMIF($B$4:$B23,$B23,L$4:L23),0))</f>
        <v>0</v>
      </c>
      <c r="R23" s="149">
        <f>IF($B23="","",IF(OR($B24="",ROUNDUP(($A23+1)/Inputs!$B$14,0)&gt;$B23),SUMIF($B$4:$B23,$B23,M$4:M23),0))</f>
        <v>0</v>
      </c>
      <c r="S23" s="149">
        <f>IF($B23="","",IF(OR($B24="",ROUNDUP(($A23+1)/Inputs!$B$14,0)&gt;$B23),SUMIF($B$4:$B23,$B23,N$4:N23),0))</f>
        <v>0</v>
      </c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 spans="1:31" ht="18" customHeight="1">
      <c r="A24" s="157">
        <v>21</v>
      </c>
      <c r="B24" s="77">
        <f>ROUNDUP(A24/Inputs!$B$14,0)</f>
        <v>5</v>
      </c>
      <c r="C24" s="160" t="str">
        <f>IF(A24=Inputs!$C$57,"Cuota + abono extra",IF(A24=Inputs!$B$15,"Pago final","Pago normal"))</f>
        <v>Pago normal</v>
      </c>
      <c r="D24" s="149">
        <f t="shared" si="0"/>
        <v>5020406.3918357501</v>
      </c>
      <c r="E24" s="149">
        <f>D24*Inputs!$B$17</f>
        <v>60964.280758826295</v>
      </c>
      <c r="F24" s="149">
        <f>IF(A24&lt;=Inputs!$C$57,MIN(Inputs!$B$20,D24+E24),IF(A24=Inputs!$C$57+1,PMT(Inputs!$B$17,Inputs!$B$15-Inputs!$C$57,-J23),F23))</f>
        <v>111014.82187676849</v>
      </c>
      <c r="G24" s="149">
        <f t="shared" si="1"/>
        <v>50050.541117942194</v>
      </c>
      <c r="H24" s="149">
        <f>IF(A24=Inputs!$C$57,MIN(Inputs!$C$56,D24-G24),0)</f>
        <v>0</v>
      </c>
      <c r="I24" s="149">
        <f t="shared" si="2"/>
        <v>111014.82187676849</v>
      </c>
      <c r="J24" s="149">
        <f t="shared" si="3"/>
        <v>4970355.8507178081</v>
      </c>
      <c r="K24" s="163" t="str">
        <f t="shared" si="4"/>
        <v>Vigente</v>
      </c>
      <c r="L24" s="149">
        <f>Inputs!$B$28</f>
        <v>48643.172307692315</v>
      </c>
      <c r="M24" s="149">
        <f>Inputs!$B$29</f>
        <v>10984.615384615387</v>
      </c>
      <c r="N24" s="149">
        <f>Inputs!$B$30</f>
        <v>3406.3846153846157</v>
      </c>
      <c r="O24" s="149">
        <f t="shared" si="5"/>
        <v>63034.172307692315</v>
      </c>
      <c r="P24" s="149">
        <f t="shared" si="6"/>
        <v>174048.99418446081</v>
      </c>
      <c r="Q24" s="149">
        <f>IF($B24="","",IF(OR($B25="",ROUNDUP(($A24+1)/Inputs!$B$14,0)&gt;$B24),SUMIF($B$4:$B24,$B24,L$4:L24),0))</f>
        <v>194572.68923076926</v>
      </c>
      <c r="R24" s="149">
        <f>IF($B24="","",IF(OR($B25="",ROUNDUP(($A24+1)/Inputs!$B$14,0)&gt;$B24),SUMIF($B$4:$B24,$B24,M$4:M24),0))</f>
        <v>43938.461538461546</v>
      </c>
      <c r="S24" s="149">
        <f>IF($B24="","",IF(OR($B25="",ROUNDUP(($A24+1)/Inputs!$B$14,0)&gt;$B24),SUMIF($B$4:$B24,$B24,N$4:N24),0))</f>
        <v>13625.538461538463</v>
      </c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spans="1:31" ht="18" customHeight="1">
      <c r="A25" s="157">
        <v>22</v>
      </c>
      <c r="B25" s="77">
        <f>ROUNDUP(A25/Inputs!$B$14,0)</f>
        <v>6</v>
      </c>
      <c r="C25" s="160" t="str">
        <f>IF(A25=Inputs!$C$57,"Cuota + abono extra",IF(A25=Inputs!$B$15,"Pago final","Pago normal"))</f>
        <v>Pago normal</v>
      </c>
      <c r="D25" s="149">
        <f t="shared" si="0"/>
        <v>4970355.8507178081</v>
      </c>
      <c r="E25" s="149">
        <f>D25*Inputs!$B$17</f>
        <v>60356.502224043244</v>
      </c>
      <c r="F25" s="149">
        <f>IF(A25&lt;=Inputs!$C$57,MIN(Inputs!$B$20,D25+E25),IF(A25=Inputs!$C$57+1,PMT(Inputs!$B$17,Inputs!$B$15-Inputs!$C$57,-J24),F24))</f>
        <v>111014.82187676849</v>
      </c>
      <c r="G25" s="149">
        <f t="shared" si="1"/>
        <v>50658.319652725244</v>
      </c>
      <c r="H25" s="149">
        <f>IF(A25=Inputs!$C$57,MIN(Inputs!$C$56,D25-G25),0)</f>
        <v>0</v>
      </c>
      <c r="I25" s="149">
        <f t="shared" si="2"/>
        <v>111014.82187676849</v>
      </c>
      <c r="J25" s="149">
        <f t="shared" si="3"/>
        <v>4919697.5310650831</v>
      </c>
      <c r="K25" s="163" t="str">
        <f t="shared" si="4"/>
        <v>Vigente</v>
      </c>
      <c r="L25" s="149">
        <f>Inputs!$B$28</f>
        <v>48643.172307692315</v>
      </c>
      <c r="M25" s="149">
        <f>Inputs!$B$29</f>
        <v>10984.615384615387</v>
      </c>
      <c r="N25" s="149">
        <f>Inputs!$B$30</f>
        <v>3406.3846153846157</v>
      </c>
      <c r="O25" s="149">
        <f t="shared" si="5"/>
        <v>63034.172307692315</v>
      </c>
      <c r="P25" s="149">
        <f t="shared" si="6"/>
        <v>174048.99418446081</v>
      </c>
      <c r="Q25" s="149">
        <f>IF($B25="","",IF(OR($B26="",ROUNDUP(($A25+1)/Inputs!$B$14,0)&gt;$B25),SUMIF($B$4:$B25,$B25,L$4:L25),0))</f>
        <v>0</v>
      </c>
      <c r="R25" s="149">
        <f>IF($B25="","",IF(OR($B26="",ROUNDUP(($A25+1)/Inputs!$B$14,0)&gt;$B25),SUMIF($B$4:$B25,$B25,M$4:M25),0))</f>
        <v>0</v>
      </c>
      <c r="S25" s="149">
        <f>IF($B25="","",IF(OR($B26="",ROUNDUP(($A25+1)/Inputs!$B$14,0)&gt;$B25),SUMIF($B$4:$B25,$B25,N$4:N25),0))</f>
        <v>0</v>
      </c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spans="1:31" ht="18" customHeight="1">
      <c r="A26" s="157">
        <v>23</v>
      </c>
      <c r="B26" s="77">
        <f>ROUNDUP(A26/Inputs!$B$14,0)</f>
        <v>6</v>
      </c>
      <c r="C26" s="160" t="str">
        <f>IF(A26=Inputs!$C$57,"Cuota + abono extra",IF(A26=Inputs!$B$15,"Pago final","Pago normal"))</f>
        <v>Pago normal</v>
      </c>
      <c r="D26" s="149">
        <f t="shared" si="0"/>
        <v>4919697.5310650831</v>
      </c>
      <c r="E26" s="149">
        <f>D26*Inputs!$B$17</f>
        <v>59741.343254621679</v>
      </c>
      <c r="F26" s="149">
        <f>IF(A26&lt;=Inputs!$C$57,MIN(Inputs!$B$20,D26+E26),IF(A26=Inputs!$C$57+1,PMT(Inputs!$B$17,Inputs!$B$15-Inputs!$C$57,-J25),F25))</f>
        <v>111014.82187676849</v>
      </c>
      <c r="G26" s="149">
        <f t="shared" si="1"/>
        <v>51273.478622146809</v>
      </c>
      <c r="H26" s="149">
        <f>IF(A26=Inputs!$C$57,MIN(Inputs!$C$56,D26-G26),0)</f>
        <v>0</v>
      </c>
      <c r="I26" s="149">
        <f t="shared" si="2"/>
        <v>111014.82187676849</v>
      </c>
      <c r="J26" s="149">
        <f t="shared" si="3"/>
        <v>4868424.0524429362</v>
      </c>
      <c r="K26" s="163" t="str">
        <f t="shared" si="4"/>
        <v>Vigente</v>
      </c>
      <c r="L26" s="149">
        <f>Inputs!$B$28</f>
        <v>48643.172307692315</v>
      </c>
      <c r="M26" s="149">
        <f>Inputs!$B$29</f>
        <v>10984.615384615387</v>
      </c>
      <c r="N26" s="149">
        <f>Inputs!$B$30</f>
        <v>3406.3846153846157</v>
      </c>
      <c r="O26" s="149">
        <f t="shared" si="5"/>
        <v>63034.172307692315</v>
      </c>
      <c r="P26" s="149">
        <f t="shared" si="6"/>
        <v>174048.99418446081</v>
      </c>
      <c r="Q26" s="149">
        <f>IF($B26="","",IF(OR($B27="",ROUNDUP(($A26+1)/Inputs!$B$14,0)&gt;$B26),SUMIF($B$4:$B26,$B26,L$4:L26),0))</f>
        <v>0</v>
      </c>
      <c r="R26" s="149">
        <f>IF($B26="","",IF(OR($B27="",ROUNDUP(($A26+1)/Inputs!$B$14,0)&gt;$B26),SUMIF($B$4:$B26,$B26,M$4:M26),0))</f>
        <v>0</v>
      </c>
      <c r="S26" s="149">
        <f>IF($B26="","",IF(OR($B27="",ROUNDUP(($A26+1)/Inputs!$B$14,0)&gt;$B26),SUMIF($B$4:$B26,$B26,N$4:N26),0))</f>
        <v>0</v>
      </c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</row>
    <row r="27" spans="1:31" ht="18" customHeight="1">
      <c r="A27" s="157">
        <v>24</v>
      </c>
      <c r="B27" s="77">
        <f>ROUNDUP(A27/Inputs!$B$14,0)</f>
        <v>6</v>
      </c>
      <c r="C27" s="160" t="str">
        <f>IF(A27=Inputs!$C$57,"Cuota + abono extra",IF(A27=Inputs!$B$15,"Pago final","Pago normal"))</f>
        <v>Pago normal</v>
      </c>
      <c r="D27" s="149">
        <f t="shared" si="0"/>
        <v>4868424.0524429362</v>
      </c>
      <c r="E27" s="149">
        <f>D27*Inputs!$B$17</f>
        <v>59118.714227759323</v>
      </c>
      <c r="F27" s="149">
        <f>IF(A27&lt;=Inputs!$C$57,MIN(Inputs!$B$20,D27+E27),IF(A27=Inputs!$C$57+1,PMT(Inputs!$B$17,Inputs!$B$15-Inputs!$C$57,-J26),F26))</f>
        <v>111014.82187676849</v>
      </c>
      <c r="G27" s="149">
        <f t="shared" si="1"/>
        <v>51896.107649009165</v>
      </c>
      <c r="H27" s="149">
        <f>IF(A27=Inputs!$C$57,MIN(Inputs!$C$56,D27-G27),0)</f>
        <v>0</v>
      </c>
      <c r="I27" s="149">
        <f t="shared" si="2"/>
        <v>111014.82187676849</v>
      </c>
      <c r="J27" s="149">
        <f t="shared" si="3"/>
        <v>4816527.9447939275</v>
      </c>
      <c r="K27" s="163" t="str">
        <f t="shared" si="4"/>
        <v>Vigente</v>
      </c>
      <c r="L27" s="149">
        <f>Inputs!$B$28</f>
        <v>48643.172307692315</v>
      </c>
      <c r="M27" s="149">
        <f>Inputs!$B$29</f>
        <v>10984.615384615387</v>
      </c>
      <c r="N27" s="149">
        <f>Inputs!$B$30</f>
        <v>3406.3846153846157</v>
      </c>
      <c r="O27" s="149">
        <f t="shared" si="5"/>
        <v>63034.172307692315</v>
      </c>
      <c r="P27" s="149">
        <f t="shared" si="6"/>
        <v>174048.99418446081</v>
      </c>
      <c r="Q27" s="149">
        <f>IF($B27="","",IF(OR($B28="",ROUNDUP(($A27+1)/Inputs!$B$14,0)&gt;$B27),SUMIF($B$4:$B27,$B27,L$4:L27),0))</f>
        <v>0</v>
      </c>
      <c r="R27" s="149">
        <f>IF($B27="","",IF(OR($B28="",ROUNDUP(($A27+1)/Inputs!$B$14,0)&gt;$B27),SUMIF($B$4:$B27,$B27,M$4:M27),0))</f>
        <v>0</v>
      </c>
      <c r="S27" s="149">
        <f>IF($B27="","",IF(OR($B28="",ROUNDUP(($A27+1)/Inputs!$B$14,0)&gt;$B27),SUMIF($B$4:$B27,$B27,N$4:N27),0))</f>
        <v>0</v>
      </c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spans="1:31" ht="18" customHeight="1">
      <c r="A28" s="157">
        <v>25</v>
      </c>
      <c r="B28" s="77">
        <f>ROUNDUP(A28/Inputs!$B$14,0)</f>
        <v>6</v>
      </c>
      <c r="C28" s="160" t="str">
        <f>IF(A28=Inputs!$C$57,"Cuota + abono extra",IF(A28=Inputs!$B$15,"Pago final","Pago normal"))</f>
        <v>Pago normal</v>
      </c>
      <c r="D28" s="149">
        <f t="shared" si="0"/>
        <v>4816527.9447939275</v>
      </c>
      <c r="E28" s="149">
        <f>D28*Inputs!$B$17</f>
        <v>58488.52443233769</v>
      </c>
      <c r="F28" s="149">
        <f>IF(A28&lt;=Inputs!$C$57,MIN(Inputs!$B$20,D28+E28),IF(A28=Inputs!$C$57+1,PMT(Inputs!$B$17,Inputs!$B$15-Inputs!$C$57,-J27),F27))</f>
        <v>111014.82187676849</v>
      </c>
      <c r="G28" s="149">
        <f t="shared" si="1"/>
        <v>52526.297444430798</v>
      </c>
      <c r="H28" s="149">
        <f>IF(A28=Inputs!$C$57,MIN(Inputs!$C$56,D28-G28),0)</f>
        <v>0</v>
      </c>
      <c r="I28" s="149">
        <f t="shared" si="2"/>
        <v>111014.82187676849</v>
      </c>
      <c r="J28" s="149">
        <f t="shared" si="3"/>
        <v>4764001.6473494964</v>
      </c>
      <c r="K28" s="163" t="str">
        <f t="shared" si="4"/>
        <v>Vigente</v>
      </c>
      <c r="L28" s="149">
        <f>Inputs!$B$28</f>
        <v>48643.172307692315</v>
      </c>
      <c r="M28" s="149">
        <f>Inputs!$B$29</f>
        <v>10984.615384615387</v>
      </c>
      <c r="N28" s="149">
        <f>Inputs!$B$30</f>
        <v>3406.3846153846157</v>
      </c>
      <c r="O28" s="149">
        <f t="shared" si="5"/>
        <v>63034.172307692315</v>
      </c>
      <c r="P28" s="149">
        <f t="shared" si="6"/>
        <v>174048.99418446081</v>
      </c>
      <c r="Q28" s="149">
        <f>IF($B28="","",IF(OR($B29="",ROUNDUP(($A28+1)/Inputs!$B$14,0)&gt;$B28),SUMIF($B$4:$B28,$B28,L$4:L28),0))</f>
        <v>0</v>
      </c>
      <c r="R28" s="149">
        <f>IF($B28="","",IF(OR($B29="",ROUNDUP(($A28+1)/Inputs!$B$14,0)&gt;$B28),SUMIF($B$4:$B28,$B28,M$4:M28),0))</f>
        <v>0</v>
      </c>
      <c r="S28" s="149">
        <f>IF($B28="","",IF(OR($B29="",ROUNDUP(($A28+1)/Inputs!$B$14,0)&gt;$B28),SUMIF($B$4:$B28,$B28,N$4:N28),0))</f>
        <v>0</v>
      </c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spans="1:31" ht="18" customHeight="1">
      <c r="A29" s="157">
        <v>26</v>
      </c>
      <c r="B29" s="77">
        <f>ROUNDUP(A29/Inputs!$B$14,0)</f>
        <v>6</v>
      </c>
      <c r="C29" s="160" t="str">
        <f>IF(A29=Inputs!$C$57,"Cuota + abono extra",IF(A29=Inputs!$B$15,"Pago final","Pago normal"))</f>
        <v>Pago normal</v>
      </c>
      <c r="D29" s="149">
        <f t="shared" si="0"/>
        <v>4764001.6473494964</v>
      </c>
      <c r="E29" s="149">
        <f>D29*Inputs!$B$17</f>
        <v>57850.682055706304</v>
      </c>
      <c r="F29" s="149">
        <f>IF(A29&lt;=Inputs!$C$57,MIN(Inputs!$B$20,D29+E29),IF(A29=Inputs!$C$57+1,PMT(Inputs!$B$17,Inputs!$B$15-Inputs!$C$57,-J28),F28))</f>
        <v>111014.82187676849</v>
      </c>
      <c r="G29" s="149">
        <f t="shared" si="1"/>
        <v>53164.139821062185</v>
      </c>
      <c r="H29" s="149">
        <f>IF(A29=Inputs!$C$57,MIN(Inputs!$C$56,D29-G29),0)</f>
        <v>0</v>
      </c>
      <c r="I29" s="149">
        <f t="shared" si="2"/>
        <v>111014.82187676849</v>
      </c>
      <c r="J29" s="149">
        <f t="shared" si="3"/>
        <v>4710837.5075284345</v>
      </c>
      <c r="K29" s="163" t="str">
        <f t="shared" si="4"/>
        <v>Vigente</v>
      </c>
      <c r="L29" s="149">
        <f>Inputs!$B$28</f>
        <v>48643.172307692315</v>
      </c>
      <c r="M29" s="149">
        <f>Inputs!$B$29</f>
        <v>10984.615384615387</v>
      </c>
      <c r="N29" s="149">
        <f>Inputs!$B$30</f>
        <v>3406.3846153846157</v>
      </c>
      <c r="O29" s="149">
        <f t="shared" si="5"/>
        <v>63034.172307692315</v>
      </c>
      <c r="P29" s="149">
        <f t="shared" si="6"/>
        <v>174048.99418446081</v>
      </c>
      <c r="Q29" s="149">
        <f>IF($B29="","",IF(OR($B30="",ROUNDUP(($A29+1)/Inputs!$B$14,0)&gt;$B29),SUMIF($B$4:$B29,$B29,L$4:L29),0))</f>
        <v>243215.86153846158</v>
      </c>
      <c r="R29" s="149">
        <f>IF($B29="","",IF(OR($B30="",ROUNDUP(($A29+1)/Inputs!$B$14,0)&gt;$B29),SUMIF($B$4:$B29,$B29,M$4:M29),0))</f>
        <v>54923.076923076937</v>
      </c>
      <c r="S29" s="149">
        <f>IF($B29="","",IF(OR($B30="",ROUNDUP(($A29+1)/Inputs!$B$14,0)&gt;$B29),SUMIF($B$4:$B29,$B29,N$4:N29),0))</f>
        <v>17031.923076923078</v>
      </c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spans="1:31" ht="18" customHeight="1">
      <c r="A30" s="157">
        <v>27</v>
      </c>
      <c r="B30" s="77">
        <f>ROUNDUP(A30/Inputs!$B$14,0)</f>
        <v>7</v>
      </c>
      <c r="C30" s="160" t="str">
        <f>IF(A30=Inputs!$C$57,"Cuota + abono extra",IF(A30=Inputs!$B$15,"Pago final","Pago normal"))</f>
        <v>Pago normal</v>
      </c>
      <c r="D30" s="149">
        <f t="shared" si="0"/>
        <v>4710837.5075284345</v>
      </c>
      <c r="E30" s="149">
        <f>D30*Inputs!$B$17</f>
        <v>57205.09417030654</v>
      </c>
      <c r="F30" s="149">
        <f>IF(A30&lt;=Inputs!$C$57,MIN(Inputs!$B$20,D30+E30),IF(A30=Inputs!$C$57+1,PMT(Inputs!$B$17,Inputs!$B$15-Inputs!$C$57,-J29),F29))</f>
        <v>111014.82187676849</v>
      </c>
      <c r="G30" s="149">
        <f t="shared" si="1"/>
        <v>53809.727706461948</v>
      </c>
      <c r="H30" s="149">
        <f>IF(A30=Inputs!$C$57,MIN(Inputs!$C$56,D30-G30),0)</f>
        <v>0</v>
      </c>
      <c r="I30" s="149">
        <f t="shared" si="2"/>
        <v>111014.82187676849</v>
      </c>
      <c r="J30" s="149">
        <f t="shared" si="3"/>
        <v>4657027.7798219724</v>
      </c>
      <c r="K30" s="163" t="str">
        <f t="shared" si="4"/>
        <v>Vigente</v>
      </c>
      <c r="L30" s="149">
        <f>Inputs!$B$28</f>
        <v>48643.172307692315</v>
      </c>
      <c r="M30" s="149">
        <f>Inputs!$B$29</f>
        <v>10984.615384615387</v>
      </c>
      <c r="N30" s="149">
        <f>Inputs!$B$30</f>
        <v>3406.3846153846157</v>
      </c>
      <c r="O30" s="149">
        <f t="shared" si="5"/>
        <v>63034.172307692315</v>
      </c>
      <c r="P30" s="149">
        <f t="shared" si="6"/>
        <v>174048.99418446081</v>
      </c>
      <c r="Q30" s="149">
        <f>IF($B30="","",IF(OR($B31="",ROUNDUP(($A30+1)/Inputs!$B$14,0)&gt;$B30),SUMIF($B$4:$B30,$B30,L$4:L30),0))</f>
        <v>0</v>
      </c>
      <c r="R30" s="149">
        <f>IF($B30="","",IF(OR($B31="",ROUNDUP(($A30+1)/Inputs!$B$14,0)&gt;$B30),SUMIF($B$4:$B30,$B30,M$4:M30),0))</f>
        <v>0</v>
      </c>
      <c r="S30" s="149">
        <f>IF($B30="","",IF(OR($B31="",ROUNDUP(($A30+1)/Inputs!$B$14,0)&gt;$B30),SUMIF($B$4:$B30,$B30,N$4:N30),0))</f>
        <v>0</v>
      </c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spans="1:31" ht="18" customHeight="1">
      <c r="A31" s="157">
        <v>28</v>
      </c>
      <c r="B31" s="77">
        <f>ROUNDUP(A31/Inputs!$B$14,0)</f>
        <v>7</v>
      </c>
      <c r="C31" s="160" t="str">
        <f>IF(A31=Inputs!$C$57,"Cuota + abono extra",IF(A31=Inputs!$B$15,"Pago final","Pago normal"))</f>
        <v>Pago normal</v>
      </c>
      <c r="D31" s="149">
        <f t="shared" si="0"/>
        <v>4657027.7798219724</v>
      </c>
      <c r="E31" s="149">
        <f>D31*Inputs!$B$17</f>
        <v>56551.666720132882</v>
      </c>
      <c r="F31" s="149">
        <f>IF(A31&lt;=Inputs!$C$57,MIN(Inputs!$B$20,D31+E31),IF(A31=Inputs!$C$57+1,PMT(Inputs!$B$17,Inputs!$B$15-Inputs!$C$57,-J30),F30))</f>
        <v>111014.82187676849</v>
      </c>
      <c r="G31" s="149">
        <f t="shared" si="1"/>
        <v>54463.155156635607</v>
      </c>
      <c r="H31" s="149">
        <f>IF(A31=Inputs!$C$57,MIN(Inputs!$C$56,D31-G31),0)</f>
        <v>0</v>
      </c>
      <c r="I31" s="149">
        <f t="shared" si="2"/>
        <v>111014.82187676849</v>
      </c>
      <c r="J31" s="149">
        <f t="shared" si="3"/>
        <v>4602564.6246653367</v>
      </c>
      <c r="K31" s="163" t="str">
        <f t="shared" si="4"/>
        <v>Vigente</v>
      </c>
      <c r="L31" s="149">
        <f>Inputs!$B$28</f>
        <v>48643.172307692315</v>
      </c>
      <c r="M31" s="149">
        <f>Inputs!$B$29</f>
        <v>10984.615384615387</v>
      </c>
      <c r="N31" s="149">
        <f>Inputs!$B$30</f>
        <v>3406.3846153846157</v>
      </c>
      <c r="O31" s="149">
        <f t="shared" si="5"/>
        <v>63034.172307692315</v>
      </c>
      <c r="P31" s="149">
        <f t="shared" si="6"/>
        <v>174048.99418446081</v>
      </c>
      <c r="Q31" s="149">
        <f>IF($B31="","",IF(OR($B32="",ROUNDUP(($A31+1)/Inputs!$B$14,0)&gt;$B31),SUMIF($B$4:$B31,$B31,L$4:L31),0))</f>
        <v>0</v>
      </c>
      <c r="R31" s="149">
        <f>IF($B31="","",IF(OR($B32="",ROUNDUP(($A31+1)/Inputs!$B$14,0)&gt;$B31),SUMIF($B$4:$B31,$B31,M$4:M31),0))</f>
        <v>0</v>
      </c>
      <c r="S31" s="149">
        <f>IF($B31="","",IF(OR($B32="",ROUNDUP(($A31+1)/Inputs!$B$14,0)&gt;$B31),SUMIF($B$4:$B31,$B31,N$4:N31),0))</f>
        <v>0</v>
      </c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spans="1:31" ht="18" customHeight="1">
      <c r="A32" s="157">
        <v>29</v>
      </c>
      <c r="B32" s="77">
        <f>ROUNDUP(A32/Inputs!$B$14,0)</f>
        <v>7</v>
      </c>
      <c r="C32" s="160" t="str">
        <f>IF(A32=Inputs!$C$57,"Cuota + abono extra",IF(A32=Inputs!$B$15,"Pago final","Pago normal"))</f>
        <v>Pago normal</v>
      </c>
      <c r="D32" s="149">
        <f t="shared" si="0"/>
        <v>4602564.6246653367</v>
      </c>
      <c r="E32" s="149">
        <f>D32*Inputs!$B$17</f>
        <v>55890.304507029941</v>
      </c>
      <c r="F32" s="149">
        <f>IF(A32&lt;=Inputs!$C$57,MIN(Inputs!$B$20,D32+E32),IF(A32=Inputs!$C$57+1,PMT(Inputs!$B$17,Inputs!$B$15-Inputs!$C$57,-J31),F31))</f>
        <v>111014.82187676849</v>
      </c>
      <c r="G32" s="149">
        <f t="shared" si="1"/>
        <v>55124.517369738547</v>
      </c>
      <c r="H32" s="149">
        <f>IF(A32=Inputs!$C$57,MIN(Inputs!$C$56,D32-G32),0)</f>
        <v>0</v>
      </c>
      <c r="I32" s="149">
        <f t="shared" si="2"/>
        <v>111014.82187676849</v>
      </c>
      <c r="J32" s="149">
        <f t="shared" si="3"/>
        <v>4547440.1072955979</v>
      </c>
      <c r="K32" s="163" t="str">
        <f t="shared" si="4"/>
        <v>Vigente</v>
      </c>
      <c r="L32" s="149">
        <f>Inputs!$B$28</f>
        <v>48643.172307692315</v>
      </c>
      <c r="M32" s="149">
        <f>Inputs!$B$29</f>
        <v>10984.615384615387</v>
      </c>
      <c r="N32" s="149">
        <f>Inputs!$B$30</f>
        <v>3406.3846153846157</v>
      </c>
      <c r="O32" s="149">
        <f t="shared" si="5"/>
        <v>63034.172307692315</v>
      </c>
      <c r="P32" s="149">
        <f t="shared" si="6"/>
        <v>174048.99418446081</v>
      </c>
      <c r="Q32" s="149">
        <f>IF($B32="","",IF(OR($B33="",ROUNDUP(($A32+1)/Inputs!$B$14,0)&gt;$B32),SUMIF($B$4:$B32,$B32,L$4:L32),0))</f>
        <v>0</v>
      </c>
      <c r="R32" s="149">
        <f>IF($B32="","",IF(OR($B33="",ROUNDUP(($A32+1)/Inputs!$B$14,0)&gt;$B32),SUMIF($B$4:$B32,$B32,M$4:M32),0))</f>
        <v>0</v>
      </c>
      <c r="S32" s="149">
        <f>IF($B32="","",IF(OR($B33="",ROUNDUP(($A32+1)/Inputs!$B$14,0)&gt;$B32),SUMIF($B$4:$B32,$B32,N$4:N32),0))</f>
        <v>0</v>
      </c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spans="1:31" ht="18" customHeight="1">
      <c r="A33" s="157">
        <v>30</v>
      </c>
      <c r="B33" s="77">
        <f>ROUNDUP(A33/Inputs!$B$14,0)</f>
        <v>7</v>
      </c>
      <c r="C33" s="160" t="str">
        <f>IF(A33=Inputs!$C$57,"Cuota + abono extra",IF(A33=Inputs!$B$15,"Pago final","Pago normal"))</f>
        <v>Pago normal</v>
      </c>
      <c r="D33" s="149">
        <f t="shared" si="0"/>
        <v>4547440.1072955979</v>
      </c>
      <c r="E33" s="149">
        <f>D33*Inputs!$B$17</f>
        <v>55220.91117682292</v>
      </c>
      <c r="F33" s="149">
        <f>IF(A33&lt;=Inputs!$C$57,MIN(Inputs!$B$20,D33+E33),IF(A33=Inputs!$C$57+1,PMT(Inputs!$B$17,Inputs!$B$15-Inputs!$C$57,-J32),F32))</f>
        <v>111014.82187676849</v>
      </c>
      <c r="G33" s="149">
        <f t="shared" si="1"/>
        <v>55793.910699945569</v>
      </c>
      <c r="H33" s="149">
        <f>IF(A33=Inputs!$C$57,MIN(Inputs!$C$56,D33-G33),0)</f>
        <v>0</v>
      </c>
      <c r="I33" s="149">
        <f t="shared" si="2"/>
        <v>111014.82187676849</v>
      </c>
      <c r="J33" s="149">
        <f t="shared" si="3"/>
        <v>4491646.196595652</v>
      </c>
      <c r="K33" s="163" t="str">
        <f t="shared" si="4"/>
        <v>Vigente</v>
      </c>
      <c r="L33" s="149">
        <f>Inputs!$B$28</f>
        <v>48643.172307692315</v>
      </c>
      <c r="M33" s="149">
        <f>Inputs!$B$29</f>
        <v>10984.615384615387</v>
      </c>
      <c r="N33" s="149">
        <f>Inputs!$B$30</f>
        <v>3406.3846153846157</v>
      </c>
      <c r="O33" s="149">
        <f t="shared" si="5"/>
        <v>63034.172307692315</v>
      </c>
      <c r="P33" s="149">
        <f t="shared" si="6"/>
        <v>174048.99418446081</v>
      </c>
      <c r="Q33" s="149">
        <f>IF($B33="","",IF(OR($B34="",ROUNDUP(($A33+1)/Inputs!$B$14,0)&gt;$B33),SUMIF($B$4:$B33,$B33,L$4:L33),0))</f>
        <v>194572.68923076926</v>
      </c>
      <c r="R33" s="149">
        <f>IF($B33="","",IF(OR($B34="",ROUNDUP(($A33+1)/Inputs!$B$14,0)&gt;$B33),SUMIF($B$4:$B33,$B33,M$4:M33),0))</f>
        <v>43938.461538461546</v>
      </c>
      <c r="S33" s="149">
        <f>IF($B33="","",IF(OR($B34="",ROUNDUP(($A33+1)/Inputs!$B$14,0)&gt;$B33),SUMIF($B$4:$B33,$B33,N$4:N33),0))</f>
        <v>13625.538461538463</v>
      </c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spans="1:31" ht="18" customHeight="1">
      <c r="A34" s="157">
        <v>31</v>
      </c>
      <c r="B34" s="77">
        <f>ROUNDUP(A34/Inputs!$B$14,0)</f>
        <v>8</v>
      </c>
      <c r="C34" s="160" t="str">
        <f>IF(A34=Inputs!$C$57,"Cuota + abono extra",IF(A34=Inputs!$B$15,"Pago final","Pago normal"))</f>
        <v>Pago normal</v>
      </c>
      <c r="D34" s="149">
        <f t="shared" si="0"/>
        <v>4491646.196595652</v>
      </c>
      <c r="E34" s="149">
        <f>D34*Inputs!$B$17</f>
        <v>54543.389205279767</v>
      </c>
      <c r="F34" s="149">
        <f>IF(A34&lt;=Inputs!$C$57,MIN(Inputs!$B$20,D34+E34),IF(A34=Inputs!$C$57+1,PMT(Inputs!$B$17,Inputs!$B$15-Inputs!$C$57,-J33),F33))</f>
        <v>111014.82187676849</v>
      </c>
      <c r="G34" s="149">
        <f t="shared" si="1"/>
        <v>56471.432671488721</v>
      </c>
      <c r="H34" s="149">
        <f>IF(A34=Inputs!$C$57,MIN(Inputs!$C$56,D34-G34),0)</f>
        <v>0</v>
      </c>
      <c r="I34" s="149">
        <f t="shared" si="2"/>
        <v>111014.82187676849</v>
      </c>
      <c r="J34" s="149">
        <f t="shared" si="3"/>
        <v>4435174.7639241638</v>
      </c>
      <c r="K34" s="163" t="str">
        <f t="shared" si="4"/>
        <v>Vigente</v>
      </c>
      <c r="L34" s="149">
        <f>Inputs!$B$28</f>
        <v>48643.172307692315</v>
      </c>
      <c r="M34" s="149">
        <f>Inputs!$B$29</f>
        <v>10984.615384615387</v>
      </c>
      <c r="N34" s="149">
        <f>Inputs!$B$30</f>
        <v>3406.3846153846157</v>
      </c>
      <c r="O34" s="149">
        <f t="shared" si="5"/>
        <v>63034.172307692315</v>
      </c>
      <c r="P34" s="149">
        <f t="shared" si="6"/>
        <v>174048.99418446081</v>
      </c>
      <c r="Q34" s="149">
        <f>IF($B34="","",IF(OR($B35="",ROUNDUP(($A34+1)/Inputs!$B$14,0)&gt;$B34),SUMIF($B$4:$B34,$B34,L$4:L34),0))</f>
        <v>0</v>
      </c>
      <c r="R34" s="149">
        <f>IF($B34="","",IF(OR($B35="",ROUNDUP(($A34+1)/Inputs!$B$14,0)&gt;$B34),SUMIF($B$4:$B34,$B34,M$4:M34),0))</f>
        <v>0</v>
      </c>
      <c r="S34" s="149">
        <f>IF($B34="","",IF(OR($B35="",ROUNDUP(($A34+1)/Inputs!$B$14,0)&gt;$B34),SUMIF($B$4:$B34,$B34,N$4:N34),0))</f>
        <v>0</v>
      </c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spans="1:31" ht="18" customHeight="1">
      <c r="A35" s="157">
        <v>32</v>
      </c>
      <c r="B35" s="77">
        <f>ROUNDUP(A35/Inputs!$B$14,0)</f>
        <v>8</v>
      </c>
      <c r="C35" s="160" t="str">
        <f>IF(A35=Inputs!$C$57,"Cuota + abono extra",IF(A35=Inputs!$B$15,"Pago final","Pago normal"))</f>
        <v>Pago normal</v>
      </c>
      <c r="D35" s="149">
        <f t="shared" si="0"/>
        <v>4435174.7639241638</v>
      </c>
      <c r="E35" s="149">
        <f>D35*Inputs!$B$17</f>
        <v>53857.639883902841</v>
      </c>
      <c r="F35" s="149">
        <f>IF(A35&lt;=Inputs!$C$57,MIN(Inputs!$B$20,D35+E35),IF(A35=Inputs!$C$57+1,PMT(Inputs!$B$17,Inputs!$B$15-Inputs!$C$57,-J34),F34))</f>
        <v>111014.82187676849</v>
      </c>
      <c r="G35" s="149">
        <f t="shared" si="1"/>
        <v>57157.181992865648</v>
      </c>
      <c r="H35" s="149">
        <f>IF(A35=Inputs!$C$57,MIN(Inputs!$C$56,D35-G35),0)</f>
        <v>0</v>
      </c>
      <c r="I35" s="149">
        <f t="shared" si="2"/>
        <v>111014.82187676849</v>
      </c>
      <c r="J35" s="149">
        <f t="shared" si="3"/>
        <v>4378017.5819312977</v>
      </c>
      <c r="K35" s="163" t="str">
        <f t="shared" si="4"/>
        <v>Vigente</v>
      </c>
      <c r="L35" s="149">
        <f>Inputs!$B$28</f>
        <v>48643.172307692315</v>
      </c>
      <c r="M35" s="149">
        <f>Inputs!$B$29</f>
        <v>10984.615384615387</v>
      </c>
      <c r="N35" s="149">
        <f>Inputs!$B$30</f>
        <v>3406.3846153846157</v>
      </c>
      <c r="O35" s="149">
        <f t="shared" si="5"/>
        <v>63034.172307692315</v>
      </c>
      <c r="P35" s="149">
        <f t="shared" si="6"/>
        <v>174048.99418446081</v>
      </c>
      <c r="Q35" s="149">
        <f>IF($B35="","",IF(OR($B36="",ROUNDUP(($A35+1)/Inputs!$B$14,0)&gt;$B35),SUMIF($B$4:$B35,$B35,L$4:L35),0))</f>
        <v>0</v>
      </c>
      <c r="R35" s="149">
        <f>IF($B35="","",IF(OR($B36="",ROUNDUP(($A35+1)/Inputs!$B$14,0)&gt;$B35),SUMIF($B$4:$B35,$B35,M$4:M35),0))</f>
        <v>0</v>
      </c>
      <c r="S35" s="149">
        <f>IF($B35="","",IF(OR($B36="",ROUNDUP(($A35+1)/Inputs!$B$14,0)&gt;$B35),SUMIF($B$4:$B35,$B35,N$4:N35),0))</f>
        <v>0</v>
      </c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spans="1:31" ht="18" customHeight="1">
      <c r="A36" s="157">
        <v>33</v>
      </c>
      <c r="B36" s="77">
        <f>ROUNDUP(A36/Inputs!$B$14,0)</f>
        <v>8</v>
      </c>
      <c r="C36" s="160" t="str">
        <f>IF(A36=Inputs!$C$57,"Cuota + abono extra",IF(A36=Inputs!$B$15,"Pago final","Pago normal"))</f>
        <v>Pago normal</v>
      </c>
      <c r="D36" s="149">
        <f t="shared" ref="D36:D67" si="7">J35</f>
        <v>4378017.5819312977</v>
      </c>
      <c r="E36" s="149">
        <f>D36*Inputs!$B$17</f>
        <v>53163.563305547941</v>
      </c>
      <c r="F36" s="149">
        <f>IF(A36&lt;=Inputs!$C$57,MIN(Inputs!$B$20,D36+E36),IF(A36=Inputs!$C$57+1,PMT(Inputs!$B$17,Inputs!$B$15-Inputs!$C$57,-J35),F35))</f>
        <v>111014.82187676849</v>
      </c>
      <c r="G36" s="149">
        <f t="shared" ref="G36:G67" si="8">MIN(D36,F36-E36)</f>
        <v>57851.258571220547</v>
      </c>
      <c r="H36" s="149">
        <f>IF(A36=Inputs!$C$57,MIN(Inputs!$C$56,D36-G36),0)</f>
        <v>0</v>
      </c>
      <c r="I36" s="149">
        <f t="shared" ref="I36:I67" si="9">F36+H36</f>
        <v>111014.82187676849</v>
      </c>
      <c r="J36" s="149">
        <f t="shared" ref="J36:J67" si="10">MAX(0,D36-G36-H36)</f>
        <v>4320166.3233600771</v>
      </c>
      <c r="K36" s="163" t="str">
        <f t="shared" ref="K36:K67" si="11">IF(J36&lt;=0.005,"Amortizado","Vigente")</f>
        <v>Vigente</v>
      </c>
      <c r="L36" s="149">
        <f>Inputs!$B$28</f>
        <v>48643.172307692315</v>
      </c>
      <c r="M36" s="149">
        <f>Inputs!$B$29</f>
        <v>10984.615384615387</v>
      </c>
      <c r="N36" s="149">
        <f>Inputs!$B$30</f>
        <v>3406.3846153846157</v>
      </c>
      <c r="O36" s="149">
        <f t="shared" si="5"/>
        <v>63034.172307692315</v>
      </c>
      <c r="P36" s="149">
        <f t="shared" si="6"/>
        <v>174048.99418446081</v>
      </c>
      <c r="Q36" s="149">
        <f>IF($B36="","",IF(OR($B37="",ROUNDUP(($A36+1)/Inputs!$B$14,0)&gt;$B36),SUMIF($B$4:$B36,$B36,L$4:L36),0))</f>
        <v>0</v>
      </c>
      <c r="R36" s="149">
        <f>IF($B36="","",IF(OR($B37="",ROUNDUP(($A36+1)/Inputs!$B$14,0)&gt;$B36),SUMIF($B$4:$B36,$B36,M$4:M36),0))</f>
        <v>0</v>
      </c>
      <c r="S36" s="149">
        <f>IF($B36="","",IF(OR($B37="",ROUNDUP(($A36+1)/Inputs!$B$14,0)&gt;$B36),SUMIF($B$4:$B36,$B36,N$4:N36),0))</f>
        <v>0</v>
      </c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spans="1:31" ht="18" customHeight="1">
      <c r="A37" s="157">
        <v>34</v>
      </c>
      <c r="B37" s="77">
        <f>ROUNDUP(A37/Inputs!$B$14,0)</f>
        <v>8</v>
      </c>
      <c r="C37" s="160" t="str">
        <f>IF(A37=Inputs!$C$57,"Cuota + abono extra",IF(A37=Inputs!$B$15,"Pago final","Pago normal"))</f>
        <v>Pago normal</v>
      </c>
      <c r="D37" s="149">
        <f t="shared" si="7"/>
        <v>4320166.3233600771</v>
      </c>
      <c r="E37" s="149">
        <f>D37*Inputs!$B$17</f>
        <v>52461.058349868901</v>
      </c>
      <c r="F37" s="149">
        <f>IF(A37&lt;=Inputs!$C$57,MIN(Inputs!$B$20,D37+E37),IF(A37=Inputs!$C$57+1,PMT(Inputs!$B$17,Inputs!$B$15-Inputs!$C$57,-J36),F36))</f>
        <v>111014.82187676849</v>
      </c>
      <c r="G37" s="149">
        <f t="shared" si="8"/>
        <v>58553.763526899587</v>
      </c>
      <c r="H37" s="149">
        <f>IF(A37=Inputs!$C$57,MIN(Inputs!$C$56,D37-G37),0)</f>
        <v>0</v>
      </c>
      <c r="I37" s="149">
        <f t="shared" si="9"/>
        <v>111014.82187676849</v>
      </c>
      <c r="J37" s="149">
        <f t="shared" si="10"/>
        <v>4261612.5598331774</v>
      </c>
      <c r="K37" s="163" t="str">
        <f t="shared" si="11"/>
        <v>Vigente</v>
      </c>
      <c r="L37" s="149">
        <f>Inputs!$B$28</f>
        <v>48643.172307692315</v>
      </c>
      <c r="M37" s="149">
        <f>Inputs!$B$29</f>
        <v>10984.615384615387</v>
      </c>
      <c r="N37" s="149">
        <f>Inputs!$B$30</f>
        <v>3406.3846153846157</v>
      </c>
      <c r="O37" s="149">
        <f t="shared" si="5"/>
        <v>63034.172307692315</v>
      </c>
      <c r="P37" s="149">
        <f t="shared" si="6"/>
        <v>174048.99418446081</v>
      </c>
      <c r="Q37" s="149">
        <f>IF($B37="","",IF(OR($B38="",ROUNDUP(($A37+1)/Inputs!$B$14,0)&gt;$B37),SUMIF($B$4:$B37,$B37,L$4:L37),0))</f>
        <v>194572.68923076926</v>
      </c>
      <c r="R37" s="149">
        <f>IF($B37="","",IF(OR($B38="",ROUNDUP(($A37+1)/Inputs!$B$14,0)&gt;$B37),SUMIF($B$4:$B37,$B37,M$4:M37),0))</f>
        <v>43938.461538461546</v>
      </c>
      <c r="S37" s="149">
        <f>IF($B37="","",IF(OR($B38="",ROUNDUP(($A37+1)/Inputs!$B$14,0)&gt;$B37),SUMIF($B$4:$B37,$B37,N$4:N37),0))</f>
        <v>13625.538461538463</v>
      </c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spans="1:31" ht="18" customHeight="1">
      <c r="A38" s="157">
        <v>35</v>
      </c>
      <c r="B38" s="77">
        <f>ROUNDUP(A38/Inputs!$B$14,0)</f>
        <v>9</v>
      </c>
      <c r="C38" s="160" t="str">
        <f>IF(A38=Inputs!$C$57,"Cuota + abono extra",IF(A38=Inputs!$B$15,"Pago final","Pago normal"))</f>
        <v>Pago normal</v>
      </c>
      <c r="D38" s="149">
        <f t="shared" si="7"/>
        <v>4261612.5598331774</v>
      </c>
      <c r="E38" s="149">
        <f>D38*Inputs!$B$17</f>
        <v>51750.022668585225</v>
      </c>
      <c r="F38" s="149">
        <f>IF(A38&lt;=Inputs!$C$57,MIN(Inputs!$B$20,D38+E38),IF(A38=Inputs!$C$57+1,PMT(Inputs!$B$17,Inputs!$B$15-Inputs!$C$57,-J37),F37))</f>
        <v>111014.82187676849</v>
      </c>
      <c r="G38" s="149">
        <f t="shared" si="8"/>
        <v>59264.799208183264</v>
      </c>
      <c r="H38" s="149">
        <f>IF(A38=Inputs!$C$57,MIN(Inputs!$C$56,D38-G38),0)</f>
        <v>0</v>
      </c>
      <c r="I38" s="149">
        <f t="shared" si="9"/>
        <v>111014.82187676849</v>
      </c>
      <c r="J38" s="149">
        <f t="shared" si="10"/>
        <v>4202347.7606249945</v>
      </c>
      <c r="K38" s="163" t="str">
        <f t="shared" si="11"/>
        <v>Vigente</v>
      </c>
      <c r="L38" s="149">
        <f>Inputs!$B$28</f>
        <v>48643.172307692315</v>
      </c>
      <c r="M38" s="149">
        <f>Inputs!$B$29</f>
        <v>10984.615384615387</v>
      </c>
      <c r="N38" s="149">
        <f>Inputs!$B$30</f>
        <v>3406.3846153846157</v>
      </c>
      <c r="O38" s="149">
        <f t="shared" si="5"/>
        <v>63034.172307692315</v>
      </c>
      <c r="P38" s="149">
        <f t="shared" si="6"/>
        <v>174048.99418446081</v>
      </c>
      <c r="Q38" s="149">
        <f>IF($B38="","",IF(OR($B39="",ROUNDUP(($A38+1)/Inputs!$B$14,0)&gt;$B38),SUMIF($B$4:$B38,$B38,L$4:L38),0))</f>
        <v>0</v>
      </c>
      <c r="R38" s="149">
        <f>IF($B38="","",IF(OR($B39="",ROUNDUP(($A38+1)/Inputs!$B$14,0)&gt;$B38),SUMIF($B$4:$B38,$B38,M$4:M38),0))</f>
        <v>0</v>
      </c>
      <c r="S38" s="149">
        <f>IF($B38="","",IF(OR($B39="",ROUNDUP(($A38+1)/Inputs!$B$14,0)&gt;$B38),SUMIF($B$4:$B38,$B38,N$4:N38),0))</f>
        <v>0</v>
      </c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spans="1:31" ht="18" customHeight="1">
      <c r="A39" s="157">
        <v>36</v>
      </c>
      <c r="B39" s="77">
        <f>ROUNDUP(A39/Inputs!$B$14,0)</f>
        <v>9</v>
      </c>
      <c r="C39" s="160" t="str">
        <f>IF(A39=Inputs!$C$57,"Cuota + abono extra",IF(A39=Inputs!$B$15,"Pago final","Pago normal"))</f>
        <v>Pago normal</v>
      </c>
      <c r="D39" s="149">
        <f t="shared" si="7"/>
        <v>4202347.7606249945</v>
      </c>
      <c r="E39" s="149">
        <f>D39*Inputs!$B$17</f>
        <v>51030.352670570988</v>
      </c>
      <c r="F39" s="149">
        <f>IF(A39&lt;=Inputs!$C$57,MIN(Inputs!$B$20,D39+E39),IF(A39=Inputs!$C$57+1,PMT(Inputs!$B$17,Inputs!$B$15-Inputs!$C$57,-J38),F38))</f>
        <v>111014.82187676849</v>
      </c>
      <c r="G39" s="149">
        <f t="shared" si="8"/>
        <v>59984.4692061975</v>
      </c>
      <c r="H39" s="149">
        <f>IF(A39=Inputs!$C$57,MIN(Inputs!$C$56,D39-G39),0)</f>
        <v>0</v>
      </c>
      <c r="I39" s="149">
        <f t="shared" si="9"/>
        <v>111014.82187676849</v>
      </c>
      <c r="J39" s="149">
        <f t="shared" si="10"/>
        <v>4142363.2914187969</v>
      </c>
      <c r="K39" s="163" t="str">
        <f t="shared" si="11"/>
        <v>Vigente</v>
      </c>
      <c r="L39" s="149">
        <f>Inputs!$B$28</f>
        <v>48643.172307692315</v>
      </c>
      <c r="M39" s="149">
        <f>Inputs!$B$29</f>
        <v>10984.615384615387</v>
      </c>
      <c r="N39" s="149">
        <f>Inputs!$B$30</f>
        <v>3406.3846153846157</v>
      </c>
      <c r="O39" s="149">
        <f t="shared" si="5"/>
        <v>63034.172307692315</v>
      </c>
      <c r="P39" s="149">
        <f t="shared" si="6"/>
        <v>174048.99418446081</v>
      </c>
      <c r="Q39" s="149">
        <f>IF($B39="","",IF(OR($B40="",ROUNDUP(($A39+1)/Inputs!$B$14,0)&gt;$B39),SUMIF($B$4:$B39,$B39,L$4:L39),0))</f>
        <v>0</v>
      </c>
      <c r="R39" s="149">
        <f>IF($B39="","",IF(OR($B40="",ROUNDUP(($A39+1)/Inputs!$B$14,0)&gt;$B39),SUMIF($B$4:$B39,$B39,M$4:M39),0))</f>
        <v>0</v>
      </c>
      <c r="S39" s="149">
        <f>IF($B39="","",IF(OR($B40="",ROUNDUP(($A39+1)/Inputs!$B$14,0)&gt;$B39),SUMIF($B$4:$B39,$B39,N$4:N39),0))</f>
        <v>0</v>
      </c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spans="1:31" ht="18" customHeight="1">
      <c r="A40" s="157">
        <v>37</v>
      </c>
      <c r="B40" s="77">
        <f>ROUNDUP(A40/Inputs!$B$14,0)</f>
        <v>9</v>
      </c>
      <c r="C40" s="160" t="str">
        <f>IF(A40=Inputs!$C$57,"Cuota + abono extra",IF(A40=Inputs!$B$15,"Pago final","Pago normal"))</f>
        <v>Pago normal</v>
      </c>
      <c r="D40" s="149">
        <f t="shared" si="7"/>
        <v>4142363.2914187969</v>
      </c>
      <c r="E40" s="149">
        <f>D40*Inputs!$B$17</f>
        <v>50301.943506762509</v>
      </c>
      <c r="F40" s="149">
        <f>IF(A40&lt;=Inputs!$C$57,MIN(Inputs!$B$20,D40+E40),IF(A40=Inputs!$C$57+1,PMT(Inputs!$B$17,Inputs!$B$15-Inputs!$C$57,-J39),F39))</f>
        <v>111014.82187676849</v>
      </c>
      <c r="G40" s="149">
        <f t="shared" si="8"/>
        <v>60712.878370005979</v>
      </c>
      <c r="H40" s="149">
        <f>IF(A40=Inputs!$C$57,MIN(Inputs!$C$56,D40-G40),0)</f>
        <v>0</v>
      </c>
      <c r="I40" s="149">
        <f t="shared" si="9"/>
        <v>111014.82187676849</v>
      </c>
      <c r="J40" s="149">
        <f t="shared" si="10"/>
        <v>4081650.4130487908</v>
      </c>
      <c r="K40" s="163" t="str">
        <f t="shared" si="11"/>
        <v>Vigente</v>
      </c>
      <c r="L40" s="149">
        <f>Inputs!$B$28</f>
        <v>48643.172307692315</v>
      </c>
      <c r="M40" s="149">
        <f>Inputs!$B$29</f>
        <v>10984.615384615387</v>
      </c>
      <c r="N40" s="149">
        <f>Inputs!$B$30</f>
        <v>3406.3846153846157</v>
      </c>
      <c r="O40" s="149">
        <f t="shared" si="5"/>
        <v>63034.172307692315</v>
      </c>
      <c r="P40" s="149">
        <f t="shared" si="6"/>
        <v>174048.99418446081</v>
      </c>
      <c r="Q40" s="149">
        <f>IF($B40="","",IF(OR($B41="",ROUNDUP(($A40+1)/Inputs!$B$14,0)&gt;$B40),SUMIF($B$4:$B40,$B40,L$4:L40),0))</f>
        <v>0</v>
      </c>
      <c r="R40" s="149">
        <f>IF($B40="","",IF(OR($B41="",ROUNDUP(($A40+1)/Inputs!$B$14,0)&gt;$B40),SUMIF($B$4:$B40,$B40,M$4:M40),0))</f>
        <v>0</v>
      </c>
      <c r="S40" s="149">
        <f>IF($B40="","",IF(OR($B41="",ROUNDUP(($A40+1)/Inputs!$B$14,0)&gt;$B40),SUMIF($B$4:$B40,$B40,N$4:N40),0))</f>
        <v>0</v>
      </c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spans="1:31" ht="18" customHeight="1">
      <c r="A41" s="157">
        <v>38</v>
      </c>
      <c r="B41" s="77">
        <f>ROUNDUP(A41/Inputs!$B$14,0)</f>
        <v>9</v>
      </c>
      <c r="C41" s="160" t="str">
        <f>IF(A41=Inputs!$C$57,"Cuota + abono extra",IF(A41=Inputs!$B$15,"Pago final","Pago normal"))</f>
        <v>Pago normal</v>
      </c>
      <c r="D41" s="149">
        <f t="shared" si="7"/>
        <v>4081650.4130487908</v>
      </c>
      <c r="E41" s="149">
        <f>D41*Inputs!$B$17</f>
        <v>49564.689054882947</v>
      </c>
      <c r="F41" s="149">
        <f>IF(A41&lt;=Inputs!$C$57,MIN(Inputs!$B$20,D41+E41),IF(A41=Inputs!$C$57+1,PMT(Inputs!$B$17,Inputs!$B$15-Inputs!$C$57,-J40),F40))</f>
        <v>111014.82187676849</v>
      </c>
      <c r="G41" s="149">
        <f t="shared" si="8"/>
        <v>61450.132821885541</v>
      </c>
      <c r="H41" s="149">
        <f>IF(A41=Inputs!$C$57,MIN(Inputs!$C$56,D41-G41),0)</f>
        <v>0</v>
      </c>
      <c r="I41" s="149">
        <f t="shared" si="9"/>
        <v>111014.82187676849</v>
      </c>
      <c r="J41" s="149">
        <f t="shared" si="10"/>
        <v>4020200.2802269054</v>
      </c>
      <c r="K41" s="163" t="str">
        <f t="shared" si="11"/>
        <v>Vigente</v>
      </c>
      <c r="L41" s="149">
        <f>Inputs!$B$28</f>
        <v>48643.172307692315</v>
      </c>
      <c r="M41" s="149">
        <f>Inputs!$B$29</f>
        <v>10984.615384615387</v>
      </c>
      <c r="N41" s="149">
        <f>Inputs!$B$30</f>
        <v>3406.3846153846157</v>
      </c>
      <c r="O41" s="149">
        <f t="shared" si="5"/>
        <v>63034.172307692315</v>
      </c>
      <c r="P41" s="149">
        <f t="shared" si="6"/>
        <v>174048.99418446081</v>
      </c>
      <c r="Q41" s="149">
        <f>IF($B41="","",IF(OR($B42="",ROUNDUP(($A41+1)/Inputs!$B$14,0)&gt;$B41),SUMIF($B$4:$B41,$B41,L$4:L41),0))</f>
        <v>0</v>
      </c>
      <c r="R41" s="149">
        <f>IF($B41="","",IF(OR($B42="",ROUNDUP(($A41+1)/Inputs!$B$14,0)&gt;$B41),SUMIF($B$4:$B41,$B41,M$4:M41),0))</f>
        <v>0</v>
      </c>
      <c r="S41" s="149">
        <f>IF($B41="","",IF(OR($B42="",ROUNDUP(($A41+1)/Inputs!$B$14,0)&gt;$B41),SUMIF($B$4:$B41,$B41,N$4:N41),0))</f>
        <v>0</v>
      </c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spans="1:31" ht="18" customHeight="1">
      <c r="A42" s="157">
        <v>39</v>
      </c>
      <c r="B42" s="77">
        <f>ROUNDUP(A42/Inputs!$B$14,0)</f>
        <v>9</v>
      </c>
      <c r="C42" s="160" t="str">
        <f>IF(A42=Inputs!$C$57,"Cuota + abono extra",IF(A42=Inputs!$B$15,"Pago final","Pago normal"))</f>
        <v>Pago normal</v>
      </c>
      <c r="D42" s="149">
        <f t="shared" si="7"/>
        <v>4020200.2802269054</v>
      </c>
      <c r="E42" s="149">
        <f>D42*Inputs!$B$17</f>
        <v>48818.481903981214</v>
      </c>
      <c r="F42" s="149">
        <f>IF(A42&lt;=Inputs!$C$57,MIN(Inputs!$B$20,D42+E42),IF(A42=Inputs!$C$57+1,PMT(Inputs!$B$17,Inputs!$B$15-Inputs!$C$57,-J41),F41))</f>
        <v>111014.82187676849</v>
      </c>
      <c r="G42" s="149">
        <f t="shared" si="8"/>
        <v>62196.339972787275</v>
      </c>
      <c r="H42" s="149">
        <f>IF(A42=Inputs!$C$57,MIN(Inputs!$C$56,D42-G42),0)</f>
        <v>0</v>
      </c>
      <c r="I42" s="149">
        <f t="shared" si="9"/>
        <v>111014.82187676849</v>
      </c>
      <c r="J42" s="149">
        <f t="shared" si="10"/>
        <v>3958003.9402541183</v>
      </c>
      <c r="K42" s="163" t="str">
        <f t="shared" si="11"/>
        <v>Vigente</v>
      </c>
      <c r="L42" s="149">
        <f>Inputs!$B$28</f>
        <v>48643.172307692315</v>
      </c>
      <c r="M42" s="149">
        <f>Inputs!$B$29</f>
        <v>10984.615384615387</v>
      </c>
      <c r="N42" s="149">
        <f>Inputs!$B$30</f>
        <v>3406.3846153846157</v>
      </c>
      <c r="O42" s="149">
        <f t="shared" si="5"/>
        <v>63034.172307692315</v>
      </c>
      <c r="P42" s="149">
        <f t="shared" si="6"/>
        <v>174048.99418446081</v>
      </c>
      <c r="Q42" s="149">
        <f>IF($B42="","",IF(OR($B43="",ROUNDUP(($A42+1)/Inputs!$B$14,0)&gt;$B42),SUMIF($B$4:$B42,$B42,L$4:L42),0))</f>
        <v>243215.86153846158</v>
      </c>
      <c r="R42" s="149">
        <f>IF($B42="","",IF(OR($B43="",ROUNDUP(($A42+1)/Inputs!$B$14,0)&gt;$B42),SUMIF($B$4:$B42,$B42,M$4:M42),0))</f>
        <v>54923.076923076937</v>
      </c>
      <c r="S42" s="149">
        <f>IF($B42="","",IF(OR($B43="",ROUNDUP(($A42+1)/Inputs!$B$14,0)&gt;$B42),SUMIF($B$4:$B42,$B42,N$4:N42),0))</f>
        <v>17031.923076923078</v>
      </c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spans="1:31" ht="18" customHeight="1">
      <c r="A43" s="157">
        <v>40</v>
      </c>
      <c r="B43" s="77">
        <f>ROUNDUP(A43/Inputs!$B$14,0)</f>
        <v>10</v>
      </c>
      <c r="C43" s="160" t="str">
        <f>IF(A43=Inputs!$C$57,"Cuota + abono extra",IF(A43=Inputs!$B$15,"Pago final","Pago normal"))</f>
        <v>Pago normal</v>
      </c>
      <c r="D43" s="149">
        <f t="shared" si="7"/>
        <v>3958003.9402541183</v>
      </c>
      <c r="E43" s="149">
        <f>D43*Inputs!$B$17</f>
        <v>48063.213338783265</v>
      </c>
      <c r="F43" s="149">
        <f>IF(A43&lt;=Inputs!$C$57,MIN(Inputs!$B$20,D43+E43),IF(A43=Inputs!$C$57+1,PMT(Inputs!$B$17,Inputs!$B$15-Inputs!$C$57,-J42),F42))</f>
        <v>111014.82187676849</v>
      </c>
      <c r="G43" s="149">
        <f t="shared" si="8"/>
        <v>62951.608537985223</v>
      </c>
      <c r="H43" s="149">
        <f>IF(A43=Inputs!$C$57,MIN(Inputs!$C$56,D43-G43),0)</f>
        <v>0</v>
      </c>
      <c r="I43" s="149">
        <f t="shared" si="9"/>
        <v>111014.82187676849</v>
      </c>
      <c r="J43" s="149">
        <f t="shared" si="10"/>
        <v>3895052.3317161333</v>
      </c>
      <c r="K43" s="163" t="str">
        <f t="shared" si="11"/>
        <v>Vigente</v>
      </c>
      <c r="L43" s="149">
        <f>Inputs!$B$28</f>
        <v>48643.172307692315</v>
      </c>
      <c r="M43" s="149">
        <f>Inputs!$B$29</f>
        <v>10984.615384615387</v>
      </c>
      <c r="N43" s="149">
        <f>Inputs!$B$30</f>
        <v>3406.3846153846157</v>
      </c>
      <c r="O43" s="149">
        <f t="shared" si="5"/>
        <v>63034.172307692315</v>
      </c>
      <c r="P43" s="149">
        <f t="shared" si="6"/>
        <v>174048.99418446081</v>
      </c>
      <c r="Q43" s="149">
        <f>IF($B43="","",IF(OR($B44="",ROUNDUP(($A43+1)/Inputs!$B$14,0)&gt;$B43),SUMIF($B$4:$B43,$B43,L$4:L43),0))</f>
        <v>0</v>
      </c>
      <c r="R43" s="149">
        <f>IF($B43="","",IF(OR($B44="",ROUNDUP(($A43+1)/Inputs!$B$14,0)&gt;$B43),SUMIF($B$4:$B43,$B43,M$4:M43),0))</f>
        <v>0</v>
      </c>
      <c r="S43" s="149">
        <f>IF($B43="","",IF(OR($B44="",ROUNDUP(($A43+1)/Inputs!$B$14,0)&gt;$B43),SUMIF($B$4:$B43,$B43,N$4:N43),0))</f>
        <v>0</v>
      </c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spans="1:31" ht="18" customHeight="1">
      <c r="A44" s="157">
        <v>41</v>
      </c>
      <c r="B44" s="77">
        <f>ROUNDUP(A44/Inputs!$B$14,0)</f>
        <v>10</v>
      </c>
      <c r="C44" s="160" t="str">
        <f>IF(A44=Inputs!$C$57,"Cuota + abono extra",IF(A44=Inputs!$B$15,"Pago final","Pago normal"))</f>
        <v>Pago normal</v>
      </c>
      <c r="D44" s="149">
        <f t="shared" si="7"/>
        <v>3895052.3317161333</v>
      </c>
      <c r="E44" s="149">
        <f>D44*Inputs!$B$17</f>
        <v>47298.773323853296</v>
      </c>
      <c r="F44" s="149">
        <f>IF(A44&lt;=Inputs!$C$57,MIN(Inputs!$B$20,D44+E44),IF(A44=Inputs!$C$57+1,PMT(Inputs!$B$17,Inputs!$B$15-Inputs!$C$57,-J43),F43))</f>
        <v>111014.82187676849</v>
      </c>
      <c r="G44" s="149">
        <f t="shared" si="8"/>
        <v>63716.048552915192</v>
      </c>
      <c r="H44" s="149">
        <f>IF(A44=Inputs!$C$57,MIN(Inputs!$C$56,D44-G44),0)</f>
        <v>0</v>
      </c>
      <c r="I44" s="149">
        <f t="shared" si="9"/>
        <v>111014.82187676849</v>
      </c>
      <c r="J44" s="149">
        <f t="shared" si="10"/>
        <v>3831336.2831632183</v>
      </c>
      <c r="K44" s="163" t="str">
        <f t="shared" si="11"/>
        <v>Vigente</v>
      </c>
      <c r="L44" s="149">
        <f>Inputs!$B$28</f>
        <v>48643.172307692315</v>
      </c>
      <c r="M44" s="149">
        <f>Inputs!$B$29</f>
        <v>10984.615384615387</v>
      </c>
      <c r="N44" s="149">
        <f>Inputs!$B$30</f>
        <v>3406.3846153846157</v>
      </c>
      <c r="O44" s="149">
        <f t="shared" si="5"/>
        <v>63034.172307692315</v>
      </c>
      <c r="P44" s="149">
        <f t="shared" si="6"/>
        <v>174048.99418446081</v>
      </c>
      <c r="Q44" s="149">
        <f>IF($B44="","",IF(OR($B45="",ROUNDUP(($A44+1)/Inputs!$B$14,0)&gt;$B44),SUMIF($B$4:$B44,$B44,L$4:L44),0))</f>
        <v>0</v>
      </c>
      <c r="R44" s="149">
        <f>IF($B44="","",IF(OR($B45="",ROUNDUP(($A44+1)/Inputs!$B$14,0)&gt;$B44),SUMIF($B$4:$B44,$B44,M$4:M44),0))</f>
        <v>0</v>
      </c>
      <c r="S44" s="149">
        <f>IF($B44="","",IF(OR($B45="",ROUNDUP(($A44+1)/Inputs!$B$14,0)&gt;$B44),SUMIF($B$4:$B44,$B44,N$4:N44),0))</f>
        <v>0</v>
      </c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spans="1:31" ht="18" customHeight="1">
      <c r="A45" s="157">
        <v>42</v>
      </c>
      <c r="B45" s="77">
        <f>ROUNDUP(A45/Inputs!$B$14,0)</f>
        <v>10</v>
      </c>
      <c r="C45" s="160" t="str">
        <f>IF(A45=Inputs!$C$57,"Cuota + abono extra",IF(A45=Inputs!$B$15,"Pago final","Pago normal"))</f>
        <v>Pago normal</v>
      </c>
      <c r="D45" s="149">
        <f t="shared" si="7"/>
        <v>3831336.2831632183</v>
      </c>
      <c r="E45" s="149">
        <f>D45*Inputs!$B$17</f>
        <v>46525.050487562636</v>
      </c>
      <c r="F45" s="149">
        <f>IF(A45&lt;=Inputs!$C$57,MIN(Inputs!$B$20,D45+E45),IF(A45=Inputs!$C$57+1,PMT(Inputs!$B$17,Inputs!$B$15-Inputs!$C$57,-J44),F44))</f>
        <v>111014.82187676849</v>
      </c>
      <c r="G45" s="149">
        <f t="shared" si="8"/>
        <v>64489.771389205853</v>
      </c>
      <c r="H45" s="149">
        <f>IF(A45=Inputs!$C$57,MIN(Inputs!$C$56,D45-G45),0)</f>
        <v>0</v>
      </c>
      <c r="I45" s="149">
        <f t="shared" si="9"/>
        <v>111014.82187676849</v>
      </c>
      <c r="J45" s="149">
        <f t="shared" si="10"/>
        <v>3766846.5117740124</v>
      </c>
      <c r="K45" s="163" t="str">
        <f t="shared" si="11"/>
        <v>Vigente</v>
      </c>
      <c r="L45" s="149">
        <f>Inputs!$B$28</f>
        <v>48643.172307692315</v>
      </c>
      <c r="M45" s="149">
        <f>Inputs!$B$29</f>
        <v>10984.615384615387</v>
      </c>
      <c r="N45" s="149">
        <f>Inputs!$B$30</f>
        <v>3406.3846153846157</v>
      </c>
      <c r="O45" s="149">
        <f t="shared" si="5"/>
        <v>63034.172307692315</v>
      </c>
      <c r="P45" s="149">
        <f t="shared" si="6"/>
        <v>174048.99418446081</v>
      </c>
      <c r="Q45" s="149">
        <f>IF($B45="","",IF(OR($B46="",ROUNDUP(($A45+1)/Inputs!$B$14,0)&gt;$B45),SUMIF($B$4:$B45,$B45,L$4:L45),0))</f>
        <v>0</v>
      </c>
      <c r="R45" s="149">
        <f>IF($B45="","",IF(OR($B46="",ROUNDUP(($A45+1)/Inputs!$B$14,0)&gt;$B45),SUMIF($B$4:$B45,$B45,M$4:M45),0))</f>
        <v>0</v>
      </c>
      <c r="S45" s="149">
        <f>IF($B45="","",IF(OR($B46="",ROUNDUP(($A45+1)/Inputs!$B$14,0)&gt;$B45),SUMIF($B$4:$B45,$B45,N$4:N45),0))</f>
        <v>0</v>
      </c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spans="1:31" ht="18" customHeight="1">
      <c r="A46" s="157">
        <v>43</v>
      </c>
      <c r="B46" s="77">
        <f>ROUNDUP(A46/Inputs!$B$14,0)</f>
        <v>10</v>
      </c>
      <c r="C46" s="160" t="str">
        <f>IF(A46=Inputs!$C$57,"Cuota + abono extra",IF(A46=Inputs!$B$15,"Pago final","Pago normal"))</f>
        <v>Cuota + abono extra</v>
      </c>
      <c r="D46" s="149">
        <f t="shared" si="7"/>
        <v>3766846.5117740124</v>
      </c>
      <c r="E46" s="149">
        <f>D46*Inputs!$B$17</f>
        <v>45741.932105863962</v>
      </c>
      <c r="F46" s="149">
        <f>IF(A46&lt;=Inputs!$C$57,MIN(Inputs!$B$20,D46+E46),IF(A46=Inputs!$C$57+1,PMT(Inputs!$B$17,Inputs!$B$15-Inputs!$C$57,-J45),F45))</f>
        <v>111014.82187676849</v>
      </c>
      <c r="G46" s="149">
        <f t="shared" si="8"/>
        <v>65272.889770904527</v>
      </c>
      <c r="H46" s="149">
        <f>IF(A46=Inputs!$C$57,MIN(Inputs!$C$56,D46-G46),0)</f>
        <v>2000000</v>
      </c>
      <c r="I46" s="149">
        <f t="shared" si="9"/>
        <v>2111014.8218767685</v>
      </c>
      <c r="J46" s="149">
        <f t="shared" si="10"/>
        <v>1701573.6220031078</v>
      </c>
      <c r="K46" s="163" t="str">
        <f t="shared" si="11"/>
        <v>Vigente</v>
      </c>
      <c r="L46" s="149">
        <f>Inputs!$B$28</f>
        <v>48643.172307692315</v>
      </c>
      <c r="M46" s="149">
        <f>Inputs!$B$29</f>
        <v>10984.615384615387</v>
      </c>
      <c r="N46" s="149">
        <f>Inputs!$B$30</f>
        <v>3406.3846153846157</v>
      </c>
      <c r="O46" s="149">
        <f t="shared" si="5"/>
        <v>63034.172307692315</v>
      </c>
      <c r="P46" s="149">
        <f t="shared" si="6"/>
        <v>2174048.994184461</v>
      </c>
      <c r="Q46" s="149">
        <f>IF($B46="","",IF(OR($B47="",ROUNDUP(($A46+1)/Inputs!$B$14,0)&gt;$B46),SUMIF($B$4:$B46,$B46,L$4:L46),0))</f>
        <v>194572.68923076926</v>
      </c>
      <c r="R46" s="149">
        <f>IF($B46="","",IF(OR($B47="",ROUNDUP(($A46+1)/Inputs!$B$14,0)&gt;$B46),SUMIF($B$4:$B46,$B46,M$4:M46),0))</f>
        <v>43938.461538461546</v>
      </c>
      <c r="S46" s="149">
        <f>IF($B46="","",IF(OR($B47="",ROUNDUP(($A46+1)/Inputs!$B$14,0)&gt;$B46),SUMIF($B$4:$B46,$B46,N$4:N46),0))</f>
        <v>13625.538461538463</v>
      </c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spans="1:31" ht="18" customHeight="1">
      <c r="A47" s="157">
        <v>44</v>
      </c>
      <c r="B47" s="77">
        <f>ROUNDUP(A47/Inputs!$B$14,0)</f>
        <v>11</v>
      </c>
      <c r="C47" s="160" t="str">
        <f>IF(A47=Inputs!$C$57,"Cuota + abono extra",IF(A47=Inputs!$B$15,"Pago final","Pago normal"))</f>
        <v>Pago normal</v>
      </c>
      <c r="D47" s="149">
        <f t="shared" si="7"/>
        <v>1701573.6220031078</v>
      </c>
      <c r="E47" s="149">
        <f>D47*Inputs!$B$17</f>
        <v>20662.712124720812</v>
      </c>
      <c r="F47" s="149">
        <f>IF(A47&lt;=Inputs!$C$57,MIN(Inputs!$B$20,D47+E47),IF(A47=Inputs!$C$57+1,PMT(Inputs!$B$17,Inputs!$B$15-Inputs!$C$57,-J46),F46))</f>
        <v>51032.320803782823</v>
      </c>
      <c r="G47" s="149">
        <f t="shared" si="8"/>
        <v>30369.60867906201</v>
      </c>
      <c r="H47" s="149">
        <f>IF(A47=Inputs!$C$57,MIN(Inputs!$C$56,D47-G47),0)</f>
        <v>0</v>
      </c>
      <c r="I47" s="149">
        <f t="shared" si="9"/>
        <v>51032.320803782823</v>
      </c>
      <c r="J47" s="149">
        <f t="shared" si="10"/>
        <v>1671204.0133240458</v>
      </c>
      <c r="K47" s="163" t="str">
        <f t="shared" si="11"/>
        <v>Vigente</v>
      </c>
      <c r="L47" s="149">
        <f>Inputs!$B$28</f>
        <v>48643.172307692315</v>
      </c>
      <c r="M47" s="149">
        <f>Inputs!$B$29</f>
        <v>10984.615384615387</v>
      </c>
      <c r="N47" s="149">
        <f>Inputs!$B$30</f>
        <v>3406.3846153846157</v>
      </c>
      <c r="O47" s="149">
        <f t="shared" si="5"/>
        <v>63034.172307692315</v>
      </c>
      <c r="P47" s="149">
        <f t="shared" si="6"/>
        <v>114066.49311147514</v>
      </c>
      <c r="Q47" s="149">
        <f>IF($B47="","",IF(OR($B48="",ROUNDUP(($A47+1)/Inputs!$B$14,0)&gt;$B47),SUMIF($B$4:$B47,$B47,L$4:L47),0))</f>
        <v>0</v>
      </c>
      <c r="R47" s="149">
        <f>IF($B47="","",IF(OR($B48="",ROUNDUP(($A47+1)/Inputs!$B$14,0)&gt;$B47),SUMIF($B$4:$B47,$B47,M$4:M47),0))</f>
        <v>0</v>
      </c>
      <c r="S47" s="149">
        <f>IF($B47="","",IF(OR($B48="",ROUNDUP(($A47+1)/Inputs!$B$14,0)&gt;$B47),SUMIF($B$4:$B47,$B47,N$4:N47),0))</f>
        <v>0</v>
      </c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spans="1:31" ht="18" customHeight="1">
      <c r="A48" s="157">
        <v>45</v>
      </c>
      <c r="B48" s="77">
        <f>ROUNDUP(A48/Inputs!$B$14,0)</f>
        <v>11</v>
      </c>
      <c r="C48" s="160" t="str">
        <f>IF(A48=Inputs!$C$57,"Cuota + abono extra",IF(A48=Inputs!$B$15,"Pago final","Pago normal"))</f>
        <v>Pago normal</v>
      </c>
      <c r="D48" s="149">
        <f t="shared" si="7"/>
        <v>1671204.0133240458</v>
      </c>
      <c r="E48" s="149">
        <f>D48*Inputs!$B$17</f>
        <v>20293.924977716761</v>
      </c>
      <c r="F48" s="149">
        <f>IF(A48&lt;=Inputs!$C$57,MIN(Inputs!$B$20,D48+E48),IF(A48=Inputs!$C$57+1,PMT(Inputs!$B$17,Inputs!$B$15-Inputs!$C$57,-J47),F47))</f>
        <v>51032.320803782823</v>
      </c>
      <c r="G48" s="149">
        <f t="shared" si="8"/>
        <v>30738.395826066062</v>
      </c>
      <c r="H48" s="149">
        <f>IF(A48=Inputs!$C$57,MIN(Inputs!$C$56,D48-G48),0)</f>
        <v>0</v>
      </c>
      <c r="I48" s="149">
        <f t="shared" si="9"/>
        <v>51032.320803782823</v>
      </c>
      <c r="J48" s="149">
        <f t="shared" si="10"/>
        <v>1640465.6174979797</v>
      </c>
      <c r="K48" s="163" t="str">
        <f t="shared" si="11"/>
        <v>Vigente</v>
      </c>
      <c r="L48" s="149">
        <f>Inputs!$B$28</f>
        <v>48643.172307692315</v>
      </c>
      <c r="M48" s="149">
        <f>Inputs!$B$29</f>
        <v>10984.615384615387</v>
      </c>
      <c r="N48" s="149">
        <f>Inputs!$B$30</f>
        <v>3406.3846153846157</v>
      </c>
      <c r="O48" s="149">
        <f t="shared" si="5"/>
        <v>63034.172307692315</v>
      </c>
      <c r="P48" s="149">
        <f t="shared" si="6"/>
        <v>114066.49311147514</v>
      </c>
      <c r="Q48" s="149">
        <f>IF($B48="","",IF(OR($B49="",ROUNDUP(($A48+1)/Inputs!$B$14,0)&gt;$B48),SUMIF($B$4:$B48,$B48,L$4:L48),0))</f>
        <v>0</v>
      </c>
      <c r="R48" s="149">
        <f>IF($B48="","",IF(OR($B49="",ROUNDUP(($A48+1)/Inputs!$B$14,0)&gt;$B48),SUMIF($B$4:$B48,$B48,M$4:M48),0))</f>
        <v>0</v>
      </c>
      <c r="S48" s="149">
        <f>IF($B48="","",IF(OR($B49="",ROUNDUP(($A48+1)/Inputs!$B$14,0)&gt;$B48),SUMIF($B$4:$B48,$B48,N$4:N48),0))</f>
        <v>0</v>
      </c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spans="1:31" ht="18" customHeight="1">
      <c r="A49" s="157">
        <v>46</v>
      </c>
      <c r="B49" s="77">
        <f>ROUNDUP(A49/Inputs!$B$14,0)</f>
        <v>11</v>
      </c>
      <c r="C49" s="160" t="str">
        <f>IF(A49=Inputs!$C$57,"Cuota + abono extra",IF(A49=Inputs!$B$15,"Pago final","Pago normal"))</f>
        <v>Pago normal</v>
      </c>
      <c r="D49" s="149">
        <f t="shared" si="7"/>
        <v>1640465.6174979797</v>
      </c>
      <c r="E49" s="149">
        <f>D49*Inputs!$B$17</f>
        <v>19920.659539232802</v>
      </c>
      <c r="F49" s="149">
        <f>IF(A49&lt;=Inputs!$C$57,MIN(Inputs!$B$20,D49+E49),IF(A49=Inputs!$C$57+1,PMT(Inputs!$B$17,Inputs!$B$15-Inputs!$C$57,-J48),F48))</f>
        <v>51032.320803782823</v>
      </c>
      <c r="G49" s="149">
        <f t="shared" si="8"/>
        <v>31111.661264550021</v>
      </c>
      <c r="H49" s="149">
        <f>IF(A49=Inputs!$C$57,MIN(Inputs!$C$56,D49-G49),0)</f>
        <v>0</v>
      </c>
      <c r="I49" s="149">
        <f t="shared" si="9"/>
        <v>51032.320803782823</v>
      </c>
      <c r="J49" s="149">
        <f t="shared" si="10"/>
        <v>1609353.9562334297</v>
      </c>
      <c r="K49" s="163" t="str">
        <f t="shared" si="11"/>
        <v>Vigente</v>
      </c>
      <c r="L49" s="149">
        <f>Inputs!$B$28</f>
        <v>48643.172307692315</v>
      </c>
      <c r="M49" s="149">
        <f>Inputs!$B$29</f>
        <v>10984.615384615387</v>
      </c>
      <c r="N49" s="149">
        <f>Inputs!$B$30</f>
        <v>3406.3846153846157</v>
      </c>
      <c r="O49" s="149">
        <f t="shared" si="5"/>
        <v>63034.172307692315</v>
      </c>
      <c r="P49" s="149">
        <f t="shared" si="6"/>
        <v>114066.49311147514</v>
      </c>
      <c r="Q49" s="149">
        <f>IF($B49="","",IF(OR($B50="",ROUNDUP(($A49+1)/Inputs!$B$14,0)&gt;$B49),SUMIF($B$4:$B49,$B49,L$4:L49),0))</f>
        <v>0</v>
      </c>
      <c r="R49" s="149">
        <f>IF($B49="","",IF(OR($B50="",ROUNDUP(($A49+1)/Inputs!$B$14,0)&gt;$B49),SUMIF($B$4:$B49,$B49,M$4:M49),0))</f>
        <v>0</v>
      </c>
      <c r="S49" s="149">
        <f>IF($B49="","",IF(OR($B50="",ROUNDUP(($A49+1)/Inputs!$B$14,0)&gt;$B49),SUMIF($B$4:$B49,$B49,N$4:N49),0))</f>
        <v>0</v>
      </c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spans="1:31" ht="18" customHeight="1">
      <c r="A50" s="157">
        <v>47</v>
      </c>
      <c r="B50" s="77">
        <f>ROUNDUP(A50/Inputs!$B$14,0)</f>
        <v>11</v>
      </c>
      <c r="C50" s="160" t="str">
        <f>IF(A50=Inputs!$C$57,"Cuota + abono extra",IF(A50=Inputs!$B$15,"Pago final","Pago normal"))</f>
        <v>Pago normal</v>
      </c>
      <c r="D50" s="149">
        <f t="shared" si="7"/>
        <v>1609353.9562334297</v>
      </c>
      <c r="E50" s="149">
        <f>D50*Inputs!$B$17</f>
        <v>19542.861428050019</v>
      </c>
      <c r="F50" s="149">
        <f>IF(A50&lt;=Inputs!$C$57,MIN(Inputs!$B$20,D50+E50),IF(A50=Inputs!$C$57+1,PMT(Inputs!$B$17,Inputs!$B$15-Inputs!$C$57,-J49),F49))</f>
        <v>51032.320803782823</v>
      </c>
      <c r="G50" s="149">
        <f t="shared" si="8"/>
        <v>31489.459375732804</v>
      </c>
      <c r="H50" s="149">
        <f>IF(A50=Inputs!$C$57,MIN(Inputs!$C$56,D50-G50),0)</f>
        <v>0</v>
      </c>
      <c r="I50" s="149">
        <f t="shared" si="9"/>
        <v>51032.320803782823</v>
      </c>
      <c r="J50" s="149">
        <f t="shared" si="10"/>
        <v>1577864.4968576969</v>
      </c>
      <c r="K50" s="163" t="str">
        <f t="shared" si="11"/>
        <v>Vigente</v>
      </c>
      <c r="L50" s="149">
        <f>Inputs!$B$28</f>
        <v>48643.172307692315</v>
      </c>
      <c r="M50" s="149">
        <f>Inputs!$B$29</f>
        <v>10984.615384615387</v>
      </c>
      <c r="N50" s="149">
        <f>Inputs!$B$30</f>
        <v>3406.3846153846157</v>
      </c>
      <c r="O50" s="149">
        <f t="shared" si="5"/>
        <v>63034.172307692315</v>
      </c>
      <c r="P50" s="149">
        <f t="shared" si="6"/>
        <v>114066.49311147514</v>
      </c>
      <c r="Q50" s="149">
        <f>IF($B50="","",IF(OR($B51="",ROUNDUP(($A50+1)/Inputs!$B$14,0)&gt;$B50),SUMIF($B$4:$B50,$B50,L$4:L50),0))</f>
        <v>194572.68923076926</v>
      </c>
      <c r="R50" s="149">
        <f>IF($B50="","",IF(OR($B51="",ROUNDUP(($A50+1)/Inputs!$B$14,0)&gt;$B50),SUMIF($B$4:$B50,$B50,M$4:M50),0))</f>
        <v>43938.461538461546</v>
      </c>
      <c r="S50" s="149">
        <f>IF($B50="","",IF(OR($B51="",ROUNDUP(($A50+1)/Inputs!$B$14,0)&gt;$B50),SUMIF($B$4:$B50,$B50,N$4:N50),0))</f>
        <v>13625.538461538463</v>
      </c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spans="1:31" ht="18" customHeight="1">
      <c r="A51" s="157">
        <v>48</v>
      </c>
      <c r="B51" s="77">
        <f>ROUNDUP(A51/Inputs!$B$14,0)</f>
        <v>12</v>
      </c>
      <c r="C51" s="160" t="str">
        <f>IF(A51=Inputs!$C$57,"Cuota + abono extra",IF(A51=Inputs!$B$15,"Pago final","Pago normal"))</f>
        <v>Pago normal</v>
      </c>
      <c r="D51" s="149">
        <f t="shared" si="7"/>
        <v>1577864.4968576969</v>
      </c>
      <c r="E51" s="149">
        <f>D51*Inputs!$B$17</f>
        <v>19160.475602582239</v>
      </c>
      <c r="F51" s="149">
        <f>IF(A51&lt;=Inputs!$C$57,MIN(Inputs!$B$20,D51+E51),IF(A51=Inputs!$C$57+1,PMT(Inputs!$B$17,Inputs!$B$15-Inputs!$C$57,-J50),F50))</f>
        <v>51032.320803782823</v>
      </c>
      <c r="G51" s="149">
        <f t="shared" si="8"/>
        <v>31871.845201200584</v>
      </c>
      <c r="H51" s="149">
        <f>IF(A51=Inputs!$C$57,MIN(Inputs!$C$56,D51-G51),0)</f>
        <v>0</v>
      </c>
      <c r="I51" s="149">
        <f t="shared" si="9"/>
        <v>51032.320803782823</v>
      </c>
      <c r="J51" s="149">
        <f t="shared" si="10"/>
        <v>1545992.6516564963</v>
      </c>
      <c r="K51" s="163" t="str">
        <f t="shared" si="11"/>
        <v>Vigente</v>
      </c>
      <c r="L51" s="149">
        <f>Inputs!$B$28</f>
        <v>48643.172307692315</v>
      </c>
      <c r="M51" s="149">
        <f>Inputs!$B$29</f>
        <v>10984.615384615387</v>
      </c>
      <c r="N51" s="149">
        <f>Inputs!$B$30</f>
        <v>3406.3846153846157</v>
      </c>
      <c r="O51" s="149">
        <f t="shared" si="5"/>
        <v>63034.172307692315</v>
      </c>
      <c r="P51" s="149">
        <f t="shared" si="6"/>
        <v>114066.49311147514</v>
      </c>
      <c r="Q51" s="149">
        <f>IF($B51="","",IF(OR($B52="",ROUNDUP(($A51+1)/Inputs!$B$14,0)&gt;$B51),SUMIF($B$4:$B51,$B51,L$4:L51),0))</f>
        <v>0</v>
      </c>
      <c r="R51" s="149">
        <f>IF($B51="","",IF(OR($B52="",ROUNDUP(($A51+1)/Inputs!$B$14,0)&gt;$B51),SUMIF($B$4:$B51,$B51,M$4:M51),0))</f>
        <v>0</v>
      </c>
      <c r="S51" s="149">
        <f>IF($B51="","",IF(OR($B52="",ROUNDUP(($A51+1)/Inputs!$B$14,0)&gt;$B51),SUMIF($B$4:$B51,$B51,N$4:N51),0))</f>
        <v>0</v>
      </c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spans="1:31" ht="18" customHeight="1">
      <c r="A52" s="157">
        <v>49</v>
      </c>
      <c r="B52" s="77">
        <f>ROUNDUP(A52/Inputs!$B$14,0)</f>
        <v>12</v>
      </c>
      <c r="C52" s="160" t="str">
        <f>IF(A52=Inputs!$C$57,"Cuota + abono extra",IF(A52=Inputs!$B$15,"Pago final","Pago normal"))</f>
        <v>Pago normal</v>
      </c>
      <c r="D52" s="149">
        <f t="shared" si="7"/>
        <v>1545992.6516564963</v>
      </c>
      <c r="E52" s="149">
        <f>D52*Inputs!$B$17</f>
        <v>18773.44635285703</v>
      </c>
      <c r="F52" s="149">
        <f>IF(A52&lt;=Inputs!$C$57,MIN(Inputs!$B$20,D52+E52),IF(A52=Inputs!$C$57+1,PMT(Inputs!$B$17,Inputs!$B$15-Inputs!$C$57,-J51),F51))</f>
        <v>51032.320803782823</v>
      </c>
      <c r="G52" s="149">
        <f t="shared" si="8"/>
        <v>32258.874450925792</v>
      </c>
      <c r="H52" s="149">
        <f>IF(A52=Inputs!$C$57,MIN(Inputs!$C$56,D52-G52),0)</f>
        <v>0</v>
      </c>
      <c r="I52" s="149">
        <f t="shared" si="9"/>
        <v>51032.320803782823</v>
      </c>
      <c r="J52" s="149">
        <f t="shared" si="10"/>
        <v>1513733.7772055706</v>
      </c>
      <c r="K52" s="163" t="str">
        <f t="shared" si="11"/>
        <v>Vigente</v>
      </c>
      <c r="L52" s="149">
        <f>Inputs!$B$28</f>
        <v>48643.172307692315</v>
      </c>
      <c r="M52" s="149">
        <f>Inputs!$B$29</f>
        <v>10984.615384615387</v>
      </c>
      <c r="N52" s="149">
        <f>Inputs!$B$30</f>
        <v>3406.3846153846157</v>
      </c>
      <c r="O52" s="149">
        <f t="shared" si="5"/>
        <v>63034.172307692315</v>
      </c>
      <c r="P52" s="149">
        <f t="shared" si="6"/>
        <v>114066.49311147514</v>
      </c>
      <c r="Q52" s="149">
        <f>IF($B52="","",IF(OR($B53="",ROUNDUP(($A52+1)/Inputs!$B$14,0)&gt;$B52),SUMIF($B$4:$B52,$B52,L$4:L52),0))</f>
        <v>0</v>
      </c>
      <c r="R52" s="149">
        <f>IF($B52="","",IF(OR($B53="",ROUNDUP(($A52+1)/Inputs!$B$14,0)&gt;$B52),SUMIF($B$4:$B52,$B52,M$4:M52),0))</f>
        <v>0</v>
      </c>
      <c r="S52" s="149">
        <f>IF($B52="","",IF(OR($B53="",ROUNDUP(($A52+1)/Inputs!$B$14,0)&gt;$B52),SUMIF($B$4:$B52,$B52,N$4:N52),0))</f>
        <v>0</v>
      </c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spans="1:31" ht="18" customHeight="1">
      <c r="A53" s="157">
        <v>50</v>
      </c>
      <c r="B53" s="77">
        <f>ROUNDUP(A53/Inputs!$B$14,0)</f>
        <v>12</v>
      </c>
      <c r="C53" s="160" t="str">
        <f>IF(A53=Inputs!$C$57,"Cuota + abono extra",IF(A53=Inputs!$B$15,"Pago final","Pago normal"))</f>
        <v>Pago normal</v>
      </c>
      <c r="D53" s="149">
        <f t="shared" si="7"/>
        <v>1513733.7772055706</v>
      </c>
      <c r="E53" s="149">
        <f>D53*Inputs!$B$17</f>
        <v>18381.717292399266</v>
      </c>
      <c r="F53" s="149">
        <f>IF(A53&lt;=Inputs!$C$57,MIN(Inputs!$B$20,D53+E53),IF(A53=Inputs!$C$57+1,PMT(Inputs!$B$17,Inputs!$B$15-Inputs!$C$57,-J52),F52))</f>
        <v>51032.320803782823</v>
      </c>
      <c r="G53" s="149">
        <f t="shared" si="8"/>
        <v>32650.603511383557</v>
      </c>
      <c r="H53" s="149">
        <f>IF(A53=Inputs!$C$57,MIN(Inputs!$C$56,D53-G53),0)</f>
        <v>0</v>
      </c>
      <c r="I53" s="149">
        <f t="shared" si="9"/>
        <v>51032.320803782823</v>
      </c>
      <c r="J53" s="149">
        <f t="shared" si="10"/>
        <v>1481083.1736941871</v>
      </c>
      <c r="K53" s="163" t="str">
        <f t="shared" si="11"/>
        <v>Vigente</v>
      </c>
      <c r="L53" s="149">
        <f>Inputs!$B$28</f>
        <v>48643.172307692315</v>
      </c>
      <c r="M53" s="149">
        <f>Inputs!$B$29</f>
        <v>10984.615384615387</v>
      </c>
      <c r="N53" s="149">
        <f>Inputs!$B$30</f>
        <v>3406.3846153846157</v>
      </c>
      <c r="O53" s="149">
        <f t="shared" si="5"/>
        <v>63034.172307692315</v>
      </c>
      <c r="P53" s="149">
        <f t="shared" si="6"/>
        <v>114066.49311147514</v>
      </c>
      <c r="Q53" s="149">
        <f>IF($B53="","",IF(OR($B54="",ROUNDUP(($A53+1)/Inputs!$B$14,0)&gt;$B53),SUMIF($B$4:$B53,$B53,L$4:L53),0))</f>
        <v>0</v>
      </c>
      <c r="R53" s="149">
        <f>IF($B53="","",IF(OR($B54="",ROUNDUP(($A53+1)/Inputs!$B$14,0)&gt;$B53),SUMIF($B$4:$B53,$B53,M$4:M53),0))</f>
        <v>0</v>
      </c>
      <c r="S53" s="149">
        <f>IF($B53="","",IF(OR($B54="",ROUNDUP(($A53+1)/Inputs!$B$14,0)&gt;$B53),SUMIF($B$4:$B53,$B53,N$4:N53),0))</f>
        <v>0</v>
      </c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spans="1:31" ht="18" customHeight="1">
      <c r="A54" s="157">
        <v>51</v>
      </c>
      <c r="B54" s="77">
        <f>ROUNDUP(A54/Inputs!$B$14,0)</f>
        <v>12</v>
      </c>
      <c r="C54" s="160" t="str">
        <f>IF(A54=Inputs!$C$57,"Cuota + abono extra",IF(A54=Inputs!$B$15,"Pago final","Pago normal"))</f>
        <v>Pago normal</v>
      </c>
      <c r="D54" s="149">
        <f t="shared" si="7"/>
        <v>1481083.1736941871</v>
      </c>
      <c r="E54" s="149">
        <f>D54*Inputs!$B$17</f>
        <v>17985.231350016173</v>
      </c>
      <c r="F54" s="149">
        <f>IF(A54&lt;=Inputs!$C$57,MIN(Inputs!$B$20,D54+E54),IF(A54=Inputs!$C$57+1,PMT(Inputs!$B$17,Inputs!$B$15-Inputs!$C$57,-J53),F53))</f>
        <v>51032.320803782823</v>
      </c>
      <c r="G54" s="149">
        <f t="shared" si="8"/>
        <v>33047.089453766646</v>
      </c>
      <c r="H54" s="149">
        <f>IF(A54=Inputs!$C$57,MIN(Inputs!$C$56,D54-G54),0)</f>
        <v>0</v>
      </c>
      <c r="I54" s="149">
        <f t="shared" si="9"/>
        <v>51032.320803782823</v>
      </c>
      <c r="J54" s="149">
        <f t="shared" si="10"/>
        <v>1448036.0842404205</v>
      </c>
      <c r="K54" s="163" t="str">
        <f t="shared" si="11"/>
        <v>Vigente</v>
      </c>
      <c r="L54" s="149">
        <f>Inputs!$B$28</f>
        <v>48643.172307692315</v>
      </c>
      <c r="M54" s="149">
        <f>Inputs!$B$29</f>
        <v>10984.615384615387</v>
      </c>
      <c r="N54" s="149">
        <f>Inputs!$B$30</f>
        <v>3406.3846153846157</v>
      </c>
      <c r="O54" s="149">
        <f t="shared" si="5"/>
        <v>63034.172307692315</v>
      </c>
      <c r="P54" s="149">
        <f t="shared" si="6"/>
        <v>114066.49311147514</v>
      </c>
      <c r="Q54" s="149">
        <f>IF($B54="","",IF(OR($B55="",ROUNDUP(($A54+1)/Inputs!$B$14,0)&gt;$B54),SUMIF($B$4:$B54,$B54,L$4:L54),0))</f>
        <v>0</v>
      </c>
      <c r="R54" s="149">
        <f>IF($B54="","",IF(OR($B55="",ROUNDUP(($A54+1)/Inputs!$B$14,0)&gt;$B54),SUMIF($B$4:$B54,$B54,M$4:M54),0))</f>
        <v>0</v>
      </c>
      <c r="S54" s="149">
        <f>IF($B54="","",IF(OR($B55="",ROUNDUP(($A54+1)/Inputs!$B$14,0)&gt;$B54),SUMIF($B$4:$B54,$B54,N$4:N54),0))</f>
        <v>0</v>
      </c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spans="1:31" ht="18" customHeight="1">
      <c r="A55" s="157">
        <v>52</v>
      </c>
      <c r="B55" s="77">
        <f>ROUNDUP(A55/Inputs!$B$14,0)</f>
        <v>12</v>
      </c>
      <c r="C55" s="160" t="str">
        <f>IF(A55=Inputs!$C$57,"Cuota + abono extra",IF(A55=Inputs!$B$15,"Pago final","Pago normal"))</f>
        <v>Pago normal</v>
      </c>
      <c r="D55" s="149">
        <f t="shared" si="7"/>
        <v>1448036.0842404205</v>
      </c>
      <c r="E55" s="149">
        <f>D55*Inputs!$B$17</f>
        <v>17583.930761482585</v>
      </c>
      <c r="F55" s="149">
        <f>IF(A55&lt;=Inputs!$C$57,MIN(Inputs!$B$20,D55+E55),IF(A55=Inputs!$C$57+1,PMT(Inputs!$B$17,Inputs!$B$15-Inputs!$C$57,-J54),F54))</f>
        <v>51032.320803782823</v>
      </c>
      <c r="G55" s="149">
        <f t="shared" si="8"/>
        <v>33448.390042300234</v>
      </c>
      <c r="H55" s="149">
        <f>IF(A55=Inputs!$C$57,MIN(Inputs!$C$56,D55-G55),0)</f>
        <v>0</v>
      </c>
      <c r="I55" s="149">
        <f t="shared" si="9"/>
        <v>51032.320803782823</v>
      </c>
      <c r="J55" s="149">
        <f t="shared" si="10"/>
        <v>1414587.6941981202</v>
      </c>
      <c r="K55" s="163" t="str">
        <f t="shared" si="11"/>
        <v>Vigente</v>
      </c>
      <c r="L55" s="149">
        <f>Inputs!$B$28</f>
        <v>48643.172307692315</v>
      </c>
      <c r="M55" s="149">
        <f>Inputs!$B$29</f>
        <v>10984.615384615387</v>
      </c>
      <c r="N55" s="149">
        <f>Inputs!$B$30</f>
        <v>3406.3846153846157</v>
      </c>
      <c r="O55" s="149">
        <f t="shared" si="5"/>
        <v>63034.172307692315</v>
      </c>
      <c r="P55" s="149">
        <f t="shared" si="6"/>
        <v>114066.49311147514</v>
      </c>
      <c r="Q55" s="149">
        <f>IF($B55="","",IF(OR($B56="",ROUNDUP(($A55+1)/Inputs!$B$14,0)&gt;$B55),SUMIF($B$4:$B55,$B55,L$4:L55),0))</f>
        <v>243215.86153846158</v>
      </c>
      <c r="R55" s="149">
        <f>IF($B55="","",IF(OR($B56="",ROUNDUP(($A55+1)/Inputs!$B$14,0)&gt;$B55),SUMIF($B$4:$B55,$B55,M$4:M55),0))</f>
        <v>54923.076923076937</v>
      </c>
      <c r="S55" s="149">
        <f>IF($B55="","",IF(OR($B56="",ROUNDUP(($A55+1)/Inputs!$B$14,0)&gt;$B55),SUMIF($B$4:$B55,$B55,N$4:N55),0))</f>
        <v>17031.923076923078</v>
      </c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spans="1:31" ht="18" customHeight="1">
      <c r="A56" s="157">
        <v>53</v>
      </c>
      <c r="B56" s="77">
        <f>ROUNDUP(A56/Inputs!$B$14,0)</f>
        <v>13</v>
      </c>
      <c r="C56" s="160" t="str">
        <f>IF(A56=Inputs!$C$57,"Cuota + abono extra",IF(A56=Inputs!$B$15,"Pago final","Pago normal"))</f>
        <v>Pago normal</v>
      </c>
      <c r="D56" s="149">
        <f t="shared" si="7"/>
        <v>1414587.6941981202</v>
      </c>
      <c r="E56" s="149">
        <f>D56*Inputs!$B$17</f>
        <v>17177.757061125252</v>
      </c>
      <c r="F56" s="149">
        <f>IF(A56&lt;=Inputs!$C$57,MIN(Inputs!$B$20,D56+E56),IF(A56=Inputs!$C$57+1,PMT(Inputs!$B$17,Inputs!$B$15-Inputs!$C$57,-J55),F55))</f>
        <v>51032.320803782823</v>
      </c>
      <c r="G56" s="149">
        <f t="shared" si="8"/>
        <v>33854.56374265757</v>
      </c>
      <c r="H56" s="149">
        <f>IF(A56=Inputs!$C$57,MIN(Inputs!$C$56,D56-G56),0)</f>
        <v>0</v>
      </c>
      <c r="I56" s="149">
        <f t="shared" si="9"/>
        <v>51032.320803782823</v>
      </c>
      <c r="J56" s="149">
        <f t="shared" si="10"/>
        <v>1380733.1304554625</v>
      </c>
      <c r="K56" s="163" t="str">
        <f t="shared" si="11"/>
        <v>Vigente</v>
      </c>
      <c r="L56" s="149">
        <f>Inputs!$B$28</f>
        <v>48643.172307692315</v>
      </c>
      <c r="M56" s="149">
        <f>Inputs!$B$29</f>
        <v>10984.615384615387</v>
      </c>
      <c r="N56" s="149">
        <f>Inputs!$B$30</f>
        <v>3406.3846153846157</v>
      </c>
      <c r="O56" s="149">
        <f t="shared" si="5"/>
        <v>63034.172307692315</v>
      </c>
      <c r="P56" s="149">
        <f t="shared" si="6"/>
        <v>114066.49311147514</v>
      </c>
      <c r="Q56" s="149">
        <f>IF($B56="","",IF(OR($B57="",ROUNDUP(($A56+1)/Inputs!$B$14,0)&gt;$B56),SUMIF($B$4:$B56,$B56,L$4:L56),0))</f>
        <v>0</v>
      </c>
      <c r="R56" s="149">
        <f>IF($B56="","",IF(OR($B57="",ROUNDUP(($A56+1)/Inputs!$B$14,0)&gt;$B56),SUMIF($B$4:$B56,$B56,M$4:M56),0))</f>
        <v>0</v>
      </c>
      <c r="S56" s="149">
        <f>IF($B56="","",IF(OR($B57="",ROUNDUP(($A56+1)/Inputs!$B$14,0)&gt;$B56),SUMIF($B$4:$B56,$B56,N$4:N56),0))</f>
        <v>0</v>
      </c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spans="1:31" ht="18" customHeight="1">
      <c r="A57" s="157">
        <v>54</v>
      </c>
      <c r="B57" s="77">
        <f>ROUNDUP(A57/Inputs!$B$14,0)</f>
        <v>13</v>
      </c>
      <c r="C57" s="160" t="str">
        <f>IF(A57=Inputs!$C$57,"Cuota + abono extra",IF(A57=Inputs!$B$15,"Pago final","Pago normal"))</f>
        <v>Pago normal</v>
      </c>
      <c r="D57" s="149">
        <f t="shared" si="7"/>
        <v>1380733.1304554625</v>
      </c>
      <c r="E57" s="149">
        <f>D57*Inputs!$B$17</f>
        <v>16766.651073304958</v>
      </c>
      <c r="F57" s="149">
        <f>IF(A57&lt;=Inputs!$C$57,MIN(Inputs!$B$20,D57+E57),IF(A57=Inputs!$C$57+1,PMT(Inputs!$B$17,Inputs!$B$15-Inputs!$C$57,-J56),F56))</f>
        <v>51032.320803782823</v>
      </c>
      <c r="G57" s="149">
        <f t="shared" si="8"/>
        <v>34265.669730477865</v>
      </c>
      <c r="H57" s="149">
        <f>IF(A57=Inputs!$C$57,MIN(Inputs!$C$56,D57-G57),0)</f>
        <v>0</v>
      </c>
      <c r="I57" s="149">
        <f t="shared" si="9"/>
        <v>51032.320803782823</v>
      </c>
      <c r="J57" s="149">
        <f t="shared" si="10"/>
        <v>1346467.4607249845</v>
      </c>
      <c r="K57" s="163" t="str">
        <f t="shared" si="11"/>
        <v>Vigente</v>
      </c>
      <c r="L57" s="149">
        <f>Inputs!$B$28</f>
        <v>48643.172307692315</v>
      </c>
      <c r="M57" s="149">
        <f>Inputs!$B$29</f>
        <v>10984.615384615387</v>
      </c>
      <c r="N57" s="149">
        <f>Inputs!$B$30</f>
        <v>3406.3846153846157</v>
      </c>
      <c r="O57" s="149">
        <f t="shared" si="5"/>
        <v>63034.172307692315</v>
      </c>
      <c r="P57" s="149">
        <f t="shared" si="6"/>
        <v>114066.49311147514</v>
      </c>
      <c r="Q57" s="149">
        <f>IF($B57="","",IF(OR($B58="",ROUNDUP(($A57+1)/Inputs!$B$14,0)&gt;$B57),SUMIF($B$4:$B57,$B57,L$4:L57),0))</f>
        <v>0</v>
      </c>
      <c r="R57" s="149">
        <f>IF($B57="","",IF(OR($B58="",ROUNDUP(($A57+1)/Inputs!$B$14,0)&gt;$B57),SUMIF($B$4:$B57,$B57,M$4:M57),0))</f>
        <v>0</v>
      </c>
      <c r="S57" s="149">
        <f>IF($B57="","",IF(OR($B58="",ROUNDUP(($A57+1)/Inputs!$B$14,0)&gt;$B57),SUMIF($B$4:$B57,$B57,N$4:N57),0))</f>
        <v>0</v>
      </c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spans="1:31" ht="18" customHeight="1">
      <c r="A58" s="157">
        <v>55</v>
      </c>
      <c r="B58" s="77">
        <f>ROUNDUP(A58/Inputs!$B$14,0)</f>
        <v>13</v>
      </c>
      <c r="C58" s="160" t="str">
        <f>IF(A58=Inputs!$C$57,"Cuota + abono extra",IF(A58=Inputs!$B$15,"Pago final","Pago normal"))</f>
        <v>Pago normal</v>
      </c>
      <c r="D58" s="149">
        <f t="shared" si="7"/>
        <v>1346467.4607249845</v>
      </c>
      <c r="E58" s="149">
        <f>D58*Inputs!$B$17</f>
        <v>16350.552903795173</v>
      </c>
      <c r="F58" s="149">
        <f>IF(A58&lt;=Inputs!$C$57,MIN(Inputs!$B$20,D58+E58),IF(A58=Inputs!$C$57+1,PMT(Inputs!$B$17,Inputs!$B$15-Inputs!$C$57,-J57),F57))</f>
        <v>51032.320803782823</v>
      </c>
      <c r="G58" s="149">
        <f t="shared" si="8"/>
        <v>34681.767899987652</v>
      </c>
      <c r="H58" s="149">
        <f>IF(A58=Inputs!$C$57,MIN(Inputs!$C$56,D58-G58),0)</f>
        <v>0</v>
      </c>
      <c r="I58" s="149">
        <f t="shared" si="9"/>
        <v>51032.320803782823</v>
      </c>
      <c r="J58" s="149">
        <f t="shared" si="10"/>
        <v>1311785.6928249968</v>
      </c>
      <c r="K58" s="163" t="str">
        <f t="shared" si="11"/>
        <v>Vigente</v>
      </c>
      <c r="L58" s="149">
        <f>Inputs!$B$28</f>
        <v>48643.172307692315</v>
      </c>
      <c r="M58" s="149">
        <f>Inputs!$B$29</f>
        <v>10984.615384615387</v>
      </c>
      <c r="N58" s="149">
        <f>Inputs!$B$30</f>
        <v>3406.3846153846157</v>
      </c>
      <c r="O58" s="149">
        <f t="shared" si="5"/>
        <v>63034.172307692315</v>
      </c>
      <c r="P58" s="149">
        <f t="shared" si="6"/>
        <v>114066.49311147514</v>
      </c>
      <c r="Q58" s="149">
        <f>IF($B58="","",IF(OR($B59="",ROUNDUP(($A58+1)/Inputs!$B$14,0)&gt;$B58),SUMIF($B$4:$B58,$B58,L$4:L58),0))</f>
        <v>0</v>
      </c>
      <c r="R58" s="149">
        <f>IF($B58="","",IF(OR($B59="",ROUNDUP(($A58+1)/Inputs!$B$14,0)&gt;$B58),SUMIF($B$4:$B58,$B58,M$4:M58),0))</f>
        <v>0</v>
      </c>
      <c r="S58" s="149">
        <f>IF($B58="","",IF(OR($B59="",ROUNDUP(($A58+1)/Inputs!$B$14,0)&gt;$B58),SUMIF($B$4:$B58,$B58,N$4:N58),0))</f>
        <v>0</v>
      </c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spans="1:31" ht="18" customHeight="1">
      <c r="A59" s="157">
        <v>56</v>
      </c>
      <c r="B59" s="77">
        <f>ROUNDUP(A59/Inputs!$B$14,0)</f>
        <v>13</v>
      </c>
      <c r="C59" s="160" t="str">
        <f>IF(A59=Inputs!$C$57,"Cuota + abono extra",IF(A59=Inputs!$B$15,"Pago final","Pago normal"))</f>
        <v>Pago normal</v>
      </c>
      <c r="D59" s="149">
        <f t="shared" si="7"/>
        <v>1311785.6928249968</v>
      </c>
      <c r="E59" s="149">
        <f>D59*Inputs!$B$17</f>
        <v>15929.401931056056</v>
      </c>
      <c r="F59" s="149">
        <f>IF(A59&lt;=Inputs!$C$57,MIN(Inputs!$B$20,D59+E59),IF(A59=Inputs!$C$57+1,PMT(Inputs!$B$17,Inputs!$B$15-Inputs!$C$57,-J58),F58))</f>
        <v>51032.320803782823</v>
      </c>
      <c r="G59" s="149">
        <f t="shared" si="8"/>
        <v>35102.918872726768</v>
      </c>
      <c r="H59" s="149">
        <f>IF(A59=Inputs!$C$57,MIN(Inputs!$C$56,D59-G59),0)</f>
        <v>0</v>
      </c>
      <c r="I59" s="149">
        <f t="shared" si="9"/>
        <v>51032.320803782823</v>
      </c>
      <c r="J59" s="149">
        <f t="shared" si="10"/>
        <v>1276682.7739522699</v>
      </c>
      <c r="K59" s="163" t="str">
        <f t="shared" si="11"/>
        <v>Vigente</v>
      </c>
      <c r="L59" s="149">
        <f>Inputs!$B$28</f>
        <v>48643.172307692315</v>
      </c>
      <c r="M59" s="149">
        <f>Inputs!$B$29</f>
        <v>10984.615384615387</v>
      </c>
      <c r="N59" s="149">
        <f>Inputs!$B$30</f>
        <v>3406.3846153846157</v>
      </c>
      <c r="O59" s="149">
        <f t="shared" si="5"/>
        <v>63034.172307692315</v>
      </c>
      <c r="P59" s="149">
        <f t="shared" si="6"/>
        <v>114066.49311147514</v>
      </c>
      <c r="Q59" s="149">
        <f>IF($B59="","",IF(OR($B60="",ROUNDUP(($A59+1)/Inputs!$B$14,0)&gt;$B59),SUMIF($B$4:$B59,$B59,L$4:L59),0))</f>
        <v>194572.68923076926</v>
      </c>
      <c r="R59" s="149">
        <f>IF($B59="","",IF(OR($B60="",ROUNDUP(($A59+1)/Inputs!$B$14,0)&gt;$B59),SUMIF($B$4:$B59,$B59,M$4:M59),0))</f>
        <v>43938.461538461546</v>
      </c>
      <c r="S59" s="149">
        <f>IF($B59="","",IF(OR($B60="",ROUNDUP(($A59+1)/Inputs!$B$14,0)&gt;$B59),SUMIF($B$4:$B59,$B59,N$4:N59),0))</f>
        <v>13625.538461538463</v>
      </c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spans="1:31" ht="18" customHeight="1">
      <c r="A60" s="157">
        <v>57</v>
      </c>
      <c r="B60" s="77">
        <f>ROUNDUP(A60/Inputs!$B$14,0)</f>
        <v>14</v>
      </c>
      <c r="C60" s="160" t="str">
        <f>IF(A60=Inputs!$C$57,"Cuota + abono extra",IF(A60=Inputs!$B$15,"Pago final","Pago normal"))</f>
        <v>Pago normal</v>
      </c>
      <c r="D60" s="149">
        <f t="shared" si="7"/>
        <v>1276682.7739522699</v>
      </c>
      <c r="E60" s="149">
        <f>D60*Inputs!$B$17</f>
        <v>15503.136797402463</v>
      </c>
      <c r="F60" s="149">
        <f>IF(A60&lt;=Inputs!$C$57,MIN(Inputs!$B$20,D60+E60),IF(A60=Inputs!$C$57+1,PMT(Inputs!$B$17,Inputs!$B$15-Inputs!$C$57,-J59),F59))</f>
        <v>51032.320803782823</v>
      </c>
      <c r="G60" s="149">
        <f t="shared" si="8"/>
        <v>35529.184006380361</v>
      </c>
      <c r="H60" s="149">
        <f>IF(A60=Inputs!$C$57,MIN(Inputs!$C$56,D60-G60),0)</f>
        <v>0</v>
      </c>
      <c r="I60" s="149">
        <f t="shared" si="9"/>
        <v>51032.320803782823</v>
      </c>
      <c r="J60" s="149">
        <f t="shared" si="10"/>
        <v>1241153.5899458895</v>
      </c>
      <c r="K60" s="163" t="str">
        <f t="shared" si="11"/>
        <v>Vigente</v>
      </c>
      <c r="L60" s="149">
        <f>Inputs!$B$28</f>
        <v>48643.172307692315</v>
      </c>
      <c r="M60" s="149">
        <f>Inputs!$B$29</f>
        <v>10984.615384615387</v>
      </c>
      <c r="N60" s="149">
        <f>Inputs!$B$30</f>
        <v>3406.3846153846157</v>
      </c>
      <c r="O60" s="149">
        <f t="shared" si="5"/>
        <v>63034.172307692315</v>
      </c>
      <c r="P60" s="149">
        <f t="shared" si="6"/>
        <v>114066.49311147514</v>
      </c>
      <c r="Q60" s="149">
        <f>IF($B60="","",IF(OR($B61="",ROUNDUP(($A60+1)/Inputs!$B$14,0)&gt;$B60),SUMIF($B$4:$B60,$B60,L$4:L60),0))</f>
        <v>0</v>
      </c>
      <c r="R60" s="149">
        <f>IF($B60="","",IF(OR($B61="",ROUNDUP(($A60+1)/Inputs!$B$14,0)&gt;$B60),SUMIF($B$4:$B60,$B60,M$4:M60),0))</f>
        <v>0</v>
      </c>
      <c r="S60" s="149">
        <f>IF($B60="","",IF(OR($B61="",ROUNDUP(($A60+1)/Inputs!$B$14,0)&gt;$B60),SUMIF($B$4:$B60,$B60,N$4:N60),0))</f>
        <v>0</v>
      </c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spans="1:31" ht="18" customHeight="1">
      <c r="A61" s="157">
        <v>58</v>
      </c>
      <c r="B61" s="77">
        <f>ROUNDUP(A61/Inputs!$B$14,0)</f>
        <v>14</v>
      </c>
      <c r="C61" s="160" t="str">
        <f>IF(A61=Inputs!$C$57,"Cuota + abono extra",IF(A61=Inputs!$B$15,"Pago final","Pago normal"))</f>
        <v>Pago normal</v>
      </c>
      <c r="D61" s="149">
        <f t="shared" si="7"/>
        <v>1241153.5899458895</v>
      </c>
      <c r="E61" s="149">
        <f>D61*Inputs!$B$17</f>
        <v>15071.695400064717</v>
      </c>
      <c r="F61" s="149">
        <f>IF(A61&lt;=Inputs!$C$57,MIN(Inputs!$B$20,D61+E61),IF(A61=Inputs!$C$57+1,PMT(Inputs!$B$17,Inputs!$B$15-Inputs!$C$57,-J60),F60))</f>
        <v>51032.320803782823</v>
      </c>
      <c r="G61" s="149">
        <f t="shared" si="8"/>
        <v>35960.625403718106</v>
      </c>
      <c r="H61" s="149">
        <f>IF(A61=Inputs!$C$57,MIN(Inputs!$C$56,D61-G61),0)</f>
        <v>0</v>
      </c>
      <c r="I61" s="149">
        <f t="shared" si="9"/>
        <v>51032.320803782823</v>
      </c>
      <c r="J61" s="149">
        <f t="shared" si="10"/>
        <v>1205192.9645421715</v>
      </c>
      <c r="K61" s="163" t="str">
        <f t="shared" si="11"/>
        <v>Vigente</v>
      </c>
      <c r="L61" s="149">
        <f>Inputs!$B$28</f>
        <v>48643.172307692315</v>
      </c>
      <c r="M61" s="149">
        <f>Inputs!$B$29</f>
        <v>10984.615384615387</v>
      </c>
      <c r="N61" s="149">
        <f>Inputs!$B$30</f>
        <v>3406.3846153846157</v>
      </c>
      <c r="O61" s="149">
        <f t="shared" si="5"/>
        <v>63034.172307692315</v>
      </c>
      <c r="P61" s="149">
        <f t="shared" si="6"/>
        <v>114066.49311147514</v>
      </c>
      <c r="Q61" s="149">
        <f>IF($B61="","",IF(OR($B62="",ROUNDUP(($A61+1)/Inputs!$B$14,0)&gt;$B61),SUMIF($B$4:$B61,$B61,L$4:L61),0))</f>
        <v>0</v>
      </c>
      <c r="R61" s="149">
        <f>IF($B61="","",IF(OR($B62="",ROUNDUP(($A61+1)/Inputs!$B$14,0)&gt;$B61),SUMIF($B$4:$B61,$B61,M$4:M61),0))</f>
        <v>0</v>
      </c>
      <c r="S61" s="149">
        <f>IF($B61="","",IF(OR($B62="",ROUNDUP(($A61+1)/Inputs!$B$14,0)&gt;$B61),SUMIF($B$4:$B61,$B61,N$4:N61),0))</f>
        <v>0</v>
      </c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spans="1:31" ht="18" customHeight="1">
      <c r="A62" s="157">
        <v>59</v>
      </c>
      <c r="B62" s="77">
        <f>ROUNDUP(A62/Inputs!$B$14,0)</f>
        <v>14</v>
      </c>
      <c r="C62" s="160" t="str">
        <f>IF(A62=Inputs!$C$57,"Cuota + abono extra",IF(A62=Inputs!$B$15,"Pago final","Pago normal"))</f>
        <v>Pago normal</v>
      </c>
      <c r="D62" s="149">
        <f t="shared" si="7"/>
        <v>1205192.9645421715</v>
      </c>
      <c r="E62" s="149">
        <f>D62*Inputs!$B$17</f>
        <v>14635.014882140824</v>
      </c>
      <c r="F62" s="149">
        <f>IF(A62&lt;=Inputs!$C$57,MIN(Inputs!$B$20,D62+E62),IF(A62=Inputs!$C$57+1,PMT(Inputs!$B$17,Inputs!$B$15-Inputs!$C$57,-J61),F61))</f>
        <v>51032.320803782823</v>
      </c>
      <c r="G62" s="149">
        <f t="shared" si="8"/>
        <v>36397.305921642001</v>
      </c>
      <c r="H62" s="149">
        <f>IF(A62=Inputs!$C$57,MIN(Inputs!$C$56,D62-G62),0)</f>
        <v>0</v>
      </c>
      <c r="I62" s="149">
        <f t="shared" si="9"/>
        <v>51032.320803782823</v>
      </c>
      <c r="J62" s="149">
        <f t="shared" si="10"/>
        <v>1168795.6586205293</v>
      </c>
      <c r="K62" s="163" t="str">
        <f t="shared" si="11"/>
        <v>Vigente</v>
      </c>
      <c r="L62" s="149">
        <f>Inputs!$B$28</f>
        <v>48643.172307692315</v>
      </c>
      <c r="M62" s="149">
        <f>Inputs!$B$29</f>
        <v>10984.615384615387</v>
      </c>
      <c r="N62" s="149">
        <f>Inputs!$B$30</f>
        <v>3406.3846153846157</v>
      </c>
      <c r="O62" s="149">
        <f t="shared" si="5"/>
        <v>63034.172307692315</v>
      </c>
      <c r="P62" s="149">
        <f t="shared" si="6"/>
        <v>114066.49311147514</v>
      </c>
      <c r="Q62" s="149">
        <f>IF($B62="","",IF(OR($B63="",ROUNDUP(($A62+1)/Inputs!$B$14,0)&gt;$B62),SUMIF($B$4:$B62,$B62,L$4:L62),0))</f>
        <v>0</v>
      </c>
      <c r="R62" s="149">
        <f>IF($B62="","",IF(OR($B63="",ROUNDUP(($A62+1)/Inputs!$B$14,0)&gt;$B62),SUMIF($B$4:$B62,$B62,M$4:M62),0))</f>
        <v>0</v>
      </c>
      <c r="S62" s="149">
        <f>IF($B62="","",IF(OR($B63="",ROUNDUP(($A62+1)/Inputs!$B$14,0)&gt;$B62),SUMIF($B$4:$B62,$B62,N$4:N62),0))</f>
        <v>0</v>
      </c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spans="1:31" ht="18" customHeight="1">
      <c r="A63" s="157">
        <v>60</v>
      </c>
      <c r="B63" s="77">
        <f>ROUNDUP(A63/Inputs!$B$14,0)</f>
        <v>14</v>
      </c>
      <c r="C63" s="160" t="str">
        <f>IF(A63=Inputs!$C$57,"Cuota + abono extra",IF(A63=Inputs!$B$15,"Pago final","Pago normal"))</f>
        <v>Pago normal</v>
      </c>
      <c r="D63" s="149">
        <f t="shared" si="7"/>
        <v>1168795.6586205293</v>
      </c>
      <c r="E63" s="149">
        <f>D63*Inputs!$B$17</f>
        <v>14193.031623438832</v>
      </c>
      <c r="F63" s="149">
        <f>IF(A63&lt;=Inputs!$C$57,MIN(Inputs!$B$20,D63+E63),IF(A63=Inputs!$C$57+1,PMT(Inputs!$B$17,Inputs!$B$15-Inputs!$C$57,-J62),F62))</f>
        <v>51032.320803782823</v>
      </c>
      <c r="G63" s="149">
        <f t="shared" si="8"/>
        <v>36839.289180343992</v>
      </c>
      <c r="H63" s="149">
        <f>IF(A63=Inputs!$C$57,MIN(Inputs!$C$56,D63-G63),0)</f>
        <v>0</v>
      </c>
      <c r="I63" s="149">
        <f t="shared" si="9"/>
        <v>51032.320803782823</v>
      </c>
      <c r="J63" s="149">
        <f t="shared" si="10"/>
        <v>1131956.3694401854</v>
      </c>
      <c r="K63" s="163" t="str">
        <f t="shared" si="11"/>
        <v>Vigente</v>
      </c>
      <c r="L63" s="149">
        <f>Inputs!$B$28</f>
        <v>48643.172307692315</v>
      </c>
      <c r="M63" s="149">
        <f>Inputs!$B$29</f>
        <v>10984.615384615387</v>
      </c>
      <c r="N63" s="149">
        <f>Inputs!$B$30</f>
        <v>3406.3846153846157</v>
      </c>
      <c r="O63" s="149">
        <f t="shared" si="5"/>
        <v>63034.172307692315</v>
      </c>
      <c r="P63" s="149">
        <f t="shared" si="6"/>
        <v>114066.49311147514</v>
      </c>
      <c r="Q63" s="149">
        <f>IF($B63="","",IF(OR($B64="",ROUNDUP(($A63+1)/Inputs!$B$14,0)&gt;$B63),SUMIF($B$4:$B63,$B63,L$4:L63),0))</f>
        <v>194572.68923076926</v>
      </c>
      <c r="R63" s="149">
        <f>IF($B63="","",IF(OR($B64="",ROUNDUP(($A63+1)/Inputs!$B$14,0)&gt;$B63),SUMIF($B$4:$B63,$B63,M$4:M63),0))</f>
        <v>43938.461538461546</v>
      </c>
      <c r="S63" s="149">
        <f>IF($B63="","",IF(OR($B64="",ROUNDUP(($A63+1)/Inputs!$B$14,0)&gt;$B63),SUMIF($B$4:$B63,$B63,N$4:N63),0))</f>
        <v>13625.538461538463</v>
      </c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spans="1:31" ht="18" customHeight="1">
      <c r="A64" s="157">
        <v>61</v>
      </c>
      <c r="B64" s="77">
        <f>ROUNDUP(A64/Inputs!$B$14,0)</f>
        <v>15</v>
      </c>
      <c r="C64" s="160" t="str">
        <f>IF(A64=Inputs!$C$57,"Cuota + abono extra",IF(A64=Inputs!$B$15,"Pago final","Pago normal"))</f>
        <v>Pago normal</v>
      </c>
      <c r="D64" s="149">
        <f t="shared" si="7"/>
        <v>1131956.3694401854</v>
      </c>
      <c r="E64" s="149">
        <f>D64*Inputs!$B$17</f>
        <v>13745.681231207964</v>
      </c>
      <c r="F64" s="149">
        <f>IF(A64&lt;=Inputs!$C$57,MIN(Inputs!$B$20,D64+E64),IF(A64=Inputs!$C$57+1,PMT(Inputs!$B$17,Inputs!$B$15-Inputs!$C$57,-J63),F63))</f>
        <v>51032.320803782823</v>
      </c>
      <c r="G64" s="149">
        <f t="shared" si="8"/>
        <v>37286.639572574859</v>
      </c>
      <c r="H64" s="149">
        <f>IF(A64=Inputs!$C$57,MIN(Inputs!$C$56,D64-G64),0)</f>
        <v>0</v>
      </c>
      <c r="I64" s="149">
        <f t="shared" si="9"/>
        <v>51032.320803782823</v>
      </c>
      <c r="J64" s="149">
        <f t="shared" si="10"/>
        <v>1094669.7298676106</v>
      </c>
      <c r="K64" s="163" t="str">
        <f t="shared" si="11"/>
        <v>Vigente</v>
      </c>
      <c r="L64" s="149">
        <f>Inputs!$B$28</f>
        <v>48643.172307692315</v>
      </c>
      <c r="M64" s="149">
        <f>Inputs!$B$29</f>
        <v>10984.615384615387</v>
      </c>
      <c r="N64" s="149">
        <f>Inputs!$B$30</f>
        <v>3406.3846153846157</v>
      </c>
      <c r="O64" s="149">
        <f t="shared" si="5"/>
        <v>63034.172307692315</v>
      </c>
      <c r="P64" s="149">
        <f t="shared" si="6"/>
        <v>114066.49311147514</v>
      </c>
      <c r="Q64" s="149">
        <f>IF($B64="","",IF(OR($B65="",ROUNDUP(($A64+1)/Inputs!$B$14,0)&gt;$B64),SUMIF($B$4:$B64,$B64,L$4:L64),0))</f>
        <v>0</v>
      </c>
      <c r="R64" s="149">
        <f>IF($B64="","",IF(OR($B65="",ROUNDUP(($A64+1)/Inputs!$B$14,0)&gt;$B64),SUMIF($B$4:$B64,$B64,M$4:M64),0))</f>
        <v>0</v>
      </c>
      <c r="S64" s="149">
        <f>IF($B64="","",IF(OR($B65="",ROUNDUP(($A64+1)/Inputs!$B$14,0)&gt;$B64),SUMIF($B$4:$B64,$B64,N$4:N64),0))</f>
        <v>0</v>
      </c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spans="1:31" ht="18" customHeight="1">
      <c r="A65" s="157">
        <v>62</v>
      </c>
      <c r="B65" s="77">
        <f>ROUNDUP(A65/Inputs!$B$14,0)</f>
        <v>15</v>
      </c>
      <c r="C65" s="160" t="str">
        <f>IF(A65=Inputs!$C$57,"Cuota + abono extra",IF(A65=Inputs!$B$15,"Pago final","Pago normal"))</f>
        <v>Pago normal</v>
      </c>
      <c r="D65" s="149">
        <f t="shared" si="7"/>
        <v>1094669.7298676106</v>
      </c>
      <c r="E65" s="149">
        <f>D65*Inputs!$B$17</f>
        <v>13292.898530757209</v>
      </c>
      <c r="F65" s="149">
        <f>IF(A65&lt;=Inputs!$C$57,MIN(Inputs!$B$20,D65+E65),IF(A65=Inputs!$C$57+1,PMT(Inputs!$B$17,Inputs!$B$15-Inputs!$C$57,-J64),F64))</f>
        <v>51032.320803782823</v>
      </c>
      <c r="G65" s="149">
        <f t="shared" si="8"/>
        <v>37739.422273025615</v>
      </c>
      <c r="H65" s="149">
        <f>IF(A65=Inputs!$C$57,MIN(Inputs!$C$56,D65-G65),0)</f>
        <v>0</v>
      </c>
      <c r="I65" s="149">
        <f t="shared" si="9"/>
        <v>51032.320803782823</v>
      </c>
      <c r="J65" s="149">
        <f t="shared" si="10"/>
        <v>1056930.307594585</v>
      </c>
      <c r="K65" s="163" t="str">
        <f t="shared" si="11"/>
        <v>Vigente</v>
      </c>
      <c r="L65" s="149">
        <f>Inputs!$B$28</f>
        <v>48643.172307692315</v>
      </c>
      <c r="M65" s="149">
        <f>Inputs!$B$29</f>
        <v>10984.615384615387</v>
      </c>
      <c r="N65" s="149">
        <f>Inputs!$B$30</f>
        <v>3406.3846153846157</v>
      </c>
      <c r="O65" s="149">
        <f t="shared" si="5"/>
        <v>63034.172307692315</v>
      </c>
      <c r="P65" s="149">
        <f t="shared" si="6"/>
        <v>114066.49311147514</v>
      </c>
      <c r="Q65" s="149">
        <f>IF($B65="","",IF(OR($B66="",ROUNDUP(($A65+1)/Inputs!$B$14,0)&gt;$B65),SUMIF($B$4:$B65,$B65,L$4:L65),0))</f>
        <v>0</v>
      </c>
      <c r="R65" s="149">
        <f>IF($B65="","",IF(OR($B66="",ROUNDUP(($A65+1)/Inputs!$B$14,0)&gt;$B65),SUMIF($B$4:$B65,$B65,M$4:M65),0))</f>
        <v>0</v>
      </c>
      <c r="S65" s="149">
        <f>IF($B65="","",IF(OR($B66="",ROUNDUP(($A65+1)/Inputs!$B$14,0)&gt;$B65),SUMIF($B$4:$B65,$B65,N$4:N65),0))</f>
        <v>0</v>
      </c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spans="1:31" ht="18" customHeight="1">
      <c r="A66" s="157">
        <v>63</v>
      </c>
      <c r="B66" s="77">
        <f>ROUNDUP(A66/Inputs!$B$14,0)</f>
        <v>15</v>
      </c>
      <c r="C66" s="160" t="str">
        <f>IF(A66=Inputs!$C$57,"Cuota + abono extra",IF(A66=Inputs!$B$15,"Pago final","Pago normal"))</f>
        <v>Pago normal</v>
      </c>
      <c r="D66" s="149">
        <f t="shared" si="7"/>
        <v>1056930.307594585</v>
      </c>
      <c r="E66" s="149">
        <f>D66*Inputs!$B$17</f>
        <v>12834.61755596</v>
      </c>
      <c r="F66" s="149">
        <f>IF(A66&lt;=Inputs!$C$57,MIN(Inputs!$B$20,D66+E66),IF(A66=Inputs!$C$57+1,PMT(Inputs!$B$17,Inputs!$B$15-Inputs!$C$57,-J65),F65))</f>
        <v>51032.320803782823</v>
      </c>
      <c r="G66" s="149">
        <f t="shared" si="8"/>
        <v>38197.703247822821</v>
      </c>
      <c r="H66" s="149">
        <f>IF(A66=Inputs!$C$57,MIN(Inputs!$C$56,D66-G66),0)</f>
        <v>0</v>
      </c>
      <c r="I66" s="149">
        <f t="shared" si="9"/>
        <v>51032.320803782823</v>
      </c>
      <c r="J66" s="149">
        <f t="shared" si="10"/>
        <v>1018732.6043467622</v>
      </c>
      <c r="K66" s="163" t="str">
        <f t="shared" si="11"/>
        <v>Vigente</v>
      </c>
      <c r="L66" s="149">
        <f>Inputs!$B$28</f>
        <v>48643.172307692315</v>
      </c>
      <c r="M66" s="149">
        <f>Inputs!$B$29</f>
        <v>10984.615384615387</v>
      </c>
      <c r="N66" s="149">
        <f>Inputs!$B$30</f>
        <v>3406.3846153846157</v>
      </c>
      <c r="O66" s="149">
        <f t="shared" si="5"/>
        <v>63034.172307692315</v>
      </c>
      <c r="P66" s="149">
        <f t="shared" si="6"/>
        <v>114066.49311147514</v>
      </c>
      <c r="Q66" s="149">
        <f>IF($B66="","",IF(OR($B67="",ROUNDUP(($A66+1)/Inputs!$B$14,0)&gt;$B66),SUMIF($B$4:$B66,$B66,L$4:L66),0))</f>
        <v>0</v>
      </c>
      <c r="R66" s="149">
        <f>IF($B66="","",IF(OR($B67="",ROUNDUP(($A66+1)/Inputs!$B$14,0)&gt;$B66),SUMIF($B$4:$B66,$B66,M$4:M66),0))</f>
        <v>0</v>
      </c>
      <c r="S66" s="149">
        <f>IF($B66="","",IF(OR($B67="",ROUNDUP(($A66+1)/Inputs!$B$14,0)&gt;$B66),SUMIF($B$4:$B66,$B66,N$4:N66),0))</f>
        <v>0</v>
      </c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spans="1:31" ht="18" customHeight="1">
      <c r="A67" s="157">
        <v>64</v>
      </c>
      <c r="B67" s="77">
        <f>ROUNDUP(A67/Inputs!$B$14,0)</f>
        <v>15</v>
      </c>
      <c r="C67" s="160" t="str">
        <f>IF(A67=Inputs!$C$57,"Cuota + abono extra",IF(A67=Inputs!$B$15,"Pago final","Pago normal"))</f>
        <v>Pago normal</v>
      </c>
      <c r="D67" s="149">
        <f t="shared" si="7"/>
        <v>1018732.6043467622</v>
      </c>
      <c r="E67" s="149">
        <f>D67*Inputs!$B$17</f>
        <v>12370.77153964356</v>
      </c>
      <c r="F67" s="149">
        <f>IF(A67&lt;=Inputs!$C$57,MIN(Inputs!$B$20,D67+E67),IF(A67=Inputs!$C$57+1,PMT(Inputs!$B$17,Inputs!$B$15-Inputs!$C$57,-J66),F66))</f>
        <v>51032.320803782823</v>
      </c>
      <c r="G67" s="149">
        <f t="shared" si="8"/>
        <v>38661.549264139263</v>
      </c>
      <c r="H67" s="149">
        <f>IF(A67=Inputs!$C$57,MIN(Inputs!$C$56,D67-G67),0)</f>
        <v>0</v>
      </c>
      <c r="I67" s="149">
        <f t="shared" si="9"/>
        <v>51032.320803782823</v>
      </c>
      <c r="J67" s="149">
        <f t="shared" si="10"/>
        <v>980071.05508262292</v>
      </c>
      <c r="K67" s="163" t="str">
        <f t="shared" si="11"/>
        <v>Vigente</v>
      </c>
      <c r="L67" s="149">
        <f>Inputs!$B$28</f>
        <v>48643.172307692315</v>
      </c>
      <c r="M67" s="149">
        <f>Inputs!$B$29</f>
        <v>10984.615384615387</v>
      </c>
      <c r="N67" s="149">
        <f>Inputs!$B$30</f>
        <v>3406.3846153846157</v>
      </c>
      <c r="O67" s="149">
        <f t="shared" si="5"/>
        <v>63034.172307692315</v>
      </c>
      <c r="P67" s="149">
        <f t="shared" si="6"/>
        <v>114066.49311147514</v>
      </c>
      <c r="Q67" s="149">
        <f>IF($B67="","",IF(OR($B68="",ROUNDUP(($A67+1)/Inputs!$B$14,0)&gt;$B67),SUMIF($B$4:$B67,$B67,L$4:L67),0))</f>
        <v>0</v>
      </c>
      <c r="R67" s="149">
        <f>IF($B67="","",IF(OR($B68="",ROUNDUP(($A67+1)/Inputs!$B$14,0)&gt;$B67),SUMIF($B$4:$B67,$B67,M$4:M67),0))</f>
        <v>0</v>
      </c>
      <c r="S67" s="149">
        <f>IF($B67="","",IF(OR($B68="",ROUNDUP(($A67+1)/Inputs!$B$14,0)&gt;$B67),SUMIF($B$4:$B67,$B67,N$4:N67),0))</f>
        <v>0</v>
      </c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spans="1:31" ht="18" customHeight="1">
      <c r="A68" s="157">
        <v>65</v>
      </c>
      <c r="B68" s="77">
        <f>ROUNDUP(A68/Inputs!$B$14,0)</f>
        <v>15</v>
      </c>
      <c r="C68" s="160" t="str">
        <f>IF(A68=Inputs!$C$57,"Cuota + abono extra",IF(A68=Inputs!$B$15,"Pago final","Pago normal"))</f>
        <v>Pago normal</v>
      </c>
      <c r="D68" s="149">
        <f t="shared" ref="D68:D89" si="12">J67</f>
        <v>980071.05508262292</v>
      </c>
      <c r="E68" s="149">
        <f>D68*Inputs!$B$17</f>
        <v>11901.29290386158</v>
      </c>
      <c r="F68" s="149">
        <f>IF(A68&lt;=Inputs!$C$57,MIN(Inputs!$B$20,D68+E68),IF(A68=Inputs!$C$57+1,PMT(Inputs!$B$17,Inputs!$B$15-Inputs!$C$57,-J67),F67))</f>
        <v>51032.320803782823</v>
      </c>
      <c r="G68" s="149">
        <f t="shared" ref="G68:G89" si="13">MIN(D68,F68-E68)</f>
        <v>39131.027899921246</v>
      </c>
      <c r="H68" s="149">
        <f>IF(A68=Inputs!$C$57,MIN(Inputs!$C$56,D68-G68),0)</f>
        <v>0</v>
      </c>
      <c r="I68" s="149">
        <f t="shared" ref="I68:I89" si="14">F68+H68</f>
        <v>51032.320803782823</v>
      </c>
      <c r="J68" s="149">
        <f t="shared" ref="J68:J89" si="15">MAX(0,D68-G68-H68)</f>
        <v>940940.02718270163</v>
      </c>
      <c r="K68" s="163" t="str">
        <f t="shared" ref="K68:K89" si="16">IF(J68&lt;=0.005,"Amortizado","Vigente")</f>
        <v>Vigente</v>
      </c>
      <c r="L68" s="149">
        <f>Inputs!$B$28</f>
        <v>48643.172307692315</v>
      </c>
      <c r="M68" s="149">
        <f>Inputs!$B$29</f>
        <v>10984.615384615387</v>
      </c>
      <c r="N68" s="149">
        <f>Inputs!$B$30</f>
        <v>3406.3846153846157</v>
      </c>
      <c r="O68" s="149">
        <f t="shared" si="5"/>
        <v>63034.172307692315</v>
      </c>
      <c r="P68" s="149">
        <f t="shared" si="6"/>
        <v>114066.49311147514</v>
      </c>
      <c r="Q68" s="149">
        <f>IF($B68="","",IF(OR($B69="",ROUNDUP(($A68+1)/Inputs!$B$14,0)&gt;$B68),SUMIF($B$4:$B68,$B68,L$4:L68),0))</f>
        <v>243215.86153846158</v>
      </c>
      <c r="R68" s="149">
        <f>IF($B68="","",IF(OR($B69="",ROUNDUP(($A68+1)/Inputs!$B$14,0)&gt;$B68),SUMIF($B$4:$B68,$B68,M$4:M68),0))</f>
        <v>54923.076923076937</v>
      </c>
      <c r="S68" s="149">
        <f>IF($B68="","",IF(OR($B69="",ROUNDUP(($A68+1)/Inputs!$B$14,0)&gt;$B68),SUMIF($B$4:$B68,$B68,N$4:N68),0))</f>
        <v>17031.923076923078</v>
      </c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spans="1:31" ht="18" customHeight="1">
      <c r="A69" s="157">
        <v>66</v>
      </c>
      <c r="B69" s="77">
        <f>ROUNDUP(A69/Inputs!$B$14,0)</f>
        <v>16</v>
      </c>
      <c r="C69" s="160" t="str">
        <f>IF(A69=Inputs!$C$57,"Cuota + abono extra",IF(A69=Inputs!$B$15,"Pago final","Pago normal"))</f>
        <v>Pago normal</v>
      </c>
      <c r="D69" s="149">
        <f t="shared" si="12"/>
        <v>940940.02718270163</v>
      </c>
      <c r="E69" s="149">
        <f>D69*Inputs!$B$17</f>
        <v>11426.113250048744</v>
      </c>
      <c r="F69" s="149">
        <f>IF(A69&lt;=Inputs!$C$57,MIN(Inputs!$B$20,D69+E69),IF(A69=Inputs!$C$57+1,PMT(Inputs!$B$17,Inputs!$B$15-Inputs!$C$57,-J68),F68))</f>
        <v>51032.320803782823</v>
      </c>
      <c r="G69" s="149">
        <f t="shared" si="13"/>
        <v>39606.207553734079</v>
      </c>
      <c r="H69" s="149">
        <f>IF(A69=Inputs!$C$57,MIN(Inputs!$C$56,D69-G69),0)</f>
        <v>0</v>
      </c>
      <c r="I69" s="149">
        <f t="shared" si="14"/>
        <v>51032.320803782823</v>
      </c>
      <c r="J69" s="149">
        <f t="shared" si="15"/>
        <v>901333.81962896755</v>
      </c>
      <c r="K69" s="163" t="str">
        <f t="shared" si="16"/>
        <v>Vigente</v>
      </c>
      <c r="L69" s="149">
        <f>Inputs!$B$28</f>
        <v>48643.172307692315</v>
      </c>
      <c r="M69" s="149">
        <f>Inputs!$B$29</f>
        <v>10984.615384615387</v>
      </c>
      <c r="N69" s="149">
        <f>Inputs!$B$30</f>
        <v>3406.3846153846157</v>
      </c>
      <c r="O69" s="149">
        <f t="shared" ref="O69:O89" si="17">SUM(L69:N69)</f>
        <v>63034.172307692315</v>
      </c>
      <c r="P69" s="149">
        <f t="shared" ref="P69:P89" si="18">I69+O69</f>
        <v>114066.49311147514</v>
      </c>
      <c r="Q69" s="149">
        <f>IF($B69="","",IF(OR($B70="",ROUNDUP(($A69+1)/Inputs!$B$14,0)&gt;$B69),SUMIF($B$4:$B69,$B69,L$4:L69),0))</f>
        <v>0</v>
      </c>
      <c r="R69" s="149">
        <f>IF($B69="","",IF(OR($B70="",ROUNDUP(($A69+1)/Inputs!$B$14,0)&gt;$B69),SUMIF($B$4:$B69,$B69,M$4:M69),0))</f>
        <v>0</v>
      </c>
      <c r="S69" s="149">
        <f>IF($B69="","",IF(OR($B70="",ROUNDUP(($A69+1)/Inputs!$B$14,0)&gt;$B69),SUMIF($B$4:$B69,$B69,N$4:N69),0))</f>
        <v>0</v>
      </c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spans="1:31" ht="18" customHeight="1">
      <c r="A70" s="157">
        <v>67</v>
      </c>
      <c r="B70" s="77">
        <f>ROUNDUP(A70/Inputs!$B$14,0)</f>
        <v>16</v>
      </c>
      <c r="C70" s="160" t="str">
        <f>IF(A70=Inputs!$C$57,"Cuota + abono extra",IF(A70=Inputs!$B$15,"Pago final","Pago normal"))</f>
        <v>Pago normal</v>
      </c>
      <c r="D70" s="149">
        <f t="shared" si="12"/>
        <v>901333.81962896755</v>
      </c>
      <c r="E70" s="149">
        <f>D70*Inputs!$B$17</f>
        <v>10945.163349055711</v>
      </c>
      <c r="F70" s="149">
        <f>IF(A70&lt;=Inputs!$C$57,MIN(Inputs!$B$20,D70+E70),IF(A70=Inputs!$C$57+1,PMT(Inputs!$B$17,Inputs!$B$15-Inputs!$C$57,-J69),F69))</f>
        <v>51032.320803782823</v>
      </c>
      <c r="G70" s="149">
        <f t="shared" si="13"/>
        <v>40087.157454727116</v>
      </c>
      <c r="H70" s="149">
        <f>IF(A70=Inputs!$C$57,MIN(Inputs!$C$56,D70-G70),0)</f>
        <v>0</v>
      </c>
      <c r="I70" s="149">
        <f t="shared" si="14"/>
        <v>51032.320803782823</v>
      </c>
      <c r="J70" s="149">
        <f t="shared" si="15"/>
        <v>861246.66217424045</v>
      </c>
      <c r="K70" s="163" t="str">
        <f t="shared" si="16"/>
        <v>Vigente</v>
      </c>
      <c r="L70" s="149">
        <f>Inputs!$B$28</f>
        <v>48643.172307692315</v>
      </c>
      <c r="M70" s="149">
        <f>Inputs!$B$29</f>
        <v>10984.615384615387</v>
      </c>
      <c r="N70" s="149">
        <f>Inputs!$B$30</f>
        <v>3406.3846153846157</v>
      </c>
      <c r="O70" s="149">
        <f t="shared" si="17"/>
        <v>63034.172307692315</v>
      </c>
      <c r="P70" s="149">
        <f t="shared" si="18"/>
        <v>114066.49311147514</v>
      </c>
      <c r="Q70" s="149">
        <f>IF($B70="","",IF(OR($B71="",ROUNDUP(($A70+1)/Inputs!$B$14,0)&gt;$B70),SUMIF($B$4:$B70,$B70,L$4:L70),0))</f>
        <v>0</v>
      </c>
      <c r="R70" s="149">
        <f>IF($B70="","",IF(OR($B71="",ROUNDUP(($A70+1)/Inputs!$B$14,0)&gt;$B70),SUMIF($B$4:$B70,$B70,M$4:M70),0))</f>
        <v>0</v>
      </c>
      <c r="S70" s="149">
        <f>IF($B70="","",IF(OR($B71="",ROUNDUP(($A70+1)/Inputs!$B$14,0)&gt;$B70),SUMIF($B$4:$B70,$B70,N$4:N70),0))</f>
        <v>0</v>
      </c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spans="1:31" ht="18" customHeight="1">
      <c r="A71" s="157">
        <v>68</v>
      </c>
      <c r="B71" s="77">
        <f>ROUNDUP(A71/Inputs!$B$14,0)</f>
        <v>16</v>
      </c>
      <c r="C71" s="160" t="str">
        <f>IF(A71=Inputs!$C$57,"Cuota + abono extra",IF(A71=Inputs!$B$15,"Pago final","Pago normal"))</f>
        <v>Pago normal</v>
      </c>
      <c r="D71" s="149">
        <f t="shared" si="12"/>
        <v>861246.66217424045</v>
      </c>
      <c r="E71" s="149">
        <f>D71*Inputs!$B$17</f>
        <v>10458.373131063092</v>
      </c>
      <c r="F71" s="149">
        <f>IF(A71&lt;=Inputs!$C$57,MIN(Inputs!$B$20,D71+E71),IF(A71=Inputs!$C$57+1,PMT(Inputs!$B$17,Inputs!$B$15-Inputs!$C$57,-J70),F70))</f>
        <v>51032.320803782823</v>
      </c>
      <c r="G71" s="149">
        <f t="shared" si="13"/>
        <v>40573.947672719733</v>
      </c>
      <c r="H71" s="149">
        <f>IF(A71=Inputs!$C$57,MIN(Inputs!$C$56,D71-G71),0)</f>
        <v>0</v>
      </c>
      <c r="I71" s="149">
        <f t="shared" si="14"/>
        <v>51032.320803782823</v>
      </c>
      <c r="J71" s="149">
        <f t="shared" si="15"/>
        <v>820672.71450152074</v>
      </c>
      <c r="K71" s="163" t="str">
        <f t="shared" si="16"/>
        <v>Vigente</v>
      </c>
      <c r="L71" s="149">
        <f>Inputs!$B$28</f>
        <v>48643.172307692315</v>
      </c>
      <c r="M71" s="149">
        <f>Inputs!$B$29</f>
        <v>10984.615384615387</v>
      </c>
      <c r="N71" s="149">
        <f>Inputs!$B$30</f>
        <v>3406.3846153846157</v>
      </c>
      <c r="O71" s="149">
        <f t="shared" si="17"/>
        <v>63034.172307692315</v>
      </c>
      <c r="P71" s="149">
        <f t="shared" si="18"/>
        <v>114066.49311147514</v>
      </c>
      <c r="Q71" s="149">
        <f>IF($B71="","",IF(OR($B72="",ROUNDUP(($A71+1)/Inputs!$B$14,0)&gt;$B71),SUMIF($B$4:$B71,$B71,L$4:L71),0))</f>
        <v>0</v>
      </c>
      <c r="R71" s="149">
        <f>IF($B71="","",IF(OR($B72="",ROUNDUP(($A71+1)/Inputs!$B$14,0)&gt;$B71),SUMIF($B$4:$B71,$B71,M$4:M71),0))</f>
        <v>0</v>
      </c>
      <c r="S71" s="149">
        <f>IF($B71="","",IF(OR($B72="",ROUNDUP(($A71+1)/Inputs!$B$14,0)&gt;$B71),SUMIF($B$4:$B71,$B71,N$4:N71),0))</f>
        <v>0</v>
      </c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spans="1:31" ht="18" customHeight="1">
      <c r="A72" s="157">
        <v>69</v>
      </c>
      <c r="B72" s="77">
        <f>ROUNDUP(A72/Inputs!$B$14,0)</f>
        <v>16</v>
      </c>
      <c r="C72" s="160" t="str">
        <f>IF(A72=Inputs!$C$57,"Cuota + abono extra",IF(A72=Inputs!$B$15,"Pago final","Pago normal"))</f>
        <v>Pago normal</v>
      </c>
      <c r="D72" s="149">
        <f t="shared" si="12"/>
        <v>820672.71450152074</v>
      </c>
      <c r="E72" s="149">
        <f>D72*Inputs!$B$17</f>
        <v>9965.6716753729415</v>
      </c>
      <c r="F72" s="149">
        <f>IF(A72&lt;=Inputs!$C$57,MIN(Inputs!$B$20,D72+E72),IF(A72=Inputs!$C$57+1,PMT(Inputs!$B$17,Inputs!$B$15-Inputs!$C$57,-J71),F71))</f>
        <v>51032.320803782823</v>
      </c>
      <c r="G72" s="149">
        <f t="shared" si="13"/>
        <v>41066.649128409881</v>
      </c>
      <c r="H72" s="149">
        <f>IF(A72=Inputs!$C$57,MIN(Inputs!$C$56,D72-G72),0)</f>
        <v>0</v>
      </c>
      <c r="I72" s="149">
        <f t="shared" si="14"/>
        <v>51032.320803782823</v>
      </c>
      <c r="J72" s="149">
        <f t="shared" si="15"/>
        <v>779606.06537311082</v>
      </c>
      <c r="K72" s="163" t="str">
        <f t="shared" si="16"/>
        <v>Vigente</v>
      </c>
      <c r="L72" s="149">
        <f>Inputs!$B$28</f>
        <v>48643.172307692315</v>
      </c>
      <c r="M72" s="149">
        <f>Inputs!$B$29</f>
        <v>10984.615384615387</v>
      </c>
      <c r="N72" s="149">
        <f>Inputs!$B$30</f>
        <v>3406.3846153846157</v>
      </c>
      <c r="O72" s="149">
        <f t="shared" si="17"/>
        <v>63034.172307692315</v>
      </c>
      <c r="P72" s="149">
        <f t="shared" si="18"/>
        <v>114066.49311147514</v>
      </c>
      <c r="Q72" s="149">
        <f>IF($B72="","",IF(OR($B73="",ROUNDUP(($A72+1)/Inputs!$B$14,0)&gt;$B72),SUMIF($B$4:$B72,$B72,L$4:L72),0))</f>
        <v>194572.68923076926</v>
      </c>
      <c r="R72" s="149">
        <f>IF($B72="","",IF(OR($B73="",ROUNDUP(($A72+1)/Inputs!$B$14,0)&gt;$B72),SUMIF($B$4:$B72,$B72,M$4:M72),0))</f>
        <v>43938.461538461546</v>
      </c>
      <c r="S72" s="149">
        <f>IF($B72="","",IF(OR($B73="",ROUNDUP(($A72+1)/Inputs!$B$14,0)&gt;$B72),SUMIF($B$4:$B72,$B72,N$4:N72),0))</f>
        <v>13625.538461538463</v>
      </c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spans="1:31" ht="18" customHeight="1">
      <c r="A73" s="157">
        <v>70</v>
      </c>
      <c r="B73" s="77">
        <f>ROUNDUP(A73/Inputs!$B$14,0)</f>
        <v>17</v>
      </c>
      <c r="C73" s="160" t="str">
        <f>IF(A73=Inputs!$C$57,"Cuota + abono extra",IF(A73=Inputs!$B$15,"Pago final","Pago normal"))</f>
        <v>Pago normal</v>
      </c>
      <c r="D73" s="149">
        <f t="shared" si="12"/>
        <v>779606.06537311082</v>
      </c>
      <c r="E73" s="149">
        <f>D73*Inputs!$B$17</f>
        <v>9466.9872000762844</v>
      </c>
      <c r="F73" s="149">
        <f>IF(A73&lt;=Inputs!$C$57,MIN(Inputs!$B$20,D73+E73),IF(A73=Inputs!$C$57+1,PMT(Inputs!$B$17,Inputs!$B$15-Inputs!$C$57,-J72),F72))</f>
        <v>51032.320803782823</v>
      </c>
      <c r="G73" s="149">
        <f t="shared" si="13"/>
        <v>41565.333603706538</v>
      </c>
      <c r="H73" s="149">
        <f>IF(A73=Inputs!$C$57,MIN(Inputs!$C$56,D73-G73),0)</f>
        <v>0</v>
      </c>
      <c r="I73" s="149">
        <f t="shared" si="14"/>
        <v>51032.320803782823</v>
      </c>
      <c r="J73" s="149">
        <f t="shared" si="15"/>
        <v>738040.73176940426</v>
      </c>
      <c r="K73" s="163" t="str">
        <f t="shared" si="16"/>
        <v>Vigente</v>
      </c>
      <c r="L73" s="149">
        <f>Inputs!$B$28</f>
        <v>48643.172307692315</v>
      </c>
      <c r="M73" s="149">
        <f>Inputs!$B$29</f>
        <v>10984.615384615387</v>
      </c>
      <c r="N73" s="149">
        <f>Inputs!$B$30</f>
        <v>3406.3846153846157</v>
      </c>
      <c r="O73" s="149">
        <f t="shared" si="17"/>
        <v>63034.172307692315</v>
      </c>
      <c r="P73" s="149">
        <f t="shared" si="18"/>
        <v>114066.49311147514</v>
      </c>
      <c r="Q73" s="149">
        <f>IF($B73="","",IF(OR($B74="",ROUNDUP(($A73+1)/Inputs!$B$14,0)&gt;$B73),SUMIF($B$4:$B73,$B73,L$4:L73),0))</f>
        <v>0</v>
      </c>
      <c r="R73" s="149">
        <f>IF($B73="","",IF(OR($B74="",ROUNDUP(($A73+1)/Inputs!$B$14,0)&gt;$B73),SUMIF($B$4:$B73,$B73,M$4:M73),0))</f>
        <v>0</v>
      </c>
      <c r="S73" s="149">
        <f>IF($B73="","",IF(OR($B74="",ROUNDUP(($A73+1)/Inputs!$B$14,0)&gt;$B73),SUMIF($B$4:$B73,$B73,N$4:N73),0))</f>
        <v>0</v>
      </c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spans="1:31" ht="18" customHeight="1">
      <c r="A74" s="157">
        <v>71</v>
      </c>
      <c r="B74" s="77">
        <f>ROUNDUP(A74/Inputs!$B$14,0)</f>
        <v>17</v>
      </c>
      <c r="C74" s="160" t="str">
        <f>IF(A74=Inputs!$C$57,"Cuota + abono extra",IF(A74=Inputs!$B$15,"Pago final","Pago normal"))</f>
        <v>Pago normal</v>
      </c>
      <c r="D74" s="149">
        <f t="shared" si="12"/>
        <v>738040.73176940426</v>
      </c>
      <c r="E74" s="149">
        <f>D74*Inputs!$B$17</f>
        <v>8962.2470515951845</v>
      </c>
      <c r="F74" s="149">
        <f>IF(A74&lt;=Inputs!$C$57,MIN(Inputs!$B$20,D74+E74),IF(A74=Inputs!$C$57+1,PMT(Inputs!$B$17,Inputs!$B$15-Inputs!$C$57,-J73),F73))</f>
        <v>51032.320803782823</v>
      </c>
      <c r="G74" s="149">
        <f t="shared" si="13"/>
        <v>42070.073752187636</v>
      </c>
      <c r="H74" s="149">
        <f>IF(A74=Inputs!$C$57,MIN(Inputs!$C$56,D74-G74),0)</f>
        <v>0</v>
      </c>
      <c r="I74" s="149">
        <f t="shared" si="14"/>
        <v>51032.320803782823</v>
      </c>
      <c r="J74" s="149">
        <f t="shared" si="15"/>
        <v>695970.6580172166</v>
      </c>
      <c r="K74" s="163" t="str">
        <f t="shared" si="16"/>
        <v>Vigente</v>
      </c>
      <c r="L74" s="149">
        <f>Inputs!$B$28</f>
        <v>48643.172307692315</v>
      </c>
      <c r="M74" s="149">
        <f>Inputs!$B$29</f>
        <v>10984.615384615387</v>
      </c>
      <c r="N74" s="149">
        <f>Inputs!$B$30</f>
        <v>3406.3846153846157</v>
      </c>
      <c r="O74" s="149">
        <f t="shared" si="17"/>
        <v>63034.172307692315</v>
      </c>
      <c r="P74" s="149">
        <f t="shared" si="18"/>
        <v>114066.49311147514</v>
      </c>
      <c r="Q74" s="149">
        <f>IF($B74="","",IF(OR($B75="",ROUNDUP(($A74+1)/Inputs!$B$14,0)&gt;$B74),SUMIF($B$4:$B74,$B74,L$4:L74),0))</f>
        <v>0</v>
      </c>
      <c r="R74" s="149">
        <f>IF($B74="","",IF(OR($B75="",ROUNDUP(($A74+1)/Inputs!$B$14,0)&gt;$B74),SUMIF($B$4:$B74,$B74,M$4:M74),0))</f>
        <v>0</v>
      </c>
      <c r="S74" s="149">
        <f>IF($B74="","",IF(OR($B75="",ROUNDUP(($A74+1)/Inputs!$B$14,0)&gt;$B74),SUMIF($B$4:$B74,$B74,N$4:N74),0))</f>
        <v>0</v>
      </c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spans="1:31" ht="18" customHeight="1">
      <c r="A75" s="157">
        <v>72</v>
      </c>
      <c r="B75" s="77">
        <f>ROUNDUP(A75/Inputs!$B$14,0)</f>
        <v>17</v>
      </c>
      <c r="C75" s="160" t="str">
        <f>IF(A75=Inputs!$C$57,"Cuota + abono extra",IF(A75=Inputs!$B$15,"Pago final","Pago normal"))</f>
        <v>Pago normal</v>
      </c>
      <c r="D75" s="149">
        <f t="shared" si="12"/>
        <v>695970.6580172166</v>
      </c>
      <c r="E75" s="149">
        <f>D75*Inputs!$B$17</f>
        <v>8451.3776940977987</v>
      </c>
      <c r="F75" s="149">
        <f>IF(A75&lt;=Inputs!$C$57,MIN(Inputs!$B$20,D75+E75),IF(A75=Inputs!$C$57+1,PMT(Inputs!$B$17,Inputs!$B$15-Inputs!$C$57,-J74),F74))</f>
        <v>51032.320803782823</v>
      </c>
      <c r="G75" s="149">
        <f t="shared" si="13"/>
        <v>42580.943109685024</v>
      </c>
      <c r="H75" s="149">
        <f>IF(A75=Inputs!$C$57,MIN(Inputs!$C$56,D75-G75),0)</f>
        <v>0</v>
      </c>
      <c r="I75" s="149">
        <f t="shared" si="14"/>
        <v>51032.320803782823</v>
      </c>
      <c r="J75" s="149">
        <f t="shared" si="15"/>
        <v>653389.71490753163</v>
      </c>
      <c r="K75" s="163" t="str">
        <f t="shared" si="16"/>
        <v>Vigente</v>
      </c>
      <c r="L75" s="149">
        <f>Inputs!$B$28</f>
        <v>48643.172307692315</v>
      </c>
      <c r="M75" s="149">
        <f>Inputs!$B$29</f>
        <v>10984.615384615387</v>
      </c>
      <c r="N75" s="149">
        <f>Inputs!$B$30</f>
        <v>3406.3846153846157</v>
      </c>
      <c r="O75" s="149">
        <f t="shared" si="17"/>
        <v>63034.172307692315</v>
      </c>
      <c r="P75" s="149">
        <f t="shared" si="18"/>
        <v>114066.49311147514</v>
      </c>
      <c r="Q75" s="149">
        <f>IF($B75="","",IF(OR($B76="",ROUNDUP(($A75+1)/Inputs!$B$14,0)&gt;$B75),SUMIF($B$4:$B75,$B75,L$4:L75),0))</f>
        <v>0</v>
      </c>
      <c r="R75" s="149">
        <f>IF($B75="","",IF(OR($B76="",ROUNDUP(($A75+1)/Inputs!$B$14,0)&gt;$B75),SUMIF($B$4:$B75,$B75,M$4:M75),0))</f>
        <v>0</v>
      </c>
      <c r="S75" s="149">
        <f>IF($B75="","",IF(OR($B76="",ROUNDUP(($A75+1)/Inputs!$B$14,0)&gt;$B75),SUMIF($B$4:$B75,$B75,N$4:N75),0))</f>
        <v>0</v>
      </c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spans="1:31" ht="18" customHeight="1">
      <c r="A76" s="157">
        <v>73</v>
      </c>
      <c r="B76" s="77">
        <f>ROUNDUP(A76/Inputs!$B$14,0)</f>
        <v>17</v>
      </c>
      <c r="C76" s="160" t="str">
        <f>IF(A76=Inputs!$C$57,"Cuota + abono extra",IF(A76=Inputs!$B$15,"Pago final","Pago normal"))</f>
        <v>Pago normal</v>
      </c>
      <c r="D76" s="149">
        <f t="shared" si="12"/>
        <v>653389.71490753163</v>
      </c>
      <c r="E76" s="149">
        <f>D76*Inputs!$B$17</f>
        <v>7934.3046987849175</v>
      </c>
      <c r="F76" s="149">
        <f>IF(A76&lt;=Inputs!$C$57,MIN(Inputs!$B$20,D76+E76),IF(A76=Inputs!$C$57+1,PMT(Inputs!$B$17,Inputs!$B$15-Inputs!$C$57,-J75),F75))</f>
        <v>51032.320803782823</v>
      </c>
      <c r="G76" s="149">
        <f t="shared" si="13"/>
        <v>43098.016104997907</v>
      </c>
      <c r="H76" s="149">
        <f>IF(A76=Inputs!$C$57,MIN(Inputs!$C$56,D76-G76),0)</f>
        <v>0</v>
      </c>
      <c r="I76" s="149">
        <f t="shared" si="14"/>
        <v>51032.320803782823</v>
      </c>
      <c r="J76" s="149">
        <f t="shared" si="15"/>
        <v>610291.69880253368</v>
      </c>
      <c r="K76" s="163" t="str">
        <f t="shared" si="16"/>
        <v>Vigente</v>
      </c>
      <c r="L76" s="149">
        <f>Inputs!$B$28</f>
        <v>48643.172307692315</v>
      </c>
      <c r="M76" s="149">
        <f>Inputs!$B$29</f>
        <v>10984.615384615387</v>
      </c>
      <c r="N76" s="149">
        <f>Inputs!$B$30</f>
        <v>3406.3846153846157</v>
      </c>
      <c r="O76" s="149">
        <f t="shared" si="17"/>
        <v>63034.172307692315</v>
      </c>
      <c r="P76" s="149">
        <f t="shared" si="18"/>
        <v>114066.49311147514</v>
      </c>
      <c r="Q76" s="149">
        <f>IF($B76="","",IF(OR($B77="",ROUNDUP(($A76+1)/Inputs!$B$14,0)&gt;$B76),SUMIF($B$4:$B76,$B76,L$4:L76),0))</f>
        <v>194572.68923076926</v>
      </c>
      <c r="R76" s="149">
        <f>IF($B76="","",IF(OR($B77="",ROUNDUP(($A76+1)/Inputs!$B$14,0)&gt;$B76),SUMIF($B$4:$B76,$B76,M$4:M76),0))</f>
        <v>43938.461538461546</v>
      </c>
      <c r="S76" s="149">
        <f>IF($B76="","",IF(OR($B77="",ROUNDUP(($A76+1)/Inputs!$B$14,0)&gt;$B76),SUMIF($B$4:$B76,$B76,N$4:N76),0))</f>
        <v>13625.538461538463</v>
      </c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spans="1:31" ht="18" customHeight="1">
      <c r="A77" s="157">
        <v>74</v>
      </c>
      <c r="B77" s="77">
        <f>ROUNDUP(A77/Inputs!$B$14,0)</f>
        <v>18</v>
      </c>
      <c r="C77" s="160" t="str">
        <f>IF(A77=Inputs!$C$57,"Cuota + abono extra",IF(A77=Inputs!$B$15,"Pago final","Pago normal"))</f>
        <v>Pago normal</v>
      </c>
      <c r="D77" s="149">
        <f t="shared" si="12"/>
        <v>610291.69880253368</v>
      </c>
      <c r="E77" s="149">
        <f>D77*Inputs!$B$17</f>
        <v>7410.9527330463898</v>
      </c>
      <c r="F77" s="149">
        <f>IF(A77&lt;=Inputs!$C$57,MIN(Inputs!$B$20,D77+E77),IF(A77=Inputs!$C$57+1,PMT(Inputs!$B$17,Inputs!$B$15-Inputs!$C$57,-J76),F76))</f>
        <v>51032.320803782823</v>
      </c>
      <c r="G77" s="149">
        <f t="shared" si="13"/>
        <v>43621.368070736433</v>
      </c>
      <c r="H77" s="149">
        <f>IF(A77=Inputs!$C$57,MIN(Inputs!$C$56,D77-G77),0)</f>
        <v>0</v>
      </c>
      <c r="I77" s="149">
        <f t="shared" si="14"/>
        <v>51032.320803782823</v>
      </c>
      <c r="J77" s="149">
        <f t="shared" si="15"/>
        <v>566670.33073179726</v>
      </c>
      <c r="K77" s="163" t="str">
        <f t="shared" si="16"/>
        <v>Vigente</v>
      </c>
      <c r="L77" s="149">
        <f>Inputs!$B$28</f>
        <v>48643.172307692315</v>
      </c>
      <c r="M77" s="149">
        <f>Inputs!$B$29</f>
        <v>10984.615384615387</v>
      </c>
      <c r="N77" s="149">
        <f>Inputs!$B$30</f>
        <v>3406.3846153846157</v>
      </c>
      <c r="O77" s="149">
        <f t="shared" si="17"/>
        <v>63034.172307692315</v>
      </c>
      <c r="P77" s="149">
        <f t="shared" si="18"/>
        <v>114066.49311147514</v>
      </c>
      <c r="Q77" s="149">
        <f>IF($B77="","",IF(OR($B78="",ROUNDUP(($A77+1)/Inputs!$B$14,0)&gt;$B77),SUMIF($B$4:$B77,$B77,L$4:L77),0))</f>
        <v>0</v>
      </c>
      <c r="R77" s="149">
        <f>IF($B77="","",IF(OR($B78="",ROUNDUP(($A77+1)/Inputs!$B$14,0)&gt;$B77),SUMIF($B$4:$B77,$B77,M$4:M77),0))</f>
        <v>0</v>
      </c>
      <c r="S77" s="149">
        <f>IF($B77="","",IF(OR($B78="",ROUNDUP(($A77+1)/Inputs!$B$14,0)&gt;$B77),SUMIF($B$4:$B77,$B77,N$4:N77),0))</f>
        <v>0</v>
      </c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spans="1:31" ht="18" customHeight="1">
      <c r="A78" s="157">
        <v>75</v>
      </c>
      <c r="B78" s="77">
        <f>ROUNDUP(A78/Inputs!$B$14,0)</f>
        <v>18</v>
      </c>
      <c r="C78" s="160" t="str">
        <f>IF(A78=Inputs!$C$57,"Cuota + abono extra",IF(A78=Inputs!$B$15,"Pago final","Pago normal"))</f>
        <v>Pago normal</v>
      </c>
      <c r="D78" s="149">
        <f t="shared" si="12"/>
        <v>566670.33073179726</v>
      </c>
      <c r="E78" s="149">
        <f>D78*Inputs!$B$17</f>
        <v>6881.2455494858841</v>
      </c>
      <c r="F78" s="149">
        <f>IF(A78&lt;=Inputs!$C$57,MIN(Inputs!$B$20,D78+E78),IF(A78=Inputs!$C$57+1,PMT(Inputs!$B$17,Inputs!$B$15-Inputs!$C$57,-J77),F77))</f>
        <v>51032.320803782823</v>
      </c>
      <c r="G78" s="149">
        <f t="shared" si="13"/>
        <v>44151.075254296942</v>
      </c>
      <c r="H78" s="149">
        <f>IF(A78=Inputs!$C$57,MIN(Inputs!$C$56,D78-G78),0)</f>
        <v>0</v>
      </c>
      <c r="I78" s="149">
        <f t="shared" si="14"/>
        <v>51032.320803782823</v>
      </c>
      <c r="J78" s="149">
        <f t="shared" si="15"/>
        <v>522519.25547750032</v>
      </c>
      <c r="K78" s="163" t="str">
        <f t="shared" si="16"/>
        <v>Vigente</v>
      </c>
      <c r="L78" s="149">
        <f>Inputs!$B$28</f>
        <v>48643.172307692315</v>
      </c>
      <c r="M78" s="149">
        <f>Inputs!$B$29</f>
        <v>10984.615384615387</v>
      </c>
      <c r="N78" s="149">
        <f>Inputs!$B$30</f>
        <v>3406.3846153846157</v>
      </c>
      <c r="O78" s="149">
        <f t="shared" si="17"/>
        <v>63034.172307692315</v>
      </c>
      <c r="P78" s="149">
        <f t="shared" si="18"/>
        <v>114066.49311147514</v>
      </c>
      <c r="Q78" s="149">
        <f>IF($B78="","",IF(OR($B79="",ROUNDUP(($A78+1)/Inputs!$B$14,0)&gt;$B78),SUMIF($B$4:$B78,$B78,L$4:L78),0))</f>
        <v>0</v>
      </c>
      <c r="R78" s="149">
        <f>IF($B78="","",IF(OR($B79="",ROUNDUP(($A78+1)/Inputs!$B$14,0)&gt;$B78),SUMIF($B$4:$B78,$B78,M$4:M78),0))</f>
        <v>0</v>
      </c>
      <c r="S78" s="149">
        <f>IF($B78="","",IF(OR($B79="",ROUNDUP(($A78+1)/Inputs!$B$14,0)&gt;$B78),SUMIF($B$4:$B78,$B78,N$4:N78),0))</f>
        <v>0</v>
      </c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spans="1:31" ht="18" customHeight="1">
      <c r="A79" s="157">
        <v>76</v>
      </c>
      <c r="B79" s="77">
        <f>ROUNDUP(A79/Inputs!$B$14,0)</f>
        <v>18</v>
      </c>
      <c r="C79" s="160" t="str">
        <f>IF(A79=Inputs!$C$57,"Cuota + abono extra",IF(A79=Inputs!$B$15,"Pago final","Pago normal"))</f>
        <v>Pago normal</v>
      </c>
      <c r="D79" s="149">
        <f t="shared" si="12"/>
        <v>522519.25547750032</v>
      </c>
      <c r="E79" s="149">
        <f>D79*Inputs!$B$17</f>
        <v>6345.1059748123662</v>
      </c>
      <c r="F79" s="149">
        <f>IF(A79&lt;=Inputs!$C$57,MIN(Inputs!$B$20,D79+E79),IF(A79=Inputs!$C$57+1,PMT(Inputs!$B$17,Inputs!$B$15-Inputs!$C$57,-J78),F78))</f>
        <v>51032.320803782823</v>
      </c>
      <c r="G79" s="149">
        <f t="shared" si="13"/>
        <v>44687.214828970456</v>
      </c>
      <c r="H79" s="149">
        <f>IF(A79=Inputs!$C$57,MIN(Inputs!$C$56,D79-G79),0)</f>
        <v>0</v>
      </c>
      <c r="I79" s="149">
        <f t="shared" si="14"/>
        <v>51032.320803782823</v>
      </c>
      <c r="J79" s="149">
        <f t="shared" si="15"/>
        <v>477832.04064852989</v>
      </c>
      <c r="K79" s="163" t="str">
        <f t="shared" si="16"/>
        <v>Vigente</v>
      </c>
      <c r="L79" s="149">
        <f>Inputs!$B$28</f>
        <v>48643.172307692315</v>
      </c>
      <c r="M79" s="149">
        <f>Inputs!$B$29</f>
        <v>10984.615384615387</v>
      </c>
      <c r="N79" s="149">
        <f>Inputs!$B$30</f>
        <v>3406.3846153846157</v>
      </c>
      <c r="O79" s="149">
        <f t="shared" si="17"/>
        <v>63034.172307692315</v>
      </c>
      <c r="P79" s="149">
        <f t="shared" si="18"/>
        <v>114066.49311147514</v>
      </c>
      <c r="Q79" s="149">
        <f>IF($B79="","",IF(OR($B80="",ROUNDUP(($A79+1)/Inputs!$B$14,0)&gt;$B79),SUMIF($B$4:$B79,$B79,L$4:L79),0))</f>
        <v>0</v>
      </c>
      <c r="R79" s="149">
        <f>IF($B79="","",IF(OR($B80="",ROUNDUP(($A79+1)/Inputs!$B$14,0)&gt;$B79),SUMIF($B$4:$B79,$B79,M$4:M79),0))</f>
        <v>0</v>
      </c>
      <c r="S79" s="149">
        <f>IF($B79="","",IF(OR($B80="",ROUNDUP(($A79+1)/Inputs!$B$14,0)&gt;$B79),SUMIF($B$4:$B79,$B79,N$4:N79),0))</f>
        <v>0</v>
      </c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spans="1:31" ht="18" customHeight="1">
      <c r="A80" s="157">
        <v>77</v>
      </c>
      <c r="B80" s="77">
        <f>ROUNDUP(A80/Inputs!$B$14,0)</f>
        <v>18</v>
      </c>
      <c r="C80" s="160" t="str">
        <f>IF(A80=Inputs!$C$57,"Cuota + abono extra",IF(A80=Inputs!$B$15,"Pago final","Pago normal"))</f>
        <v>Pago normal</v>
      </c>
      <c r="D80" s="149">
        <f t="shared" si="12"/>
        <v>477832.04064852989</v>
      </c>
      <c r="E80" s="149">
        <f>D80*Inputs!$B$17</f>
        <v>5802.4558985966896</v>
      </c>
      <c r="F80" s="149">
        <f>IF(A80&lt;=Inputs!$C$57,MIN(Inputs!$B$20,D80+E80),IF(A80=Inputs!$C$57+1,PMT(Inputs!$B$17,Inputs!$B$15-Inputs!$C$57,-J79),F79))</f>
        <v>51032.320803782823</v>
      </c>
      <c r="G80" s="149">
        <f t="shared" si="13"/>
        <v>45229.864905186136</v>
      </c>
      <c r="H80" s="149">
        <f>IF(A80=Inputs!$C$57,MIN(Inputs!$C$56,D80-G80),0)</f>
        <v>0</v>
      </c>
      <c r="I80" s="149">
        <f t="shared" si="14"/>
        <v>51032.320803782823</v>
      </c>
      <c r="J80" s="149">
        <f t="shared" si="15"/>
        <v>432602.17574334377</v>
      </c>
      <c r="K80" s="163" t="str">
        <f t="shared" si="16"/>
        <v>Vigente</v>
      </c>
      <c r="L80" s="149">
        <f>Inputs!$B$28</f>
        <v>48643.172307692315</v>
      </c>
      <c r="M80" s="149">
        <f>Inputs!$B$29</f>
        <v>10984.615384615387</v>
      </c>
      <c r="N80" s="149">
        <f>Inputs!$B$30</f>
        <v>3406.3846153846157</v>
      </c>
      <c r="O80" s="149">
        <f t="shared" si="17"/>
        <v>63034.172307692315</v>
      </c>
      <c r="P80" s="149">
        <f t="shared" si="18"/>
        <v>114066.49311147514</v>
      </c>
      <c r="Q80" s="149">
        <f>IF($B80="","",IF(OR($B81="",ROUNDUP(($A80+1)/Inputs!$B$14,0)&gt;$B80),SUMIF($B$4:$B80,$B80,L$4:L80),0))</f>
        <v>0</v>
      </c>
      <c r="R80" s="149">
        <f>IF($B80="","",IF(OR($B81="",ROUNDUP(($A80+1)/Inputs!$B$14,0)&gt;$B80),SUMIF($B$4:$B80,$B80,M$4:M80),0))</f>
        <v>0</v>
      </c>
      <c r="S80" s="149">
        <f>IF($B80="","",IF(OR($B81="",ROUNDUP(($A80+1)/Inputs!$B$14,0)&gt;$B80),SUMIF($B$4:$B80,$B80,N$4:N80),0))</f>
        <v>0</v>
      </c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spans="1:31" ht="18" customHeight="1">
      <c r="A81" s="157">
        <v>78</v>
      </c>
      <c r="B81" s="77">
        <f>ROUNDUP(A81/Inputs!$B$14,0)</f>
        <v>18</v>
      </c>
      <c r="C81" s="160" t="str">
        <f>IF(A81=Inputs!$C$57,"Cuota + abono extra",IF(A81=Inputs!$B$15,"Pago final","Pago normal"))</f>
        <v>Pago normal</v>
      </c>
      <c r="D81" s="149">
        <f t="shared" si="12"/>
        <v>432602.17574334377</v>
      </c>
      <c r="E81" s="149">
        <f>D81*Inputs!$B$17</f>
        <v>5253.2162618916454</v>
      </c>
      <c r="F81" s="149">
        <f>IF(A81&lt;=Inputs!$C$57,MIN(Inputs!$B$20,D81+E81),IF(A81=Inputs!$C$57+1,PMT(Inputs!$B$17,Inputs!$B$15-Inputs!$C$57,-J80),F80))</f>
        <v>51032.320803782823</v>
      </c>
      <c r="G81" s="149">
        <f t="shared" si="13"/>
        <v>45779.104541891174</v>
      </c>
      <c r="H81" s="149">
        <f>IF(A81=Inputs!$C$57,MIN(Inputs!$C$56,D81-G81),0)</f>
        <v>0</v>
      </c>
      <c r="I81" s="149">
        <f t="shared" si="14"/>
        <v>51032.320803782823</v>
      </c>
      <c r="J81" s="149">
        <f t="shared" si="15"/>
        <v>386823.07120145258</v>
      </c>
      <c r="K81" s="163" t="str">
        <f t="shared" si="16"/>
        <v>Vigente</v>
      </c>
      <c r="L81" s="149">
        <f>Inputs!$B$28</f>
        <v>48643.172307692315</v>
      </c>
      <c r="M81" s="149">
        <f>Inputs!$B$29</f>
        <v>10984.615384615387</v>
      </c>
      <c r="N81" s="149">
        <f>Inputs!$B$30</f>
        <v>3406.3846153846157</v>
      </c>
      <c r="O81" s="149">
        <f t="shared" si="17"/>
        <v>63034.172307692315</v>
      </c>
      <c r="P81" s="149">
        <f t="shared" si="18"/>
        <v>114066.49311147514</v>
      </c>
      <c r="Q81" s="149">
        <f>IF($B81="","",IF(OR($B82="",ROUNDUP(($A81+1)/Inputs!$B$14,0)&gt;$B81),SUMIF($B$4:$B81,$B81,L$4:L81),0))</f>
        <v>243215.86153846158</v>
      </c>
      <c r="R81" s="149">
        <f>IF($B81="","",IF(OR($B82="",ROUNDUP(($A81+1)/Inputs!$B$14,0)&gt;$B81),SUMIF($B$4:$B81,$B81,M$4:M81),0))</f>
        <v>54923.076923076937</v>
      </c>
      <c r="S81" s="149">
        <f>IF($B81="","",IF(OR($B82="",ROUNDUP(($A81+1)/Inputs!$B$14,0)&gt;$B81),SUMIF($B$4:$B81,$B81,N$4:N81),0))</f>
        <v>17031.923076923078</v>
      </c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spans="1:31" ht="18" customHeight="1">
      <c r="A82" s="157">
        <v>79</v>
      </c>
      <c r="B82" s="77">
        <f>ROUNDUP(A82/Inputs!$B$14,0)</f>
        <v>19</v>
      </c>
      <c r="C82" s="160" t="str">
        <f>IF(A82=Inputs!$C$57,"Cuota + abono extra",IF(A82=Inputs!$B$15,"Pago final","Pago normal"))</f>
        <v>Pago normal</v>
      </c>
      <c r="D82" s="149">
        <f t="shared" si="12"/>
        <v>386823.07120145258</v>
      </c>
      <c r="E82" s="149">
        <f>D82*Inputs!$B$17</f>
        <v>4697.3070457138283</v>
      </c>
      <c r="F82" s="149">
        <f>IF(A82&lt;=Inputs!$C$57,MIN(Inputs!$B$20,D82+E82),IF(A82=Inputs!$C$57+1,PMT(Inputs!$B$17,Inputs!$B$15-Inputs!$C$57,-J81),F81))</f>
        <v>51032.320803782823</v>
      </c>
      <c r="G82" s="149">
        <f t="shared" si="13"/>
        <v>46335.013758068992</v>
      </c>
      <c r="H82" s="149">
        <f>IF(A82=Inputs!$C$57,MIN(Inputs!$C$56,D82-G82),0)</f>
        <v>0</v>
      </c>
      <c r="I82" s="149">
        <f t="shared" si="14"/>
        <v>51032.320803782823</v>
      </c>
      <c r="J82" s="149">
        <f t="shared" si="15"/>
        <v>340488.05744338362</v>
      </c>
      <c r="K82" s="163" t="str">
        <f t="shared" si="16"/>
        <v>Vigente</v>
      </c>
      <c r="L82" s="149">
        <f>Inputs!$B$28</f>
        <v>48643.172307692315</v>
      </c>
      <c r="M82" s="149">
        <f>Inputs!$B$29</f>
        <v>10984.615384615387</v>
      </c>
      <c r="N82" s="149">
        <f>Inputs!$B$30</f>
        <v>3406.3846153846157</v>
      </c>
      <c r="O82" s="149">
        <f t="shared" si="17"/>
        <v>63034.172307692315</v>
      </c>
      <c r="P82" s="149">
        <f t="shared" si="18"/>
        <v>114066.49311147514</v>
      </c>
      <c r="Q82" s="149">
        <f>IF($B82="","",IF(OR($B83="",ROUNDUP(($A82+1)/Inputs!$B$14,0)&gt;$B82),SUMIF($B$4:$B82,$B82,L$4:L82),0))</f>
        <v>0</v>
      </c>
      <c r="R82" s="149">
        <f>IF($B82="","",IF(OR($B83="",ROUNDUP(($A82+1)/Inputs!$B$14,0)&gt;$B82),SUMIF($B$4:$B82,$B82,M$4:M82),0))</f>
        <v>0</v>
      </c>
      <c r="S82" s="149">
        <f>IF($B82="","",IF(OR($B83="",ROUNDUP(($A82+1)/Inputs!$B$14,0)&gt;$B82),SUMIF($B$4:$B82,$B82,N$4:N82),0))</f>
        <v>0</v>
      </c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  <row r="83" spans="1:31" ht="18" customHeight="1">
      <c r="A83" s="157">
        <v>80</v>
      </c>
      <c r="B83" s="77">
        <f>ROUNDUP(A83/Inputs!$B$14,0)</f>
        <v>19</v>
      </c>
      <c r="C83" s="160" t="str">
        <f>IF(A83=Inputs!$C$57,"Cuota + abono extra",IF(A83=Inputs!$B$15,"Pago final","Pago normal"))</f>
        <v>Pago normal</v>
      </c>
      <c r="D83" s="149">
        <f t="shared" si="12"/>
        <v>340488.05744338362</v>
      </c>
      <c r="E83" s="149">
        <f>D83*Inputs!$B$17</f>
        <v>4134.6472593856361</v>
      </c>
      <c r="F83" s="149">
        <f>IF(A83&lt;=Inputs!$C$57,MIN(Inputs!$B$20,D83+E83),IF(A83=Inputs!$C$57+1,PMT(Inputs!$B$17,Inputs!$B$15-Inputs!$C$57,-J82),F82))</f>
        <v>51032.320803782823</v>
      </c>
      <c r="G83" s="149">
        <f t="shared" si="13"/>
        <v>46897.673544397185</v>
      </c>
      <c r="H83" s="149">
        <f>IF(A83=Inputs!$C$57,MIN(Inputs!$C$56,D83-G83),0)</f>
        <v>0</v>
      </c>
      <c r="I83" s="149">
        <f t="shared" si="14"/>
        <v>51032.320803782823</v>
      </c>
      <c r="J83" s="149">
        <f t="shared" si="15"/>
        <v>293590.38389898645</v>
      </c>
      <c r="K83" s="163" t="str">
        <f t="shared" si="16"/>
        <v>Vigente</v>
      </c>
      <c r="L83" s="149">
        <f>Inputs!$B$28</f>
        <v>48643.172307692315</v>
      </c>
      <c r="M83" s="149">
        <f>Inputs!$B$29</f>
        <v>10984.615384615387</v>
      </c>
      <c r="N83" s="149">
        <f>Inputs!$B$30</f>
        <v>3406.3846153846157</v>
      </c>
      <c r="O83" s="149">
        <f t="shared" si="17"/>
        <v>63034.172307692315</v>
      </c>
      <c r="P83" s="149">
        <f t="shared" si="18"/>
        <v>114066.49311147514</v>
      </c>
      <c r="Q83" s="149">
        <f>IF($B83="","",IF(OR($B84="",ROUNDUP(($A83+1)/Inputs!$B$14,0)&gt;$B83),SUMIF($B$4:$B83,$B83,L$4:L83),0))</f>
        <v>0</v>
      </c>
      <c r="R83" s="149">
        <f>IF($B83="","",IF(OR($B84="",ROUNDUP(($A83+1)/Inputs!$B$14,0)&gt;$B83),SUMIF($B$4:$B83,$B83,M$4:M83),0))</f>
        <v>0</v>
      </c>
      <c r="S83" s="149">
        <f>IF($B83="","",IF(OR($B84="",ROUNDUP(($A83+1)/Inputs!$B$14,0)&gt;$B83),SUMIF($B$4:$B83,$B83,N$4:N83),0))</f>
        <v>0</v>
      </c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</row>
    <row r="84" spans="1:31" ht="18" customHeight="1">
      <c r="A84" s="157">
        <v>81</v>
      </c>
      <c r="B84" s="77">
        <f>ROUNDUP(A84/Inputs!$B$14,0)</f>
        <v>19</v>
      </c>
      <c r="C84" s="160" t="str">
        <f>IF(A84=Inputs!$C$57,"Cuota + abono extra",IF(A84=Inputs!$B$15,"Pago final","Pago normal"))</f>
        <v>Pago normal</v>
      </c>
      <c r="D84" s="149">
        <f t="shared" si="12"/>
        <v>293590.38389898645</v>
      </c>
      <c r="E84" s="149">
        <f>D84*Inputs!$B$17</f>
        <v>3565.1549287356934</v>
      </c>
      <c r="F84" s="149">
        <f>IF(A84&lt;=Inputs!$C$57,MIN(Inputs!$B$20,D84+E84),IF(A84=Inputs!$C$57+1,PMT(Inputs!$B$17,Inputs!$B$15-Inputs!$C$57,-J83),F83))</f>
        <v>51032.320803782823</v>
      </c>
      <c r="G84" s="149">
        <f t="shared" si="13"/>
        <v>47467.165875047132</v>
      </c>
      <c r="H84" s="149">
        <f>IF(A84=Inputs!$C$57,MIN(Inputs!$C$56,D84-G84),0)</f>
        <v>0</v>
      </c>
      <c r="I84" s="149">
        <f t="shared" si="14"/>
        <v>51032.320803782823</v>
      </c>
      <c r="J84" s="149">
        <f t="shared" si="15"/>
        <v>246123.21802393932</v>
      </c>
      <c r="K84" s="163" t="str">
        <f t="shared" si="16"/>
        <v>Vigente</v>
      </c>
      <c r="L84" s="149">
        <f>Inputs!$B$28</f>
        <v>48643.172307692315</v>
      </c>
      <c r="M84" s="149">
        <f>Inputs!$B$29</f>
        <v>10984.615384615387</v>
      </c>
      <c r="N84" s="149">
        <f>Inputs!$B$30</f>
        <v>3406.3846153846157</v>
      </c>
      <c r="O84" s="149">
        <f t="shared" si="17"/>
        <v>63034.172307692315</v>
      </c>
      <c r="P84" s="149">
        <f t="shared" si="18"/>
        <v>114066.49311147514</v>
      </c>
      <c r="Q84" s="149">
        <f>IF($B84="","",IF(OR($B85="",ROUNDUP(($A84+1)/Inputs!$B$14,0)&gt;$B84),SUMIF($B$4:$B84,$B84,L$4:L84),0))</f>
        <v>0</v>
      </c>
      <c r="R84" s="149">
        <f>IF($B84="","",IF(OR($B85="",ROUNDUP(($A84+1)/Inputs!$B$14,0)&gt;$B84),SUMIF($B$4:$B84,$B84,M$4:M84),0))</f>
        <v>0</v>
      </c>
      <c r="S84" s="149">
        <f>IF($B84="","",IF(OR($B85="",ROUNDUP(($A84+1)/Inputs!$B$14,0)&gt;$B84),SUMIF($B$4:$B84,$B84,N$4:N84),0))</f>
        <v>0</v>
      </c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</row>
    <row r="85" spans="1:31" ht="18" customHeight="1">
      <c r="A85" s="157">
        <v>82</v>
      </c>
      <c r="B85" s="77">
        <f>ROUNDUP(A85/Inputs!$B$14,0)</f>
        <v>19</v>
      </c>
      <c r="C85" s="160" t="str">
        <f>IF(A85=Inputs!$C$57,"Cuota + abono extra",IF(A85=Inputs!$B$15,"Pago final","Pago normal"))</f>
        <v>Pago normal</v>
      </c>
      <c r="D85" s="149">
        <f t="shared" si="12"/>
        <v>246123.21802393932</v>
      </c>
      <c r="E85" s="149">
        <f>D85*Inputs!$B$17</f>
        <v>2988.7470841560021</v>
      </c>
      <c r="F85" s="149">
        <f>IF(A85&lt;=Inputs!$C$57,MIN(Inputs!$B$20,D85+E85),IF(A85=Inputs!$C$57+1,PMT(Inputs!$B$17,Inputs!$B$15-Inputs!$C$57,-J84),F84))</f>
        <v>51032.320803782823</v>
      </c>
      <c r="G85" s="149">
        <f t="shared" si="13"/>
        <v>48043.573719626824</v>
      </c>
      <c r="H85" s="149">
        <f>IF(A85=Inputs!$C$57,MIN(Inputs!$C$56,D85-G85),0)</f>
        <v>0</v>
      </c>
      <c r="I85" s="149">
        <f t="shared" si="14"/>
        <v>51032.320803782823</v>
      </c>
      <c r="J85" s="149">
        <f t="shared" si="15"/>
        <v>198079.6443043125</v>
      </c>
      <c r="K85" s="163" t="str">
        <f t="shared" si="16"/>
        <v>Vigente</v>
      </c>
      <c r="L85" s="149">
        <f>Inputs!$B$28</f>
        <v>48643.172307692315</v>
      </c>
      <c r="M85" s="149">
        <f>Inputs!$B$29</f>
        <v>10984.615384615387</v>
      </c>
      <c r="N85" s="149">
        <f>Inputs!$B$30</f>
        <v>3406.3846153846157</v>
      </c>
      <c r="O85" s="149">
        <f t="shared" si="17"/>
        <v>63034.172307692315</v>
      </c>
      <c r="P85" s="149">
        <f t="shared" si="18"/>
        <v>114066.49311147514</v>
      </c>
      <c r="Q85" s="149">
        <f>IF($B85="","",IF(OR($B86="",ROUNDUP(($A85+1)/Inputs!$B$14,0)&gt;$B85),SUMIF($B$4:$B85,$B85,L$4:L85),0))</f>
        <v>194572.68923076926</v>
      </c>
      <c r="R85" s="149">
        <f>IF($B85="","",IF(OR($B86="",ROUNDUP(($A85+1)/Inputs!$B$14,0)&gt;$B85),SUMIF($B$4:$B85,$B85,M$4:M85),0))</f>
        <v>43938.461538461546</v>
      </c>
      <c r="S85" s="149">
        <f>IF($B85="","",IF(OR($B86="",ROUNDUP(($A85+1)/Inputs!$B$14,0)&gt;$B85),SUMIF($B$4:$B85,$B85,N$4:N85),0))</f>
        <v>13625.538461538463</v>
      </c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</row>
    <row r="86" spans="1:31" ht="18" customHeight="1">
      <c r="A86" s="157">
        <v>83</v>
      </c>
      <c r="B86" s="77">
        <f>ROUNDUP(A86/Inputs!$B$14,0)</f>
        <v>20</v>
      </c>
      <c r="C86" s="160" t="str">
        <f>IF(A86=Inputs!$C$57,"Cuota + abono extra",IF(A86=Inputs!$B$15,"Pago final","Pago normal"))</f>
        <v>Pago normal</v>
      </c>
      <c r="D86" s="149">
        <f t="shared" si="12"/>
        <v>198079.6443043125</v>
      </c>
      <c r="E86" s="149">
        <f>D86*Inputs!$B$17</f>
        <v>2405.3397485140545</v>
      </c>
      <c r="F86" s="149">
        <f>IF(A86&lt;=Inputs!$C$57,MIN(Inputs!$B$20,D86+E86),IF(A86=Inputs!$C$57+1,PMT(Inputs!$B$17,Inputs!$B$15-Inputs!$C$57,-J85),F85))</f>
        <v>51032.320803782823</v>
      </c>
      <c r="G86" s="149">
        <f t="shared" si="13"/>
        <v>48626.98105526877</v>
      </c>
      <c r="H86" s="149">
        <f>IF(A86=Inputs!$C$57,MIN(Inputs!$C$56,D86-G86),0)</f>
        <v>0</v>
      </c>
      <c r="I86" s="149">
        <f t="shared" si="14"/>
        <v>51032.320803782823</v>
      </c>
      <c r="J86" s="149">
        <f t="shared" si="15"/>
        <v>149452.66324904375</v>
      </c>
      <c r="K86" s="163" t="str">
        <f t="shared" si="16"/>
        <v>Vigente</v>
      </c>
      <c r="L86" s="149">
        <f>Inputs!$B$28</f>
        <v>48643.172307692315</v>
      </c>
      <c r="M86" s="149">
        <f>Inputs!$B$29</f>
        <v>10984.615384615387</v>
      </c>
      <c r="N86" s="149">
        <f>Inputs!$B$30</f>
        <v>3406.3846153846157</v>
      </c>
      <c r="O86" s="149">
        <f t="shared" si="17"/>
        <v>63034.172307692315</v>
      </c>
      <c r="P86" s="149">
        <f t="shared" si="18"/>
        <v>114066.49311147514</v>
      </c>
      <c r="Q86" s="149">
        <f>IF($B86="","",IF(OR($B87="",ROUNDUP(($A86+1)/Inputs!$B$14,0)&gt;$B86),SUMIF($B$4:$B86,$B86,L$4:L86),0))</f>
        <v>0</v>
      </c>
      <c r="R86" s="149">
        <f>IF($B86="","",IF(OR($B87="",ROUNDUP(($A86+1)/Inputs!$B$14,0)&gt;$B86),SUMIF($B$4:$B86,$B86,M$4:M86),0))</f>
        <v>0</v>
      </c>
      <c r="S86" s="149">
        <f>IF($B86="","",IF(OR($B87="",ROUNDUP(($A86+1)/Inputs!$B$14,0)&gt;$B86),SUMIF($B$4:$B86,$B86,N$4:N86),0))</f>
        <v>0</v>
      </c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</row>
    <row r="87" spans="1:31" ht="18" customHeight="1">
      <c r="A87" s="157">
        <v>84</v>
      </c>
      <c r="B87" s="77">
        <f>ROUNDUP(A87/Inputs!$B$14,0)</f>
        <v>20</v>
      </c>
      <c r="C87" s="160" t="str">
        <f>IF(A87=Inputs!$C$57,"Cuota + abono extra",IF(A87=Inputs!$B$15,"Pago final","Pago normal"))</f>
        <v>Pago normal</v>
      </c>
      <c r="D87" s="149">
        <f t="shared" si="12"/>
        <v>149452.66324904375</v>
      </c>
      <c r="E87" s="149">
        <f>D87*Inputs!$B$17</f>
        <v>1814.8479249181689</v>
      </c>
      <c r="F87" s="149">
        <f>IF(A87&lt;=Inputs!$C$57,MIN(Inputs!$B$20,D87+E87),IF(A87=Inputs!$C$57+1,PMT(Inputs!$B$17,Inputs!$B$15-Inputs!$C$57,-J86),F86))</f>
        <v>51032.320803782823</v>
      </c>
      <c r="G87" s="149">
        <f t="shared" si="13"/>
        <v>49217.472878864653</v>
      </c>
      <c r="H87" s="149">
        <f>IF(A87=Inputs!$C$57,MIN(Inputs!$C$56,D87-G87),0)</f>
        <v>0</v>
      </c>
      <c r="I87" s="149">
        <f t="shared" si="14"/>
        <v>51032.320803782823</v>
      </c>
      <c r="J87" s="149">
        <f t="shared" si="15"/>
        <v>100235.1903701791</v>
      </c>
      <c r="K87" s="163" t="str">
        <f t="shared" si="16"/>
        <v>Vigente</v>
      </c>
      <c r="L87" s="149">
        <f>Inputs!$B$28</f>
        <v>48643.172307692315</v>
      </c>
      <c r="M87" s="149">
        <f>Inputs!$B$29</f>
        <v>10984.615384615387</v>
      </c>
      <c r="N87" s="149">
        <f>Inputs!$B$30</f>
        <v>3406.3846153846157</v>
      </c>
      <c r="O87" s="149">
        <f t="shared" si="17"/>
        <v>63034.172307692315</v>
      </c>
      <c r="P87" s="149">
        <f t="shared" si="18"/>
        <v>114066.49311147514</v>
      </c>
      <c r="Q87" s="149">
        <f>IF($B87="","",IF(OR($B88="",ROUNDUP(($A87+1)/Inputs!$B$14,0)&gt;$B87),SUMIF($B$4:$B87,$B87,L$4:L87),0))</f>
        <v>0</v>
      </c>
      <c r="R87" s="149">
        <f>IF($B87="","",IF(OR($B88="",ROUNDUP(($A87+1)/Inputs!$B$14,0)&gt;$B87),SUMIF($B$4:$B87,$B87,M$4:M87),0))</f>
        <v>0</v>
      </c>
      <c r="S87" s="149">
        <f>IF($B87="","",IF(OR($B88="",ROUNDUP(($A87+1)/Inputs!$B$14,0)&gt;$B87),SUMIF($B$4:$B87,$B87,N$4:N87),0))</f>
        <v>0</v>
      </c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</row>
    <row r="88" spans="1:31" ht="18" customHeight="1">
      <c r="A88" s="157">
        <v>85</v>
      </c>
      <c r="B88" s="77">
        <f>ROUNDUP(A88/Inputs!$B$14,0)</f>
        <v>20</v>
      </c>
      <c r="C88" s="160" t="str">
        <f>IF(A88=Inputs!$C$57,"Cuota + abono extra",IF(A88=Inputs!$B$15,"Pago final","Pago normal"))</f>
        <v>Pago normal</v>
      </c>
      <c r="D88" s="149">
        <f t="shared" si="12"/>
        <v>100235.1903701791</v>
      </c>
      <c r="E88" s="149">
        <f>D88*Inputs!$B$17</f>
        <v>1217.1855843342498</v>
      </c>
      <c r="F88" s="149">
        <f>IF(A88&lt;=Inputs!$C$57,MIN(Inputs!$B$20,D88+E88),IF(A88=Inputs!$C$57+1,PMT(Inputs!$B$17,Inputs!$B$15-Inputs!$C$57,-J87),F87))</f>
        <v>51032.320803782823</v>
      </c>
      <c r="G88" s="149">
        <f t="shared" si="13"/>
        <v>49815.135219448573</v>
      </c>
      <c r="H88" s="149">
        <f>IF(A88=Inputs!$C$57,MIN(Inputs!$C$56,D88-G88),0)</f>
        <v>0</v>
      </c>
      <c r="I88" s="149">
        <f t="shared" si="14"/>
        <v>51032.320803782823</v>
      </c>
      <c r="J88" s="149">
        <f t="shared" si="15"/>
        <v>50420.055150730528</v>
      </c>
      <c r="K88" s="163" t="str">
        <f t="shared" si="16"/>
        <v>Vigente</v>
      </c>
      <c r="L88" s="149">
        <f>Inputs!$B$28</f>
        <v>48643.172307692315</v>
      </c>
      <c r="M88" s="149">
        <f>Inputs!$B$29</f>
        <v>10984.615384615387</v>
      </c>
      <c r="N88" s="149">
        <f>Inputs!$B$30</f>
        <v>3406.3846153846157</v>
      </c>
      <c r="O88" s="149">
        <f t="shared" si="17"/>
        <v>63034.172307692315</v>
      </c>
      <c r="P88" s="149">
        <f t="shared" si="18"/>
        <v>114066.49311147514</v>
      </c>
      <c r="Q88" s="149">
        <f>IF($B88="","",IF(OR($B89="",ROUNDUP(($A88+1)/Inputs!$B$14,0)&gt;$B88),SUMIF($B$4:$B88,$B88,L$4:L88),0))</f>
        <v>0</v>
      </c>
      <c r="R88" s="149">
        <f>IF($B88="","",IF(OR($B89="",ROUNDUP(($A88+1)/Inputs!$B$14,0)&gt;$B88),SUMIF($B$4:$B88,$B88,M$4:M88),0))</f>
        <v>0</v>
      </c>
      <c r="S88" s="149">
        <f>IF($B88="","",IF(OR($B89="",ROUNDUP(($A88+1)/Inputs!$B$14,0)&gt;$B88),SUMIF($B$4:$B88,$B88,N$4:N88),0))</f>
        <v>0</v>
      </c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</row>
    <row r="89" spans="1:31" ht="18" customHeight="1">
      <c r="A89" s="158">
        <v>86</v>
      </c>
      <c r="B89" s="78">
        <f>ROUNDUP(A89/Inputs!$B$14,0)</f>
        <v>20</v>
      </c>
      <c r="C89" s="161" t="str">
        <f>IF(A89=Inputs!$C$57,"Cuota + abono extra",IF(A89=Inputs!$B$15,"Pago final","Pago normal"))</f>
        <v>Pago final</v>
      </c>
      <c r="D89" s="151">
        <f t="shared" si="12"/>
        <v>50420.055150730528</v>
      </c>
      <c r="E89" s="151">
        <f>D89*Inputs!$B$17</f>
        <v>612.26565305217753</v>
      </c>
      <c r="F89" s="151">
        <f>IF(A89&lt;=Inputs!$C$57,MIN(Inputs!$B$20,D89+E89),IF(A89=Inputs!$C$57+1,PMT(Inputs!$B$17,Inputs!$B$15-Inputs!$C$57,-J88),F88))</f>
        <v>51032.320803782823</v>
      </c>
      <c r="G89" s="151">
        <f t="shared" si="13"/>
        <v>50420.055150730528</v>
      </c>
      <c r="H89" s="151">
        <f>IF(A89=Inputs!$C$57,MIN(Inputs!$C$56,D89-G89),0)</f>
        <v>0</v>
      </c>
      <c r="I89" s="151">
        <f t="shared" si="14"/>
        <v>51032.320803782823</v>
      </c>
      <c r="J89" s="151">
        <f t="shared" si="15"/>
        <v>0</v>
      </c>
      <c r="K89" s="164" t="str">
        <f t="shared" si="16"/>
        <v>Amortizado</v>
      </c>
      <c r="L89" s="151">
        <f>Inputs!$B$28</f>
        <v>48643.172307692315</v>
      </c>
      <c r="M89" s="151">
        <f>Inputs!$B$29</f>
        <v>10984.615384615387</v>
      </c>
      <c r="N89" s="151">
        <f>Inputs!$B$30</f>
        <v>3406.3846153846157</v>
      </c>
      <c r="O89" s="151">
        <f t="shared" si="17"/>
        <v>63034.172307692315</v>
      </c>
      <c r="P89" s="151">
        <f t="shared" si="18"/>
        <v>114066.49311147514</v>
      </c>
      <c r="Q89" s="151">
        <f>IF($B89="","",IF(OR($B90="",ROUNDUP(($A89+1)/Inputs!$B$14,0)&gt;$B89),SUMIF($B$4:$B89,$B89,L$4:L89),0))</f>
        <v>194572.68923076926</v>
      </c>
      <c r="R89" s="151">
        <f>IF($B89="","",IF(OR($B90="",ROUNDUP(($A89+1)/Inputs!$B$14,0)&gt;$B89),SUMIF($B$4:$B89,$B89,M$4:M89),0))</f>
        <v>43938.461538461546</v>
      </c>
      <c r="S89" s="151">
        <f>IF($B89="","",IF(OR($B90="",ROUNDUP(($A89+1)/Inputs!$B$14,0)&gt;$B89),SUMIF($B$4:$B89,$B89,N$4:N89),0))</f>
        <v>13625.538461538463</v>
      </c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</row>
    <row r="90" spans="1:31" ht="18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</row>
    <row r="91" spans="1:31" ht="18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</row>
    <row r="92" spans="1:31" ht="18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</row>
    <row r="93" spans="1:31" ht="18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</row>
    <row r="94" spans="1:31" ht="18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</row>
  </sheetData>
  <conditionalFormatting sqref="A4:S89">
    <cfRule type="expression" dxfId="26" priority="1">
      <formula>AND($C4&lt;&gt;"",$C4&lt;&gt;"Pago normal")</formula>
    </cfRule>
    <cfRule type="expression" dxfId="25" priority="2">
      <formula>AND(ISNUMBER($A4),MOD($A4,2)=0)</formula>
    </cfRule>
  </conditionalFormatting>
  <conditionalFormatting sqref="K4:K89">
    <cfRule type="containsText" dxfId="24" priority="3" operator="containsText" text="mora">
      <formula>NOT(ISERROR(SEARCH("mora",K4)))</formula>
    </cfRule>
    <cfRule type="containsText" dxfId="23" priority="4" operator="containsText" text="Vigente">
      <formula>NOT(ISERROR(SEARCH("Vigente",K4)))</formula>
    </cfRule>
    <cfRule type="containsText" dxfId="22" priority="5" operator="containsText" text="Amortiz">
      <formula>NOT(ISERROR(SEARCH("Amortiz",K4)))</formula>
    </cfRule>
    <cfRule type="containsText" dxfId="21" priority="6" operator="containsText" text="Cerrado">
      <formula>NOT(ISERROR(SEARCH("Cerrado",K4)))</formula>
    </cfRule>
    <cfRule type="containsText" dxfId="20" priority="7" operator="containsText" text="Cancel">
      <formula>NOT(ISERROR(SEARCH("Cancel",K4)))</formula>
    </cfRule>
  </conditionalFormatting>
  <conditionalFormatting sqref="X16">
    <cfRule type="expression" dxfId="19" priority="8">
      <formula>ABS(X16)&lt;0.5</formula>
    </cfRule>
    <cfRule type="expression" dxfId="18" priority="9">
      <formula>ABS(X16)&gt;=0.5</formula>
    </cfRule>
  </conditionalFormatting>
  <hyperlinks>
    <hyperlink ref="U19" location="'Casos'!A1" tooltip="Abrir Casos" display="←  Volver a Casos" xr:uid="{B7A5BB56-D620-42D3-8C3E-529BB344A564}"/>
    <hyperlink ref="U20" location="'Inputs'!A1" tooltip="Abrir Inputs" display="←  Ir a Inputs (parámetros)" xr:uid="{719D0C38-CF70-4572-842C-F7EB5885779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109"/>
  <sheetViews>
    <sheetView showGridLines="0" topLeftCell="E1" workbookViewId="0">
      <pane ySplit="2" topLeftCell="A67" activePane="bottomLeft" state="frozen"/>
      <selection pane="bottomLeft" activeCell="J84" sqref="J84"/>
    </sheetView>
  </sheetViews>
  <sheetFormatPr baseColWidth="10" defaultColWidth="8.796875" defaultRowHeight="15" customHeight="1"/>
  <cols>
    <col min="1" max="2" width="9.69921875" style="6" customWidth="1"/>
    <col min="3" max="3" width="25" style="6" customWidth="1"/>
    <col min="4" max="16" width="16.69921875" style="6" customWidth="1"/>
    <col min="17" max="26" width="20" style="6" customWidth="1"/>
    <col min="27" max="27" width="3" style="6" customWidth="1"/>
    <col min="28" max="28" width="38.296875" style="6" customWidth="1"/>
    <col min="29" max="30" width="20" style="6" customWidth="1"/>
    <col min="31" max="31" width="55" style="6" customWidth="1"/>
    <col min="32" max="34" width="10.69921875" style="6" customWidth="1"/>
    <col min="35" max="16384" width="8.796875" style="6"/>
  </cols>
  <sheetData>
    <row r="1" spans="1:34" ht="34.049999999999997" customHeight="1">
      <c r="A1" s="148" t="s">
        <v>345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8"/>
      <c r="AB1" s="115" t="s">
        <v>336</v>
      </c>
      <c r="AC1" s="23"/>
      <c r="AD1" s="23"/>
      <c r="AE1" s="23"/>
      <c r="AF1" s="18"/>
      <c r="AG1" s="18"/>
      <c r="AH1" s="18"/>
    </row>
    <row r="2" spans="1:34" ht="34.049999999999997" customHeight="1">
      <c r="A2" s="140" t="s">
        <v>76</v>
      </c>
      <c r="B2" s="141" t="s">
        <v>77</v>
      </c>
      <c r="C2" s="141" t="s">
        <v>78</v>
      </c>
      <c r="D2" s="141" t="s">
        <v>79</v>
      </c>
      <c r="E2" s="141" t="s">
        <v>80</v>
      </c>
      <c r="F2" s="141" t="s">
        <v>159</v>
      </c>
      <c r="G2" s="141" t="s">
        <v>160</v>
      </c>
      <c r="H2" s="141" t="s">
        <v>358</v>
      </c>
      <c r="I2" s="141" t="s">
        <v>162</v>
      </c>
      <c r="J2" s="141" t="s">
        <v>163</v>
      </c>
      <c r="K2" s="141" t="s">
        <v>164</v>
      </c>
      <c r="L2" s="141" t="s">
        <v>189</v>
      </c>
      <c r="M2" s="141" t="s">
        <v>122</v>
      </c>
      <c r="N2" s="141" t="s">
        <v>166</v>
      </c>
      <c r="O2" s="141" t="s">
        <v>167</v>
      </c>
      <c r="P2" s="141" t="s">
        <v>123</v>
      </c>
      <c r="Q2" s="142" t="s">
        <v>90</v>
      </c>
      <c r="R2" s="141" t="s">
        <v>82</v>
      </c>
      <c r="S2" s="141" t="s">
        <v>83</v>
      </c>
      <c r="T2" s="141" t="s">
        <v>84</v>
      </c>
      <c r="U2" s="141" t="s">
        <v>355</v>
      </c>
      <c r="V2" s="141" t="s">
        <v>356</v>
      </c>
      <c r="W2" s="141" t="s">
        <v>357</v>
      </c>
      <c r="X2" s="141" t="s">
        <v>87</v>
      </c>
      <c r="Y2" s="141" t="s">
        <v>88</v>
      </c>
      <c r="Z2" s="141" t="s">
        <v>89</v>
      </c>
      <c r="AA2" s="18"/>
      <c r="AB2" s="110" t="s">
        <v>154</v>
      </c>
      <c r="AC2" s="180">
        <f>Inputs!$C$60</f>
        <v>43</v>
      </c>
      <c r="AD2" s="66"/>
      <c r="AE2" s="66"/>
      <c r="AF2" s="18"/>
      <c r="AG2" s="18"/>
      <c r="AH2" s="18"/>
    </row>
    <row r="3" spans="1:34" ht="18" customHeight="1">
      <c r="A3" s="155">
        <v>0</v>
      </c>
      <c r="B3" s="156">
        <v>0</v>
      </c>
      <c r="C3" s="159" t="s">
        <v>92</v>
      </c>
      <c r="D3" s="153">
        <f>Inputs!$B$3</f>
        <v>5904400</v>
      </c>
      <c r="E3" s="153">
        <v>0</v>
      </c>
      <c r="F3" s="153">
        <v>0</v>
      </c>
      <c r="G3" s="153">
        <v>0</v>
      </c>
      <c r="H3" s="153">
        <v>0</v>
      </c>
      <c r="I3" s="153">
        <v>0</v>
      </c>
      <c r="J3" s="153">
        <v>0</v>
      </c>
      <c r="K3" s="153">
        <v>0</v>
      </c>
      <c r="L3" s="153">
        <v>0</v>
      </c>
      <c r="M3" s="153">
        <v>0</v>
      </c>
      <c r="N3" s="153">
        <v>0</v>
      </c>
      <c r="O3" s="153">
        <f>P3</f>
        <v>5904400</v>
      </c>
      <c r="P3" s="153">
        <f>D3</f>
        <v>5904400</v>
      </c>
      <c r="Q3" s="162" t="s">
        <v>93</v>
      </c>
      <c r="R3" s="153">
        <v>0</v>
      </c>
      <c r="S3" s="153">
        <v>0</v>
      </c>
      <c r="T3" s="153">
        <v>0</v>
      </c>
      <c r="U3" s="153">
        <v>0</v>
      </c>
      <c r="V3" s="153">
        <v>0</v>
      </c>
      <c r="W3" s="153">
        <v>0</v>
      </c>
      <c r="X3" s="153">
        <v>0</v>
      </c>
      <c r="Y3" s="153">
        <v>0</v>
      </c>
      <c r="Z3" s="153">
        <v>0</v>
      </c>
      <c r="AA3" s="18"/>
      <c r="AB3" s="111" t="s">
        <v>155</v>
      </c>
      <c r="AC3" s="167">
        <f>INDEX(H4:H103,Inputs!$C$60)</f>
        <v>69619.59767378433</v>
      </c>
      <c r="AD3" s="146"/>
      <c r="AE3" s="146"/>
      <c r="AF3" s="18"/>
      <c r="AG3" s="18"/>
      <c r="AH3" s="18"/>
    </row>
    <row r="4" spans="1:34" ht="18" customHeight="1">
      <c r="A4" s="157">
        <v>1</v>
      </c>
      <c r="B4" s="77">
        <f>IF(A4="","",ROUNDUP(A4/Inputs!$B$14,0))</f>
        <v>1</v>
      </c>
      <c r="C4" s="160" t="str">
        <f>IF(A4="","",IF(A4=Inputs!$C$60,"Pago inferior",IF(A4&gt;Inputs!$B$15,"Periodo adicional",IF(N3+L3+M3+W3&gt;0,"Pago normal - aplica vencidos","Pago normal"))))</f>
        <v>Pago normal</v>
      </c>
      <c r="D4" s="149">
        <f t="shared" ref="D4:D35" si="0">IF(A4="","",P3)</f>
        <v>5904400</v>
      </c>
      <c r="E4" s="149">
        <f>IF(A4="","",D4*Inputs!$B$17)</f>
        <v>71698.876787700196</v>
      </c>
      <c r="F4" s="149">
        <f>IF(A4="","",N3*Inputs!$B$17)</f>
        <v>0</v>
      </c>
      <c r="G4" s="149">
        <f>IF(A4="","",IF(A4&lt;=Inputs!$B$15,INDEX(Caso1_Normal!$H$4:$H$89,A4),0))</f>
        <v>39315.945089068293</v>
      </c>
      <c r="H4" s="149">
        <f>IF(A4="","",IF(A4=Inputs!$C$60,Inputs!$C$59*(Inputs!$B$20+U4),MIN(Inputs!$B$20+U4,D4+L3+F4+M3+E4+W3+U4)))</f>
        <v>174048.99418446081</v>
      </c>
      <c r="I4" s="149">
        <f t="shared" ref="I4:I35" si="1">IF(A4="","",MIN(H4,L3+F4))</f>
        <v>0</v>
      </c>
      <c r="J4" s="149">
        <f t="shared" ref="J4:J35" si="2">IF(A4="","",MIN(MAX(0,H4-I4),M3+E4))</f>
        <v>71698.876787700196</v>
      </c>
      <c r="K4" s="149">
        <f>IF(A4="","",MIN(MAX(0,H4-I4-J4-V4),D4))</f>
        <v>39315.9450890683</v>
      </c>
      <c r="L4" s="149">
        <f t="shared" ref="L4:L35" si="3">IF(A4="","",MAX(0,L3+F4-I4))</f>
        <v>0</v>
      </c>
      <c r="M4" s="149">
        <f t="shared" ref="M4:M35" si="4">IF(A4="","",MAX(0,M3+E4-J4))</f>
        <v>0</v>
      </c>
      <c r="N4" s="149">
        <f t="shared" ref="N4:N35" si="5">IF(A4="","",MAX(0,N3+G4-K4))</f>
        <v>0</v>
      </c>
      <c r="O4" s="149">
        <f t="shared" ref="O4:O35" si="6">IF(A4="","",MAX(0,P4-N4))</f>
        <v>5865084.0549109317</v>
      </c>
      <c r="P4" s="149">
        <f t="shared" ref="P4:P35" si="7">IF(A4="","",MAX(0,D4-K4))</f>
        <v>5865084.0549109317</v>
      </c>
      <c r="Q4" s="163" t="str">
        <f t="shared" ref="Q4:Q35" si="8">IF(A4="","",IF(P4+L4+M4+W4&lt;=0.005,"Cancelado",IF(N4+L4+M4+W4&gt;0,"En mora","Vigente al día")))</f>
        <v>Vigente al día</v>
      </c>
      <c r="R4" s="149">
        <f>IF($A4="","",IF($A4&lt;=Inputs!$B$15,Inputs!$B$28,0))</f>
        <v>48643.172307692315</v>
      </c>
      <c r="S4" s="149">
        <f>IF($A4="","",IF($A4&lt;=Inputs!$B$15,Inputs!$B$29,0))</f>
        <v>10984.615384615387</v>
      </c>
      <c r="T4" s="149">
        <f>IF($A4="","",IF($A4&lt;=Inputs!$B$15,Inputs!$B$30,0))</f>
        <v>3406.3846153846157</v>
      </c>
      <c r="U4" s="149">
        <f>IF($A4="","",SUM(R4:T4))</f>
        <v>63034.172307692315</v>
      </c>
      <c r="V4" s="149">
        <f>IF($A4="","",MIN(MAX(0,H4-I4-J4),W3+U4))</f>
        <v>63034.172307692315</v>
      </c>
      <c r="W4" s="149">
        <f>IF($A4="","",MAX(0,W3+U4-V4))</f>
        <v>0</v>
      </c>
      <c r="X4" s="149">
        <f>IF($B4="","",IF(OR($B5="",ROUNDUP(($A4+1)/Inputs!$B$14,0)&gt;$B4),SUMIF($B$4:$B4,$B4,R$4:R4),0))</f>
        <v>0</v>
      </c>
      <c r="Y4" s="149">
        <f>IF($B4="","",IF(OR($B5="",ROUNDUP(($A4+1)/Inputs!$B$14,0)&gt;$B4),SUMIF($B$4:$B4,$B4,S$4:S4),0))</f>
        <v>0</v>
      </c>
      <c r="Z4" s="149">
        <f>IF($B4="","",IF(OR($B5="",ROUNDUP(($A4+1)/Inputs!$B$14,0)&gt;$B4),SUMIF($B$4:$B4,$B4,T$4:T4),0))</f>
        <v>0</v>
      </c>
      <c r="AA4" s="18"/>
      <c r="AB4" s="111" t="s">
        <v>156</v>
      </c>
      <c r="AC4" s="167">
        <f>INDEX(N4:N103,Inputs!$C$60)</f>
        <v>65272.889770904527</v>
      </c>
      <c r="AD4" s="146"/>
      <c r="AE4" s="146"/>
      <c r="AF4" s="18"/>
      <c r="AG4" s="18"/>
      <c r="AH4" s="18"/>
    </row>
    <row r="5" spans="1:34" ht="18" customHeight="1">
      <c r="A5" s="157">
        <f>IF(A4="","",IF(AND(A4&gt;=Inputs!$B$15,P4+L4+M4+W4&lt;=0.005),"",IF(A4&gt;=Inputs!$C$61,"",A4+1)))</f>
        <v>2</v>
      </c>
      <c r="B5" s="77">
        <f>IF(A5="","",ROUNDUP(A5/Inputs!$B$14,0))</f>
        <v>1</v>
      </c>
      <c r="C5" s="160" t="str">
        <f>IF(A5="","",IF(A5=Inputs!$C$60,"Pago inferior",IF(A5&gt;Inputs!$B$15,"Periodo adicional",IF(N4+L4+M4+W4&gt;0,"Pago normal - aplica vencidos","Pago normal"))))</f>
        <v>Pago normal</v>
      </c>
      <c r="D5" s="149">
        <f t="shared" si="0"/>
        <v>5865084.0549109317</v>
      </c>
      <c r="E5" s="149">
        <f>IF(A5="","",D5*Inputs!$B$17)</f>
        <v>71221.451629727657</v>
      </c>
      <c r="F5" s="149">
        <f>IF(A5="","",N4*Inputs!$B$17)</f>
        <v>0</v>
      </c>
      <c r="G5" s="149">
        <f>IF(A5="","",IF(A5&lt;=Inputs!$B$15,INDEX(Caso1_Normal!$H$4:$H$89,A5),0))</f>
        <v>39793.370247040832</v>
      </c>
      <c r="H5" s="149">
        <f>IF(A5="","",IF(A5=Inputs!$C$60,Inputs!$C$59*(Inputs!$B$20+U5),MIN(Inputs!$B$20+U5,D5+L4+F5+M4+E5+W4+U5)))</f>
        <v>174048.99418446081</v>
      </c>
      <c r="I5" s="149">
        <f t="shared" si="1"/>
        <v>0</v>
      </c>
      <c r="J5" s="149">
        <f t="shared" si="2"/>
        <v>71221.451629727657</v>
      </c>
      <c r="K5" s="149">
        <f t="shared" ref="K5:K68" si="9">IF(A5="","",MIN(MAX(0,H5-I5-J5-V5),D5))</f>
        <v>39793.370247040839</v>
      </c>
      <c r="L5" s="149">
        <f t="shared" si="3"/>
        <v>0</v>
      </c>
      <c r="M5" s="149">
        <f t="shared" si="4"/>
        <v>0</v>
      </c>
      <c r="N5" s="149">
        <f t="shared" si="5"/>
        <v>0</v>
      </c>
      <c r="O5" s="149">
        <f t="shared" si="6"/>
        <v>5825290.6846638909</v>
      </c>
      <c r="P5" s="149">
        <f t="shared" si="7"/>
        <v>5825290.6846638909</v>
      </c>
      <c r="Q5" s="163" t="str">
        <f t="shared" si="8"/>
        <v>Vigente al día</v>
      </c>
      <c r="R5" s="149">
        <f>IF($A5="","",IF($A5&lt;=Inputs!$B$15,Inputs!$B$28,0))</f>
        <v>48643.172307692315</v>
      </c>
      <c r="S5" s="149">
        <f>IF($A5="","",IF($A5&lt;=Inputs!$B$15,Inputs!$B$29,0))</f>
        <v>10984.615384615387</v>
      </c>
      <c r="T5" s="149">
        <f>IF($A5="","",IF($A5&lt;=Inputs!$B$15,Inputs!$B$30,0))</f>
        <v>3406.3846153846157</v>
      </c>
      <c r="U5" s="149">
        <f t="shared" ref="U5:U68" si="10">IF($A5="","",SUM(R5:T5))</f>
        <v>63034.172307692315</v>
      </c>
      <c r="V5" s="149">
        <f t="shared" ref="V5:V68" si="11">IF($A5="","",MIN(MAX(0,H5-I5-J5),W4+U5))</f>
        <v>63034.172307692315</v>
      </c>
      <c r="W5" s="149">
        <f t="shared" ref="W5:W68" si="12">IF($A5="","",MAX(0,W4+U5-V5))</f>
        <v>0</v>
      </c>
      <c r="X5" s="149">
        <f>IF($B5="","",IF(OR($B6="",ROUNDUP(($A5+1)/Inputs!$B$14,0)&gt;$B5),SUMIF($B$4:$B5,$B5,R$4:R5),0))</f>
        <v>0</v>
      </c>
      <c r="Y5" s="149">
        <f>IF($B5="","",IF(OR($B6="",ROUNDUP(($A5+1)/Inputs!$B$14,0)&gt;$B5),SUMIF($B$4:$B5,$B5,S$4:S5),0))</f>
        <v>0</v>
      </c>
      <c r="Z5" s="149">
        <f>IF($B5="","",IF(OR($B6="",ROUNDUP(($A5+1)/Inputs!$B$14,0)&gt;$B5),SUMIF($B$4:$B5,$B5,T$4:T5),0))</f>
        <v>0</v>
      </c>
      <c r="AA5" s="18"/>
      <c r="AB5" s="111" t="s">
        <v>157</v>
      </c>
      <c r="AC5" s="167">
        <f>INDEX(M4:M103,Inputs!$C$60)</f>
        <v>0</v>
      </c>
      <c r="AD5" s="146"/>
      <c r="AE5" s="146"/>
      <c r="AF5" s="18"/>
      <c r="AG5" s="18"/>
      <c r="AH5" s="18"/>
    </row>
    <row r="6" spans="1:34" ht="18" customHeight="1">
      <c r="A6" s="157">
        <f>IF(A5="","",IF(AND(A5&gt;=Inputs!$B$15,P5+L5+M5+W5&lt;=0.005),"",IF(A5&gt;=Inputs!$C$61,"",A5+1)))</f>
        <v>3</v>
      </c>
      <c r="B6" s="77">
        <f>IF(A6="","",ROUNDUP(A6/Inputs!$B$14,0))</f>
        <v>1</v>
      </c>
      <c r="C6" s="160" t="str">
        <f>IF(A6="","",IF(A6=Inputs!$C$60,"Pago inferior",IF(A6&gt;Inputs!$B$15,"Periodo adicional",IF(N5+L5+M5+W5&gt;0,"Pago normal - aplica vencidos","Pago normal"))))</f>
        <v>Pago normal</v>
      </c>
      <c r="D6" s="149">
        <f t="shared" si="0"/>
        <v>5825290.6846638909</v>
      </c>
      <c r="E6" s="149">
        <f>IF(A6="","",D6*Inputs!$B$17)</f>
        <v>70738.228956753272</v>
      </c>
      <c r="F6" s="149">
        <f>IF(A6="","",N5*Inputs!$B$17)</f>
        <v>0</v>
      </c>
      <c r="G6" s="149">
        <f>IF(A6="","",IF(A6&lt;=Inputs!$B$15,INDEX(Caso1_Normal!$H$4:$H$89,A6),0))</f>
        <v>40276.592920015217</v>
      </c>
      <c r="H6" s="149">
        <f>IF(A6="","",IF(A6=Inputs!$C$60,Inputs!$C$59*(Inputs!$B$20+U6),MIN(Inputs!$B$20+U6,D6+L5+F6+M5+E6+W5+U6)))</f>
        <v>174048.99418446081</v>
      </c>
      <c r="I6" s="149">
        <f t="shared" si="1"/>
        <v>0</v>
      </c>
      <c r="J6" s="149">
        <f t="shared" si="2"/>
        <v>70738.228956753272</v>
      </c>
      <c r="K6" s="149">
        <f t="shared" si="9"/>
        <v>40276.592920015224</v>
      </c>
      <c r="L6" s="149">
        <f t="shared" si="3"/>
        <v>0</v>
      </c>
      <c r="M6" s="149">
        <f t="shared" si="4"/>
        <v>0</v>
      </c>
      <c r="N6" s="149">
        <f t="shared" si="5"/>
        <v>0</v>
      </c>
      <c r="O6" s="149">
        <f t="shared" si="6"/>
        <v>5785014.0917438753</v>
      </c>
      <c r="P6" s="149">
        <f t="shared" si="7"/>
        <v>5785014.0917438753</v>
      </c>
      <c r="Q6" s="163" t="str">
        <f t="shared" si="8"/>
        <v>Vigente al día</v>
      </c>
      <c r="R6" s="149">
        <f>IF($A6="","",IF($A6&lt;=Inputs!$B$15,Inputs!$B$28,0))</f>
        <v>48643.172307692315</v>
      </c>
      <c r="S6" s="149">
        <f>IF($A6="","",IF($A6&lt;=Inputs!$B$15,Inputs!$B$29,0))</f>
        <v>10984.615384615387</v>
      </c>
      <c r="T6" s="149">
        <f>IF($A6="","",IF($A6&lt;=Inputs!$B$15,Inputs!$B$30,0))</f>
        <v>3406.3846153846157</v>
      </c>
      <c r="U6" s="149">
        <f t="shared" si="10"/>
        <v>63034.172307692315</v>
      </c>
      <c r="V6" s="149">
        <f t="shared" si="11"/>
        <v>63034.172307692315</v>
      </c>
      <c r="W6" s="149">
        <f t="shared" si="12"/>
        <v>0</v>
      </c>
      <c r="X6" s="149">
        <f>IF($B6="","",IF(OR($B7="",ROUNDUP(($A6+1)/Inputs!$B$14,0)&gt;$B6),SUMIF($B$4:$B6,$B6,R$4:R6),0))</f>
        <v>0</v>
      </c>
      <c r="Y6" s="149">
        <f>IF($B6="","",IF(OR($B7="",ROUNDUP(($A6+1)/Inputs!$B$14,0)&gt;$B6),SUMIF($B$4:$B6,$B6,S$4:S6),0))</f>
        <v>0</v>
      </c>
      <c r="Z6" s="149">
        <f>IF($B6="","",IF(OR($B7="",ROUNDUP(($A6+1)/Inputs!$B$14,0)&gt;$B6),SUMIF($B$4:$B6,$B6,T$4:T6),0))</f>
        <v>0</v>
      </c>
      <c r="AA6" s="18"/>
      <c r="AB6" s="111" t="s">
        <v>158</v>
      </c>
      <c r="AC6" s="167">
        <f>INDEX(F4:F103,Inputs!$C$60+1)</f>
        <v>792.62801999546446</v>
      </c>
      <c r="AD6" s="146"/>
      <c r="AE6" s="146"/>
      <c r="AF6" s="18"/>
      <c r="AG6" s="18"/>
      <c r="AH6" s="18"/>
    </row>
    <row r="7" spans="1:34" ht="18" customHeight="1">
      <c r="A7" s="157">
        <f>IF(A6="","",IF(AND(A6&gt;=Inputs!$B$15,P6+L6+M6+W6&lt;=0.005),"",IF(A6&gt;=Inputs!$C$61,"",A6+1)))</f>
        <v>4</v>
      </c>
      <c r="B7" s="77">
        <f>IF(A7="","",ROUNDUP(A7/Inputs!$B$14,0))</f>
        <v>1</v>
      </c>
      <c r="C7" s="160" t="str">
        <f>IF(A7="","",IF(A7=Inputs!$C$60,"Pago inferior",IF(A7&gt;Inputs!$B$15,"Periodo adicional",IF(N6+L6+M6+W6&gt;0,"Pago normal - aplica vencidos","Pago normal"))))</f>
        <v>Pago normal</v>
      </c>
      <c r="D7" s="149">
        <f t="shared" si="0"/>
        <v>5785014.0917438753</v>
      </c>
      <c r="E7" s="149">
        <f>IF(A7="","",D7*Inputs!$B$17)</f>
        <v>70249.138367836436</v>
      </c>
      <c r="F7" s="149">
        <f>IF(A7="","",N6*Inputs!$B$17)</f>
        <v>0</v>
      </c>
      <c r="G7" s="149">
        <f>IF(A7="","",IF(A7&lt;=Inputs!$B$15,INDEX(Caso1_Normal!$H$4:$H$89,A7),0))</f>
        <v>40765.683508932052</v>
      </c>
      <c r="H7" s="149">
        <f>IF(A7="","",IF(A7=Inputs!$C$60,Inputs!$C$59*(Inputs!$B$20+U7),MIN(Inputs!$B$20+U7,D7+L6+F7+M6+E7+W6+U7)))</f>
        <v>174048.99418446081</v>
      </c>
      <c r="I7" s="149">
        <f t="shared" si="1"/>
        <v>0</v>
      </c>
      <c r="J7" s="149">
        <f t="shared" si="2"/>
        <v>70249.138367836436</v>
      </c>
      <c r="K7" s="149">
        <f t="shared" si="9"/>
        <v>40765.683508932059</v>
      </c>
      <c r="L7" s="149">
        <f t="shared" si="3"/>
        <v>0</v>
      </c>
      <c r="M7" s="149">
        <f t="shared" si="4"/>
        <v>0</v>
      </c>
      <c r="N7" s="149">
        <f t="shared" si="5"/>
        <v>0</v>
      </c>
      <c r="O7" s="149">
        <f t="shared" si="6"/>
        <v>5744248.4082349436</v>
      </c>
      <c r="P7" s="149">
        <f t="shared" si="7"/>
        <v>5744248.4082349436</v>
      </c>
      <c r="Q7" s="163" t="str">
        <f t="shared" si="8"/>
        <v>Vigente al día</v>
      </c>
      <c r="R7" s="149">
        <f>IF($A7="","",IF($A7&lt;=Inputs!$B$15,Inputs!$B$28,0))</f>
        <v>48643.172307692315</v>
      </c>
      <c r="S7" s="149">
        <f>IF($A7="","",IF($A7&lt;=Inputs!$B$15,Inputs!$B$29,0))</f>
        <v>10984.615384615387</v>
      </c>
      <c r="T7" s="149">
        <f>IF($A7="","",IF($A7&lt;=Inputs!$B$15,Inputs!$B$30,0))</f>
        <v>3406.3846153846157</v>
      </c>
      <c r="U7" s="149">
        <f t="shared" si="10"/>
        <v>63034.172307692315</v>
      </c>
      <c r="V7" s="149">
        <f t="shared" si="11"/>
        <v>63034.172307692315</v>
      </c>
      <c r="W7" s="149">
        <f t="shared" si="12"/>
        <v>0</v>
      </c>
      <c r="X7" s="149">
        <f>IF($B7="","",IF(OR($B8="",ROUNDUP(($A7+1)/Inputs!$B$14,0)&gt;$B7),SUMIF($B$4:$B7,$B7,R$4:R7),0))</f>
        <v>194572.68923076926</v>
      </c>
      <c r="Y7" s="149">
        <f>IF($B7="","",IF(OR($B8="",ROUNDUP(($A7+1)/Inputs!$B$14,0)&gt;$B7),SUMIF($B$4:$B7,$B7,S$4:S7),0))</f>
        <v>43938.461538461546</v>
      </c>
      <c r="Z7" s="149">
        <f>IF($B7="","",IF(OR($B8="",ROUNDUP(($A7+1)/Inputs!$B$14,0)&gt;$B7),SUMIF($B$4:$B7,$B7,T$4:T7),0))</f>
        <v>13625.538461538463</v>
      </c>
      <c r="AA7" s="18"/>
      <c r="AB7" s="113" t="s">
        <v>147</v>
      </c>
      <c r="AC7" s="168">
        <f>MAX(A4:A103)</f>
        <v>89</v>
      </c>
      <c r="AD7" s="66"/>
      <c r="AE7" s="66"/>
      <c r="AF7" s="18"/>
      <c r="AG7" s="18"/>
      <c r="AH7" s="18"/>
    </row>
    <row r="8" spans="1:34" ht="18" customHeight="1">
      <c r="A8" s="157">
        <f>IF(A7="","",IF(AND(A7&gt;=Inputs!$B$15,P7+L7+M7+W7&lt;=0.005),"",IF(A7&gt;=Inputs!$C$61,"",A7+1)))</f>
        <v>5</v>
      </c>
      <c r="B8" s="77">
        <f>IF(A8="","",ROUNDUP(A8/Inputs!$B$14,0))</f>
        <v>2</v>
      </c>
      <c r="C8" s="160" t="str">
        <f>IF(A8="","",IF(A8=Inputs!$C$60,"Pago inferior",IF(A8&gt;Inputs!$B$15,"Periodo adicional",IF(N7+L7+M7+W7&gt;0,"Pago normal - aplica vencidos","Pago normal"))))</f>
        <v>Pago normal</v>
      </c>
      <c r="D8" s="149">
        <f t="shared" si="0"/>
        <v>5744248.4082349436</v>
      </c>
      <c r="E8" s="149">
        <f>IF(A8="","",D8*Inputs!$B$17)</f>
        <v>69754.108607137081</v>
      </c>
      <c r="F8" s="149">
        <f>IF(A8="","",N7*Inputs!$B$17)</f>
        <v>0</v>
      </c>
      <c r="G8" s="149">
        <f>IF(A8="","",IF(A8&lt;=Inputs!$B$15,INDEX(Caso1_Normal!$H$4:$H$89,A8),0))</f>
        <v>41260.713269631407</v>
      </c>
      <c r="H8" s="149">
        <f>IF(A8="","",IF(A8=Inputs!$C$60,Inputs!$C$59*(Inputs!$B$20+U8),MIN(Inputs!$B$20+U8,D8+L7+F8+M7+E8+W7+U8)))</f>
        <v>174048.99418446081</v>
      </c>
      <c r="I8" s="149">
        <f t="shared" si="1"/>
        <v>0</v>
      </c>
      <c r="J8" s="149">
        <f t="shared" si="2"/>
        <v>69754.108607137081</v>
      </c>
      <c r="K8" s="149">
        <f t="shared" si="9"/>
        <v>41260.713269631415</v>
      </c>
      <c r="L8" s="149">
        <f t="shared" si="3"/>
        <v>0</v>
      </c>
      <c r="M8" s="149">
        <f t="shared" si="4"/>
        <v>0</v>
      </c>
      <c r="N8" s="149">
        <f t="shared" si="5"/>
        <v>0</v>
      </c>
      <c r="O8" s="149">
        <f t="shared" si="6"/>
        <v>5702987.6949653123</v>
      </c>
      <c r="P8" s="149">
        <f t="shared" si="7"/>
        <v>5702987.6949653123</v>
      </c>
      <c r="Q8" s="163" t="str">
        <f t="shared" si="8"/>
        <v>Vigente al día</v>
      </c>
      <c r="R8" s="149">
        <f>IF($A8="","",IF($A8&lt;=Inputs!$B$15,Inputs!$B$28,0))</f>
        <v>48643.172307692315</v>
      </c>
      <c r="S8" s="149">
        <f>IF($A8="","",IF($A8&lt;=Inputs!$B$15,Inputs!$B$29,0))</f>
        <v>10984.615384615387</v>
      </c>
      <c r="T8" s="149">
        <f>IF($A8="","",IF($A8&lt;=Inputs!$B$15,Inputs!$B$30,0))</f>
        <v>3406.3846153846157</v>
      </c>
      <c r="U8" s="149">
        <f t="shared" si="10"/>
        <v>63034.172307692315</v>
      </c>
      <c r="V8" s="149">
        <f t="shared" si="11"/>
        <v>63034.172307692315</v>
      </c>
      <c r="W8" s="149">
        <f t="shared" si="12"/>
        <v>0</v>
      </c>
      <c r="X8" s="149">
        <f>IF($B8="","",IF(OR($B9="",ROUNDUP(($A8+1)/Inputs!$B$14,0)&gt;$B8),SUMIF($B$4:$B8,$B8,R$4:R8),0))</f>
        <v>0</v>
      </c>
      <c r="Y8" s="149">
        <f>IF($B8="","",IF(OR($B9="",ROUNDUP(($A8+1)/Inputs!$B$14,0)&gt;$B8),SUMIF($B$4:$B8,$B8,S$4:S8),0))</f>
        <v>0</v>
      </c>
      <c r="Z8" s="149">
        <f>IF($B8="","",IF(OR($B9="",ROUNDUP(($A8+1)/Inputs!$B$14,0)&gt;$B8),SUMIF($B$4:$B8,$B8,T$4:T8),0))</f>
        <v>0</v>
      </c>
      <c r="AA8" s="18"/>
      <c r="AB8" s="113" t="s">
        <v>362</v>
      </c>
      <c r="AC8" s="168">
        <f>INDEX(V4:V103,Inputs!$C$60)</f>
        <v>23877.665567920376</v>
      </c>
      <c r="AD8" s="66"/>
      <c r="AE8" s="66"/>
      <c r="AF8" s="18"/>
      <c r="AG8" s="18"/>
      <c r="AH8" s="18"/>
    </row>
    <row r="9" spans="1:34" ht="18" customHeight="1">
      <c r="A9" s="157">
        <f>IF(A8="","",IF(AND(A8&gt;=Inputs!$B$15,P8+L8+M8+W8&lt;=0.005),"",IF(A8&gt;=Inputs!$C$61,"",A8+1)))</f>
        <v>6</v>
      </c>
      <c r="B9" s="77">
        <f>IF(A9="","",ROUNDUP(A9/Inputs!$B$14,0))</f>
        <v>2</v>
      </c>
      <c r="C9" s="160" t="str">
        <f>IF(A9="","",IF(A9=Inputs!$C$60,"Pago inferior",IF(A9&gt;Inputs!$B$15,"Periodo adicional",IF(N8+L8+M8+W8&gt;0,"Pago normal - aplica vencidos","Pago normal"))))</f>
        <v>Pago normal</v>
      </c>
      <c r="D9" s="149">
        <f t="shared" si="0"/>
        <v>5702987.6949653123</v>
      </c>
      <c r="E9" s="149">
        <f>IF(A9="","",D9*Inputs!$B$17)</f>
        <v>69253.067553534362</v>
      </c>
      <c r="F9" s="149">
        <f>IF(A9="","",N8*Inputs!$B$17)</f>
        <v>0</v>
      </c>
      <c r="G9" s="149">
        <f>IF(A9="","",IF(A9&lt;=Inputs!$B$15,INDEX(Caso1_Normal!$H$4:$H$89,A9),0))</f>
        <v>41761.754323234127</v>
      </c>
      <c r="H9" s="149">
        <f>IF(A9="","",IF(A9=Inputs!$C$60,Inputs!$C$59*(Inputs!$B$20+U9),MIN(Inputs!$B$20+U9,D9+L8+F9+M8+E9+W8+U9)))</f>
        <v>174048.99418446081</v>
      </c>
      <c r="I9" s="149">
        <f t="shared" si="1"/>
        <v>0</v>
      </c>
      <c r="J9" s="149">
        <f t="shared" si="2"/>
        <v>69253.067553534362</v>
      </c>
      <c r="K9" s="149">
        <f t="shared" si="9"/>
        <v>41761.754323234134</v>
      </c>
      <c r="L9" s="149">
        <f t="shared" si="3"/>
        <v>0</v>
      </c>
      <c r="M9" s="149">
        <f t="shared" si="4"/>
        <v>0</v>
      </c>
      <c r="N9" s="149">
        <f t="shared" si="5"/>
        <v>0</v>
      </c>
      <c r="O9" s="149">
        <f t="shared" si="6"/>
        <v>5661225.9406420784</v>
      </c>
      <c r="P9" s="149">
        <f t="shared" si="7"/>
        <v>5661225.9406420784</v>
      </c>
      <c r="Q9" s="163" t="str">
        <f t="shared" si="8"/>
        <v>Vigente al día</v>
      </c>
      <c r="R9" s="149">
        <f>IF($A9="","",IF($A9&lt;=Inputs!$B$15,Inputs!$B$28,0))</f>
        <v>48643.172307692315</v>
      </c>
      <c r="S9" s="149">
        <f>IF($A9="","",IF($A9&lt;=Inputs!$B$15,Inputs!$B$29,0))</f>
        <v>10984.615384615387</v>
      </c>
      <c r="T9" s="149">
        <f>IF($A9="","",IF($A9&lt;=Inputs!$B$15,Inputs!$B$30,0))</f>
        <v>3406.3846153846157</v>
      </c>
      <c r="U9" s="149">
        <f t="shared" si="10"/>
        <v>63034.172307692315</v>
      </c>
      <c r="V9" s="149">
        <f t="shared" si="11"/>
        <v>63034.172307692315</v>
      </c>
      <c r="W9" s="149">
        <f t="shared" si="12"/>
        <v>0</v>
      </c>
      <c r="X9" s="149">
        <f>IF($B9="","",IF(OR($B10="",ROUNDUP(($A9+1)/Inputs!$B$14,0)&gt;$B9),SUMIF($B$4:$B9,$B9,R$4:R9),0))</f>
        <v>0</v>
      </c>
      <c r="Y9" s="149">
        <f>IF($B9="","",IF(OR($B10="",ROUNDUP(($A9+1)/Inputs!$B$14,0)&gt;$B9),SUMIF($B$4:$B9,$B9,S$4:S9),0))</f>
        <v>0</v>
      </c>
      <c r="Z9" s="149">
        <f>IF($B9="","",IF(OR($B10="",ROUNDUP(($A9+1)/Inputs!$B$14,0)&gt;$B9),SUMIF($B$4:$B9,$B9,T$4:T9),0))</f>
        <v>0</v>
      </c>
      <c r="AA9" s="18"/>
      <c r="AB9" s="113" t="s">
        <v>363</v>
      </c>
      <c r="AC9" s="168">
        <f>INDEX(W4:W103,Inputs!$C$60)</f>
        <v>39156.506739771939</v>
      </c>
      <c r="AD9" s="146"/>
      <c r="AE9" s="146"/>
      <c r="AF9" s="18"/>
      <c r="AG9" s="18"/>
      <c r="AH9" s="18"/>
    </row>
    <row r="10" spans="1:34" ht="18" customHeight="1">
      <c r="A10" s="157">
        <f>IF(A9="","",IF(AND(A9&gt;=Inputs!$B$15,P9+L9+M9+W9&lt;=0.005),"",IF(A9&gt;=Inputs!$C$61,"",A9+1)))</f>
        <v>7</v>
      </c>
      <c r="B10" s="77">
        <f>IF(A10="","",ROUNDUP(A10/Inputs!$B$14,0))</f>
        <v>2</v>
      </c>
      <c r="C10" s="160" t="str">
        <f>IF(A10="","",IF(A10=Inputs!$C$60,"Pago inferior",IF(A10&gt;Inputs!$B$15,"Periodo adicional",IF(N9+L9+M9+W9&gt;0,"Pago normal - aplica vencidos","Pago normal"))))</f>
        <v>Pago normal</v>
      </c>
      <c r="D10" s="149">
        <f t="shared" si="0"/>
        <v>5661225.9406420784</v>
      </c>
      <c r="E10" s="149">
        <f>IF(A10="","",D10*Inputs!$B$17)</f>
        <v>68745.942210119319</v>
      </c>
      <c r="F10" s="149">
        <f>IF(A10="","",N9*Inputs!$B$17)</f>
        <v>0</v>
      </c>
      <c r="G10" s="149">
        <f>IF(A10="","",IF(A10&lt;=Inputs!$B$15,INDEX(Caso1_Normal!$H$4:$H$89,A10),0))</f>
        <v>42268.879666649169</v>
      </c>
      <c r="H10" s="149">
        <f>IF(A10="","",IF(A10=Inputs!$C$60,Inputs!$C$59*(Inputs!$B$20+U10),MIN(Inputs!$B$20+U10,D10+L9+F10+M9+E10+W9+U10)))</f>
        <v>174048.99418446081</v>
      </c>
      <c r="I10" s="149">
        <f t="shared" si="1"/>
        <v>0</v>
      </c>
      <c r="J10" s="149">
        <f t="shared" si="2"/>
        <v>68745.942210119319</v>
      </c>
      <c r="K10" s="149">
        <f t="shared" si="9"/>
        <v>42268.879666649176</v>
      </c>
      <c r="L10" s="149">
        <f t="shared" si="3"/>
        <v>0</v>
      </c>
      <c r="M10" s="149">
        <f t="shared" si="4"/>
        <v>0</v>
      </c>
      <c r="N10" s="149">
        <f t="shared" si="5"/>
        <v>0</v>
      </c>
      <c r="O10" s="149">
        <f t="shared" si="6"/>
        <v>5618957.0609754296</v>
      </c>
      <c r="P10" s="149">
        <f t="shared" si="7"/>
        <v>5618957.0609754296</v>
      </c>
      <c r="Q10" s="163" t="str">
        <f t="shared" si="8"/>
        <v>Vigente al día</v>
      </c>
      <c r="R10" s="149">
        <f>IF($A10="","",IF($A10&lt;=Inputs!$B$15,Inputs!$B$28,0))</f>
        <v>48643.172307692315</v>
      </c>
      <c r="S10" s="149">
        <f>IF($A10="","",IF($A10&lt;=Inputs!$B$15,Inputs!$B$29,0))</f>
        <v>10984.615384615387</v>
      </c>
      <c r="T10" s="149">
        <f>IF($A10="","",IF($A10&lt;=Inputs!$B$15,Inputs!$B$30,0))</f>
        <v>3406.3846153846157</v>
      </c>
      <c r="U10" s="149">
        <f t="shared" si="10"/>
        <v>63034.172307692315</v>
      </c>
      <c r="V10" s="149">
        <f t="shared" si="11"/>
        <v>63034.172307692315</v>
      </c>
      <c r="W10" s="149">
        <f t="shared" si="12"/>
        <v>0</v>
      </c>
      <c r="X10" s="149">
        <f>IF($B10="","",IF(OR($B11="",ROUNDUP(($A10+1)/Inputs!$B$14,0)&gt;$B10),SUMIF($B$4:$B10,$B10,R$4:R10),0))</f>
        <v>0</v>
      </c>
      <c r="Y10" s="149">
        <f>IF($B10="","",IF(OR($B11="",ROUNDUP(($A10+1)/Inputs!$B$14,0)&gt;$B10),SUMIF($B$4:$B10,$B10,S$4:S10),0))</f>
        <v>0</v>
      </c>
      <c r="Z10" s="149">
        <f>IF($B10="","",IF(OR($B11="",ROUNDUP(($A10+1)/Inputs!$B$14,0)&gt;$B10),SUMIF($B$4:$B10,$B10,T$4:T10),0))</f>
        <v>0</v>
      </c>
      <c r="AA10" s="18"/>
      <c r="AB10" s="18"/>
      <c r="AC10" s="18"/>
      <c r="AD10" s="18"/>
      <c r="AE10" s="18"/>
      <c r="AF10" s="18"/>
      <c r="AG10" s="18"/>
      <c r="AH10" s="18"/>
    </row>
    <row r="11" spans="1:34" ht="18" customHeight="1">
      <c r="A11" s="157">
        <f>IF(A10="","",IF(AND(A10&gt;=Inputs!$B$15,P10+L10+M10+W10&lt;=0.005),"",IF(A10&gt;=Inputs!$C$61,"",A10+1)))</f>
        <v>8</v>
      </c>
      <c r="B11" s="77">
        <f>IF(A11="","",ROUNDUP(A11/Inputs!$B$14,0))</f>
        <v>2</v>
      </c>
      <c r="C11" s="160" t="str">
        <f>IF(A11="","",IF(A11=Inputs!$C$60,"Pago inferior",IF(A11&gt;Inputs!$B$15,"Periodo adicional",IF(N10+L10+M10+W10&gt;0,"Pago normal - aplica vencidos","Pago normal"))))</f>
        <v>Pago normal</v>
      </c>
      <c r="D11" s="149">
        <f t="shared" si="0"/>
        <v>5618957.0609754296</v>
      </c>
      <c r="E11" s="149">
        <f>IF(A11="","",D11*Inputs!$B$17)</f>
        <v>68232.658693559948</v>
      </c>
      <c r="F11" s="149">
        <f>IF(A11="","",N10*Inputs!$B$17)</f>
        <v>0</v>
      </c>
      <c r="G11" s="149">
        <f>IF(A11="","",IF(A11&lt;=Inputs!$B$15,INDEX(Caso1_Normal!$H$4:$H$89,A11),0))</f>
        <v>42782.16318320854</v>
      </c>
      <c r="H11" s="149">
        <f>IF(A11="","",IF(A11=Inputs!$C$60,Inputs!$C$59*(Inputs!$B$20+U11),MIN(Inputs!$B$20+U11,D11+L10+F11+M10+E11+W10+U11)))</f>
        <v>174048.99418446081</v>
      </c>
      <c r="I11" s="149">
        <f t="shared" si="1"/>
        <v>0</v>
      </c>
      <c r="J11" s="149">
        <f t="shared" si="2"/>
        <v>68232.658693559948</v>
      </c>
      <c r="K11" s="149">
        <f t="shared" si="9"/>
        <v>42782.163183208548</v>
      </c>
      <c r="L11" s="149">
        <f t="shared" si="3"/>
        <v>0</v>
      </c>
      <c r="M11" s="149">
        <f t="shared" si="4"/>
        <v>0</v>
      </c>
      <c r="N11" s="149">
        <f t="shared" si="5"/>
        <v>0</v>
      </c>
      <c r="O11" s="149">
        <f t="shared" si="6"/>
        <v>5576174.897792221</v>
      </c>
      <c r="P11" s="149">
        <f t="shared" si="7"/>
        <v>5576174.897792221</v>
      </c>
      <c r="Q11" s="163" t="str">
        <f t="shared" si="8"/>
        <v>Vigente al día</v>
      </c>
      <c r="R11" s="149">
        <f>IF($A11="","",IF($A11&lt;=Inputs!$B$15,Inputs!$B$28,0))</f>
        <v>48643.172307692315</v>
      </c>
      <c r="S11" s="149">
        <f>IF($A11="","",IF($A11&lt;=Inputs!$B$15,Inputs!$B$29,0))</f>
        <v>10984.615384615387</v>
      </c>
      <c r="T11" s="149">
        <f>IF($A11="","",IF($A11&lt;=Inputs!$B$15,Inputs!$B$30,0))</f>
        <v>3406.3846153846157</v>
      </c>
      <c r="U11" s="149">
        <f t="shared" si="10"/>
        <v>63034.172307692315</v>
      </c>
      <c r="V11" s="149">
        <f t="shared" si="11"/>
        <v>63034.172307692315</v>
      </c>
      <c r="W11" s="149">
        <f t="shared" si="12"/>
        <v>0</v>
      </c>
      <c r="X11" s="149">
        <f>IF($B11="","",IF(OR($B12="",ROUNDUP(($A11+1)/Inputs!$B$14,0)&gt;$B11),SUMIF($B$4:$B11,$B11,R$4:R11),0))</f>
        <v>194572.68923076926</v>
      </c>
      <c r="Y11" s="149">
        <f>IF($B11="","",IF(OR($B12="",ROUNDUP(($A11+1)/Inputs!$B$14,0)&gt;$B11),SUMIF($B$4:$B11,$B11,S$4:S11),0))</f>
        <v>43938.461538461546</v>
      </c>
      <c r="Z11" s="149">
        <f>IF($B11="","",IF(OR($B12="",ROUNDUP(($A11+1)/Inputs!$B$14,0)&gt;$B11),SUMIF($B$4:$B11,$B11,T$4:T11),0))</f>
        <v>13625.538461538463</v>
      </c>
      <c r="AA11" s="18"/>
      <c r="AB11" s="18"/>
      <c r="AC11" s="18"/>
      <c r="AD11" s="18"/>
      <c r="AE11" s="18"/>
      <c r="AF11" s="18"/>
      <c r="AG11" s="18"/>
      <c r="AH11" s="18"/>
    </row>
    <row r="12" spans="1:34" ht="25.95" customHeight="1">
      <c r="A12" s="157">
        <f>IF(A11="","",IF(AND(A11&gt;=Inputs!$B$15,P11+L11+M11+W11&lt;=0.005),"",IF(A11&gt;=Inputs!$C$61,"",A11+1)))</f>
        <v>9</v>
      </c>
      <c r="B12" s="77">
        <f>IF(A12="","",ROUNDUP(A12/Inputs!$B$14,0))</f>
        <v>3</v>
      </c>
      <c r="C12" s="160" t="str">
        <f>IF(A12="","",IF(A12=Inputs!$C$60,"Pago inferior",IF(A12&gt;Inputs!$B$15,"Periodo adicional",IF(N11+L11+M11+W11&gt;0,"Pago normal - aplica vencidos","Pago normal"))))</f>
        <v>Pago normal</v>
      </c>
      <c r="D12" s="149">
        <f t="shared" si="0"/>
        <v>5576174.897792221</v>
      </c>
      <c r="E12" s="149">
        <f>IF(A12="","",D12*Inputs!$B$17)</f>
        <v>67713.142223337039</v>
      </c>
      <c r="F12" s="149">
        <f>IF(A12="","",N11*Inputs!$B$17)</f>
        <v>0</v>
      </c>
      <c r="G12" s="149">
        <f>IF(A12="","",IF(A12&lt;=Inputs!$B$15,INDEX(Caso1_Normal!$H$4:$H$89,A12),0))</f>
        <v>43301.679653431449</v>
      </c>
      <c r="H12" s="149">
        <f>IF(A12="","",IF(A12=Inputs!$C$60,Inputs!$C$59*(Inputs!$B$20+U12),MIN(Inputs!$B$20+U12,D12+L11+F12+M11+E12+W11+U12)))</f>
        <v>174048.99418446081</v>
      </c>
      <c r="I12" s="149">
        <f t="shared" si="1"/>
        <v>0</v>
      </c>
      <c r="J12" s="149">
        <f t="shared" si="2"/>
        <v>67713.142223337039</v>
      </c>
      <c r="K12" s="149">
        <f t="shared" si="9"/>
        <v>43301.679653431456</v>
      </c>
      <c r="L12" s="149">
        <f t="shared" si="3"/>
        <v>0</v>
      </c>
      <c r="M12" s="149">
        <f t="shared" si="4"/>
        <v>0</v>
      </c>
      <c r="N12" s="149">
        <f t="shared" si="5"/>
        <v>0</v>
      </c>
      <c r="O12" s="149">
        <f t="shared" si="6"/>
        <v>5532873.2181387898</v>
      </c>
      <c r="P12" s="149">
        <f t="shared" si="7"/>
        <v>5532873.2181387898</v>
      </c>
      <c r="Q12" s="163" t="str">
        <f t="shared" si="8"/>
        <v>Vigente al día</v>
      </c>
      <c r="R12" s="149">
        <f>IF($A12="","",IF($A12&lt;=Inputs!$B$15,Inputs!$B$28,0))</f>
        <v>48643.172307692315</v>
      </c>
      <c r="S12" s="149">
        <f>IF($A12="","",IF($A12&lt;=Inputs!$B$15,Inputs!$B$29,0))</f>
        <v>10984.615384615387</v>
      </c>
      <c r="T12" s="149">
        <f>IF($A12="","",IF($A12&lt;=Inputs!$B$15,Inputs!$B$30,0))</f>
        <v>3406.3846153846157</v>
      </c>
      <c r="U12" s="149">
        <f t="shared" si="10"/>
        <v>63034.172307692315</v>
      </c>
      <c r="V12" s="149">
        <f t="shared" si="11"/>
        <v>63034.172307692315</v>
      </c>
      <c r="W12" s="149">
        <f t="shared" si="12"/>
        <v>0</v>
      </c>
      <c r="X12" s="149">
        <f>IF($B12="","",IF(OR($B13="",ROUNDUP(($A12+1)/Inputs!$B$14,0)&gt;$B12),SUMIF($B$4:$B12,$B12,R$4:R12),0))</f>
        <v>0</v>
      </c>
      <c r="Y12" s="149">
        <f>IF($B12="","",IF(OR($B13="",ROUNDUP(($A12+1)/Inputs!$B$14,0)&gt;$B12),SUMIF($B$4:$B12,$B12,S$4:S12),0))</f>
        <v>0</v>
      </c>
      <c r="Z12" s="149">
        <f>IF($B12="","",IF(OR($B13="",ROUNDUP(($A12+1)/Inputs!$B$14,0)&gt;$B12),SUMIF($B$4:$B12,$B12,T$4:T12),0))</f>
        <v>0</v>
      </c>
      <c r="AA12" s="18"/>
      <c r="AB12" s="115" t="s">
        <v>95</v>
      </c>
      <c r="AC12" s="23"/>
      <c r="AD12" s="23"/>
      <c r="AE12" s="23"/>
      <c r="AF12" s="18"/>
      <c r="AG12" s="18"/>
      <c r="AH12" s="18"/>
    </row>
    <row r="13" spans="1:34" ht="18" customHeight="1">
      <c r="A13" s="157">
        <f>IF(A12="","",IF(AND(A12&gt;=Inputs!$B$15,P12+L12+M12+W12&lt;=0.005),"",IF(A12&gt;=Inputs!$C$61,"",A12+1)))</f>
        <v>10</v>
      </c>
      <c r="B13" s="77">
        <f>IF(A13="","",ROUNDUP(A13/Inputs!$B$14,0))</f>
        <v>3</v>
      </c>
      <c r="C13" s="160" t="str">
        <f>IF(A13="","",IF(A13=Inputs!$C$60,"Pago inferior",IF(A13&gt;Inputs!$B$15,"Periodo adicional",IF(N12+L12+M12+W12&gt;0,"Pago normal - aplica vencidos","Pago normal"))))</f>
        <v>Pago normal</v>
      </c>
      <c r="D13" s="149">
        <f t="shared" si="0"/>
        <v>5532873.2181387898</v>
      </c>
      <c r="E13" s="149">
        <f>IF(A13="","",D13*Inputs!$B$17)</f>
        <v>67187.317110849428</v>
      </c>
      <c r="F13" s="149">
        <f>IF(A13="","",N12*Inputs!$B$17)</f>
        <v>0</v>
      </c>
      <c r="G13" s="149">
        <f>IF(A13="","",IF(A13&lt;=Inputs!$B$15,INDEX(Caso1_Normal!$H$4:$H$89,A13),0))</f>
        <v>43827.50476591906</v>
      </c>
      <c r="H13" s="149">
        <f>IF(A13="","",IF(A13=Inputs!$C$60,Inputs!$C$59*(Inputs!$B$20+U13),MIN(Inputs!$B$20+U13,D13+L12+F13+M12+E13+W12+U13)))</f>
        <v>174048.99418446081</v>
      </c>
      <c r="I13" s="149">
        <f t="shared" si="1"/>
        <v>0</v>
      </c>
      <c r="J13" s="149">
        <f t="shared" si="2"/>
        <v>67187.317110849428</v>
      </c>
      <c r="K13" s="149">
        <f t="shared" si="9"/>
        <v>43827.504765919068</v>
      </c>
      <c r="L13" s="149">
        <f t="shared" si="3"/>
        <v>0</v>
      </c>
      <c r="M13" s="149">
        <f t="shared" si="4"/>
        <v>0</v>
      </c>
      <c r="N13" s="149">
        <f t="shared" si="5"/>
        <v>0</v>
      </c>
      <c r="O13" s="149">
        <f t="shared" si="6"/>
        <v>5489045.7133728703</v>
      </c>
      <c r="P13" s="149">
        <f t="shared" si="7"/>
        <v>5489045.7133728703</v>
      </c>
      <c r="Q13" s="163" t="str">
        <f t="shared" si="8"/>
        <v>Vigente al día</v>
      </c>
      <c r="R13" s="149">
        <f>IF($A13="","",IF($A13&lt;=Inputs!$B$15,Inputs!$B$28,0))</f>
        <v>48643.172307692315</v>
      </c>
      <c r="S13" s="149">
        <f>IF($A13="","",IF($A13&lt;=Inputs!$B$15,Inputs!$B$29,0))</f>
        <v>10984.615384615387</v>
      </c>
      <c r="T13" s="149">
        <f>IF($A13="","",IF($A13&lt;=Inputs!$B$15,Inputs!$B$30,0))</f>
        <v>3406.3846153846157</v>
      </c>
      <c r="U13" s="149">
        <f t="shared" si="10"/>
        <v>63034.172307692315</v>
      </c>
      <c r="V13" s="149">
        <f t="shared" si="11"/>
        <v>63034.172307692315</v>
      </c>
      <c r="W13" s="149">
        <f t="shared" si="12"/>
        <v>0</v>
      </c>
      <c r="X13" s="149">
        <f>IF($B13="","",IF(OR($B14="",ROUNDUP(($A13+1)/Inputs!$B$14,0)&gt;$B13),SUMIF($B$4:$B13,$B13,R$4:R13),0))</f>
        <v>0</v>
      </c>
      <c r="Y13" s="149">
        <f>IF($B13="","",IF(OR($B14="",ROUNDUP(($A13+1)/Inputs!$B$14,0)&gt;$B13),SUMIF($B$4:$B13,$B13,S$4:S13),0))</f>
        <v>0</v>
      </c>
      <c r="Z13" s="149">
        <f>IF($B13="","",IF(OR($B14="",ROUNDUP(($A13+1)/Inputs!$B$14,0)&gt;$B13),SUMIF($B$4:$B13,$B13,T$4:T13),0))</f>
        <v>0</v>
      </c>
      <c r="AA13" s="18"/>
      <c r="AB13" s="122" t="s">
        <v>96</v>
      </c>
      <c r="AC13" s="122" t="s">
        <v>97</v>
      </c>
      <c r="AD13" s="122" t="s">
        <v>98</v>
      </c>
      <c r="AE13" s="122" t="s">
        <v>99</v>
      </c>
      <c r="AF13" s="18"/>
      <c r="AG13" s="18"/>
      <c r="AH13" s="18"/>
    </row>
    <row r="14" spans="1:34" ht="18" customHeight="1">
      <c r="A14" s="157">
        <f>IF(A13="","",IF(AND(A13&gt;=Inputs!$B$15,P13+L13+M13+W13&lt;=0.005),"",IF(A13&gt;=Inputs!$C$61,"",A13+1)))</f>
        <v>11</v>
      </c>
      <c r="B14" s="77">
        <f>IF(A14="","",ROUNDUP(A14/Inputs!$B$14,0))</f>
        <v>3</v>
      </c>
      <c r="C14" s="160" t="str">
        <f>IF(A14="","",IF(A14=Inputs!$C$60,"Pago inferior",IF(A14&gt;Inputs!$B$15,"Periodo adicional",IF(N13+L13+M13+W13&gt;0,"Pago normal - aplica vencidos","Pago normal"))))</f>
        <v>Pago normal</v>
      </c>
      <c r="D14" s="149">
        <f t="shared" si="0"/>
        <v>5489045.7133728703</v>
      </c>
      <c r="E14" s="149">
        <f>IF(A14="","",D14*Inputs!$B$17)</f>
        <v>66655.106748386854</v>
      </c>
      <c r="F14" s="149">
        <f>IF(A14="","",N13*Inputs!$B$17)</f>
        <v>0</v>
      </c>
      <c r="G14" s="149">
        <f>IF(A14="","",IF(A14&lt;=Inputs!$B$15,INDEX(Caso1_Normal!$H$4:$H$89,A14),0))</f>
        <v>44359.715128381635</v>
      </c>
      <c r="H14" s="149">
        <f>IF(A14="","",IF(A14=Inputs!$C$60,Inputs!$C$59*(Inputs!$B$20+U14),MIN(Inputs!$B$20+U14,D14+L13+F14+M13+E14+W13+U14)))</f>
        <v>174048.99418446081</v>
      </c>
      <c r="I14" s="149">
        <f t="shared" si="1"/>
        <v>0</v>
      </c>
      <c r="J14" s="149">
        <f t="shared" si="2"/>
        <v>66655.106748386854</v>
      </c>
      <c r="K14" s="149">
        <f t="shared" si="9"/>
        <v>44359.715128381642</v>
      </c>
      <c r="L14" s="149">
        <f t="shared" si="3"/>
        <v>0</v>
      </c>
      <c r="M14" s="149">
        <f t="shared" si="4"/>
        <v>0</v>
      </c>
      <c r="N14" s="149">
        <f t="shared" si="5"/>
        <v>0</v>
      </c>
      <c r="O14" s="149">
        <f t="shared" si="6"/>
        <v>5444685.9982444886</v>
      </c>
      <c r="P14" s="149">
        <f t="shared" si="7"/>
        <v>5444685.9982444886</v>
      </c>
      <c r="Q14" s="163" t="str">
        <f t="shared" si="8"/>
        <v>Vigente al día</v>
      </c>
      <c r="R14" s="149">
        <f>IF($A14="","",IF($A14&lt;=Inputs!$B$15,Inputs!$B$28,0))</f>
        <v>48643.172307692315</v>
      </c>
      <c r="S14" s="149">
        <f>IF($A14="","",IF($A14&lt;=Inputs!$B$15,Inputs!$B$29,0))</f>
        <v>10984.615384615387</v>
      </c>
      <c r="T14" s="149">
        <f>IF($A14="","",IF($A14&lt;=Inputs!$B$15,Inputs!$B$30,0))</f>
        <v>3406.3846153846157</v>
      </c>
      <c r="U14" s="149">
        <f t="shared" si="10"/>
        <v>63034.172307692315</v>
      </c>
      <c r="V14" s="149">
        <f t="shared" si="11"/>
        <v>63034.172307692315</v>
      </c>
      <c r="W14" s="149">
        <f t="shared" si="12"/>
        <v>0</v>
      </c>
      <c r="X14" s="149">
        <f>IF($B14="","",IF(OR($B15="",ROUNDUP(($A14+1)/Inputs!$B$14,0)&gt;$B14),SUMIF($B$4:$B14,$B14,R$4:R14),0))</f>
        <v>0</v>
      </c>
      <c r="Y14" s="149">
        <f>IF($B14="","",IF(OR($B15="",ROUNDUP(($A14+1)/Inputs!$B$14,0)&gt;$B14),SUMIF($B$4:$B14,$B14,S$4:S14),0))</f>
        <v>0</v>
      </c>
      <c r="Z14" s="149">
        <f>IF($B14="","",IF(OR($B15="",ROUNDUP(($A14+1)/Inputs!$B$14,0)&gt;$B14),SUMIF($B$4:$B14,$B14,T$4:T14),0))</f>
        <v>0</v>
      </c>
      <c r="AA14" s="18"/>
      <c r="AB14" s="110" t="s">
        <v>100</v>
      </c>
      <c r="AC14" s="207">
        <f>INDEX(H4:H103,Inputs!$C$60)</f>
        <v>69619.59767378433</v>
      </c>
      <c r="AD14" s="207"/>
      <c r="AE14" s="171" t="s">
        <v>361</v>
      </c>
      <c r="AF14" s="18"/>
      <c r="AG14" s="18"/>
      <c r="AH14" s="18"/>
    </row>
    <row r="15" spans="1:34" ht="18" customHeight="1">
      <c r="A15" s="157">
        <f>IF(A14="","",IF(AND(A14&gt;=Inputs!$B$15,P14+L14+M14+W14&lt;=0.005),"",IF(A14&gt;=Inputs!$C$61,"",A14+1)))</f>
        <v>12</v>
      </c>
      <c r="B15" s="77">
        <f>IF(A15="","",ROUNDUP(A15/Inputs!$B$14,0))</f>
        <v>3</v>
      </c>
      <c r="C15" s="160" t="str">
        <f>IF(A15="","",IF(A15=Inputs!$C$60,"Pago inferior",IF(A15&gt;Inputs!$B$15,"Periodo adicional",IF(N14+L14+M14+W14&gt;0,"Pago normal - aplica vencidos","Pago normal"))))</f>
        <v>Pago normal</v>
      </c>
      <c r="D15" s="149">
        <f t="shared" si="0"/>
        <v>5444685.9982444886</v>
      </c>
      <c r="E15" s="149">
        <f>IF(A15="","",D15*Inputs!$B$17)</f>
        <v>66116.433597968979</v>
      </c>
      <c r="F15" s="149">
        <f>IF(A15="","",N14*Inputs!$B$17)</f>
        <v>0</v>
      </c>
      <c r="G15" s="149">
        <f>IF(A15="","",IF(A15&lt;=Inputs!$B$15,INDEX(Caso1_Normal!$H$4:$H$89,A15),0))</f>
        <v>44898.38827879951</v>
      </c>
      <c r="H15" s="149">
        <f>IF(A15="","",IF(A15=Inputs!$C$60,Inputs!$C$59*(Inputs!$B$20+U15),MIN(Inputs!$B$20+U15,D15+L14+F15+M14+E15+W14+U15)))</f>
        <v>174048.99418446081</v>
      </c>
      <c r="I15" s="149">
        <f t="shared" si="1"/>
        <v>0</v>
      </c>
      <c r="J15" s="149">
        <f t="shared" si="2"/>
        <v>66116.433597968979</v>
      </c>
      <c r="K15" s="149">
        <f t="shared" si="9"/>
        <v>44898.388278799517</v>
      </c>
      <c r="L15" s="149">
        <f t="shared" si="3"/>
        <v>0</v>
      </c>
      <c r="M15" s="149">
        <f t="shared" si="4"/>
        <v>0</v>
      </c>
      <c r="N15" s="149">
        <f t="shared" si="5"/>
        <v>0</v>
      </c>
      <c r="O15" s="149">
        <f t="shared" si="6"/>
        <v>5399787.6099656895</v>
      </c>
      <c r="P15" s="149">
        <f t="shared" si="7"/>
        <v>5399787.6099656895</v>
      </c>
      <c r="Q15" s="163" t="str">
        <f t="shared" si="8"/>
        <v>Vigente al día</v>
      </c>
      <c r="R15" s="149">
        <f>IF($A15="","",IF($A15&lt;=Inputs!$B$15,Inputs!$B$28,0))</f>
        <v>48643.172307692315</v>
      </c>
      <c r="S15" s="149">
        <f>IF($A15="","",IF($A15&lt;=Inputs!$B$15,Inputs!$B$29,0))</f>
        <v>10984.615384615387</v>
      </c>
      <c r="T15" s="149">
        <f>IF($A15="","",IF($A15&lt;=Inputs!$B$15,Inputs!$B$30,0))</f>
        <v>3406.3846153846157</v>
      </c>
      <c r="U15" s="149">
        <f t="shared" si="10"/>
        <v>63034.172307692315</v>
      </c>
      <c r="V15" s="149">
        <f t="shared" si="11"/>
        <v>63034.172307692315</v>
      </c>
      <c r="W15" s="149">
        <f t="shared" si="12"/>
        <v>0</v>
      </c>
      <c r="X15" s="149">
        <f>IF($B15="","",IF(OR($B16="",ROUNDUP(($A15+1)/Inputs!$B$14,0)&gt;$B15),SUMIF($B$4:$B15,$B15,R$4:R15),0))</f>
        <v>0</v>
      </c>
      <c r="Y15" s="149">
        <f>IF($B15="","",IF(OR($B16="",ROUNDUP(($A15+1)/Inputs!$B$14,0)&gt;$B15),SUMIF($B$4:$B15,$B15,S$4:S15),0))</f>
        <v>0</v>
      </c>
      <c r="Z15" s="149">
        <f>IF($B15="","",IF(OR($B16="",ROUNDUP(($A15+1)/Inputs!$B$14,0)&gt;$B15),SUMIF($B$4:$B15,$B15,T$4:T15),0))</f>
        <v>0</v>
      </c>
      <c r="AA15" s="18"/>
      <c r="AB15" s="111" t="s">
        <v>122</v>
      </c>
      <c r="AC15" s="208"/>
      <c r="AD15" s="208">
        <f>INDEX(J4:J103,Inputs!$C$60)</f>
        <v>45741.932105863954</v>
      </c>
      <c r="AE15" s="172" t="s">
        <v>169</v>
      </c>
      <c r="AF15" s="18"/>
      <c r="AG15" s="18"/>
      <c r="AH15" s="18"/>
    </row>
    <row r="16" spans="1:34" ht="18" customHeight="1">
      <c r="A16" s="157">
        <f>IF(A15="","",IF(AND(A15&gt;=Inputs!$B$15,P15+L15+M15+W15&lt;=0.005),"",IF(A15&gt;=Inputs!$C$61,"",A15+1)))</f>
        <v>13</v>
      </c>
      <c r="B16" s="77">
        <f>IF(A16="","",ROUNDUP(A16/Inputs!$B$14,0))</f>
        <v>3</v>
      </c>
      <c r="C16" s="160" t="str">
        <f>IF(A16="","",IF(A16=Inputs!$C$60,"Pago inferior",IF(A16&gt;Inputs!$B$15,"Periodo adicional",IF(N15+L15+M15+W15&gt;0,"Pago normal - aplica vencidos","Pago normal"))))</f>
        <v>Pago normal</v>
      </c>
      <c r="D16" s="149">
        <f t="shared" si="0"/>
        <v>5399787.6099656895</v>
      </c>
      <c r="E16" s="149">
        <f>IF(A16="","",D16*Inputs!$B$17)</f>
        <v>65571.219180048793</v>
      </c>
      <c r="F16" s="149">
        <f>IF(A16="","",N15*Inputs!$B$17)</f>
        <v>0</v>
      </c>
      <c r="G16" s="149">
        <f>IF(A16="","",IF(A16&lt;=Inputs!$B$15,INDEX(Caso1_Normal!$H$4:$H$89,A16),0))</f>
        <v>45443.602696719696</v>
      </c>
      <c r="H16" s="149">
        <f>IF(A16="","",IF(A16=Inputs!$C$60,Inputs!$C$59*(Inputs!$B$20+U16),MIN(Inputs!$B$20+U16,D16+L15+F16+M15+E16+W15+U16)))</f>
        <v>174048.99418446081</v>
      </c>
      <c r="I16" s="149">
        <f t="shared" si="1"/>
        <v>0</v>
      </c>
      <c r="J16" s="149">
        <f t="shared" si="2"/>
        <v>65571.219180048793</v>
      </c>
      <c r="K16" s="149">
        <f t="shared" si="9"/>
        <v>45443.602696719703</v>
      </c>
      <c r="L16" s="149">
        <f t="shared" si="3"/>
        <v>0</v>
      </c>
      <c r="M16" s="149">
        <f t="shared" si="4"/>
        <v>0</v>
      </c>
      <c r="N16" s="149">
        <f t="shared" si="5"/>
        <v>0</v>
      </c>
      <c r="O16" s="149">
        <f t="shared" si="6"/>
        <v>5354344.0072689699</v>
      </c>
      <c r="P16" s="149">
        <f t="shared" si="7"/>
        <v>5354344.0072689699</v>
      </c>
      <c r="Q16" s="163" t="str">
        <f t="shared" si="8"/>
        <v>Vigente al día</v>
      </c>
      <c r="R16" s="149">
        <f>IF($A16="","",IF($A16&lt;=Inputs!$B$15,Inputs!$B$28,0))</f>
        <v>48643.172307692315</v>
      </c>
      <c r="S16" s="149">
        <f>IF($A16="","",IF($A16&lt;=Inputs!$B$15,Inputs!$B$29,0))</f>
        <v>10984.615384615387</v>
      </c>
      <c r="T16" s="149">
        <f>IF($A16="","",IF($A16&lt;=Inputs!$B$15,Inputs!$B$30,0))</f>
        <v>3406.3846153846157</v>
      </c>
      <c r="U16" s="149">
        <f t="shared" si="10"/>
        <v>63034.172307692315</v>
      </c>
      <c r="V16" s="149">
        <f t="shared" si="11"/>
        <v>63034.172307692315</v>
      </c>
      <c r="W16" s="149">
        <f t="shared" si="12"/>
        <v>0</v>
      </c>
      <c r="X16" s="149">
        <f>IF($B16="","",IF(OR($B17="",ROUNDUP(($A16+1)/Inputs!$B$14,0)&gt;$B16),SUMIF($B$4:$B16,$B16,R$4:R16),0))</f>
        <v>243215.86153846158</v>
      </c>
      <c r="Y16" s="149">
        <f>IF($B16="","",IF(OR($B17="",ROUNDUP(($A16+1)/Inputs!$B$14,0)&gt;$B16),SUMIF($B$4:$B16,$B16,S$4:S16),0))</f>
        <v>54923.076923076937</v>
      </c>
      <c r="Z16" s="149">
        <f>IF($B16="","",IF(OR($B17="",ROUNDUP(($A16+1)/Inputs!$B$14,0)&gt;$B16),SUMIF($B$4:$B16,$B16,T$4:T16),0))</f>
        <v>17031.923076923078</v>
      </c>
      <c r="AA16" s="18"/>
      <c r="AB16" s="111" t="s">
        <v>104</v>
      </c>
      <c r="AC16" s="208"/>
      <c r="AD16" s="208">
        <f>INDEX(K4:K103,Inputs!$C$60)</f>
        <v>0</v>
      </c>
      <c r="AE16" s="172" t="s">
        <v>170</v>
      </c>
      <c r="AF16" s="18"/>
      <c r="AG16" s="18"/>
      <c r="AH16" s="18"/>
    </row>
    <row r="17" spans="1:34" ht="18" customHeight="1">
      <c r="A17" s="157">
        <f>IF(A16="","",IF(AND(A16&gt;=Inputs!$B$15,P16+L16+M16+W16&lt;=0.005),"",IF(A16&gt;=Inputs!$C$61,"",A16+1)))</f>
        <v>14</v>
      </c>
      <c r="B17" s="77">
        <f>IF(A17="","",ROUNDUP(A17/Inputs!$B$14,0))</f>
        <v>4</v>
      </c>
      <c r="C17" s="160" t="str">
        <f>IF(A17="","",IF(A17=Inputs!$C$60,"Pago inferior",IF(A17&gt;Inputs!$B$15,"Periodo adicional",IF(N16+L16+M16+W16&gt;0,"Pago normal - aplica vencidos","Pago normal"))))</f>
        <v>Pago normal</v>
      </c>
      <c r="D17" s="149">
        <f t="shared" si="0"/>
        <v>5354344.0072689699</v>
      </c>
      <c r="E17" s="149">
        <f>IF(A17="","",D17*Inputs!$B$17)</f>
        <v>65019.384062078927</v>
      </c>
      <c r="F17" s="149">
        <f>IF(A17="","",N16*Inputs!$B$17)</f>
        <v>0</v>
      </c>
      <c r="G17" s="149">
        <f>IF(A17="","",IF(A17&lt;=Inputs!$B$15,INDEX(Caso1_Normal!$H$4:$H$89,A17),0))</f>
        <v>45995.437814689561</v>
      </c>
      <c r="H17" s="149">
        <f>IF(A17="","",IF(A17=Inputs!$C$60,Inputs!$C$59*(Inputs!$B$20+U17),MIN(Inputs!$B$20+U17,D17+L16+F17+M16+E17+W16+U17)))</f>
        <v>174048.99418446081</v>
      </c>
      <c r="I17" s="149">
        <f t="shared" si="1"/>
        <v>0</v>
      </c>
      <c r="J17" s="149">
        <f t="shared" si="2"/>
        <v>65019.384062078927</v>
      </c>
      <c r="K17" s="149">
        <f t="shared" si="9"/>
        <v>45995.437814689569</v>
      </c>
      <c r="L17" s="149">
        <f t="shared" si="3"/>
        <v>0</v>
      </c>
      <c r="M17" s="149">
        <f t="shared" si="4"/>
        <v>0</v>
      </c>
      <c r="N17" s="149">
        <f t="shared" si="5"/>
        <v>0</v>
      </c>
      <c r="O17" s="149">
        <f t="shared" si="6"/>
        <v>5308348.5694542807</v>
      </c>
      <c r="P17" s="149">
        <f t="shared" si="7"/>
        <v>5308348.5694542807</v>
      </c>
      <c r="Q17" s="163" t="str">
        <f t="shared" si="8"/>
        <v>Vigente al día</v>
      </c>
      <c r="R17" s="149">
        <f>IF($A17="","",IF($A17&lt;=Inputs!$B$15,Inputs!$B$28,0))</f>
        <v>48643.172307692315</v>
      </c>
      <c r="S17" s="149">
        <f>IF($A17="","",IF($A17&lt;=Inputs!$B$15,Inputs!$B$29,0))</f>
        <v>10984.615384615387</v>
      </c>
      <c r="T17" s="149">
        <f>IF($A17="","",IF($A17&lt;=Inputs!$B$15,Inputs!$B$30,0))</f>
        <v>3406.3846153846157</v>
      </c>
      <c r="U17" s="149">
        <f t="shared" si="10"/>
        <v>63034.172307692315</v>
      </c>
      <c r="V17" s="149">
        <f t="shared" si="11"/>
        <v>63034.172307692315</v>
      </c>
      <c r="W17" s="149">
        <f t="shared" si="12"/>
        <v>0</v>
      </c>
      <c r="X17" s="149">
        <f>IF($B17="","",IF(OR($B18="",ROUNDUP(($A17+1)/Inputs!$B$14,0)&gt;$B17),SUMIF($B$4:$B17,$B17,R$4:R17),0))</f>
        <v>0</v>
      </c>
      <c r="Y17" s="149">
        <f>IF($B17="","",IF(OR($B18="",ROUNDUP(($A17+1)/Inputs!$B$14,0)&gt;$B17),SUMIF($B$4:$B17,$B17,S$4:S17),0))</f>
        <v>0</v>
      </c>
      <c r="Z17" s="149">
        <f>IF($B17="","",IF(OR($B18="",ROUNDUP(($A17+1)/Inputs!$B$14,0)&gt;$B17),SUMIF($B$4:$B17,$B17,T$4:T17),0))</f>
        <v>0</v>
      </c>
      <c r="AA17" s="18"/>
      <c r="AB17" s="111" t="s">
        <v>359</v>
      </c>
      <c r="AC17" s="208"/>
      <c r="AD17" s="208">
        <f>INDEX(V4:V103,Inputs!$C$60)</f>
        <v>23877.665567920376</v>
      </c>
      <c r="AE17" s="172" t="s">
        <v>360</v>
      </c>
      <c r="AF17" s="18"/>
      <c r="AG17" s="18"/>
      <c r="AH17" s="18"/>
    </row>
    <row r="18" spans="1:34" ht="18" customHeight="1">
      <c r="A18" s="157">
        <f>IF(A17="","",IF(AND(A17&gt;=Inputs!$B$15,P17+L17+M17+W17&lt;=0.005),"",IF(A17&gt;=Inputs!$C$61,"",A17+1)))</f>
        <v>15</v>
      </c>
      <c r="B18" s="77">
        <f>IF(A18="","",ROUNDUP(A18/Inputs!$B$14,0))</f>
        <v>4</v>
      </c>
      <c r="C18" s="160" t="str">
        <f>IF(A18="","",IF(A18=Inputs!$C$60,"Pago inferior",IF(A18&gt;Inputs!$B$15,"Periodo adicional",IF(N17+L17+M17+W17&gt;0,"Pago normal - aplica vencidos","Pago normal"))))</f>
        <v>Pago normal</v>
      </c>
      <c r="D18" s="149">
        <f t="shared" si="0"/>
        <v>5308348.5694542807</v>
      </c>
      <c r="E18" s="149">
        <f>IF(A18="","",D18*Inputs!$B$17)</f>
        <v>64460.847846939076</v>
      </c>
      <c r="F18" s="149">
        <f>IF(A18="","",N17*Inputs!$B$17)</f>
        <v>0</v>
      </c>
      <c r="G18" s="149">
        <f>IF(A18="","",IF(A18&lt;=Inputs!$B$15,INDEX(Caso1_Normal!$H$4:$H$89,A18),0))</f>
        <v>46553.974029829413</v>
      </c>
      <c r="H18" s="149">
        <f>IF(A18="","",IF(A18=Inputs!$C$60,Inputs!$C$59*(Inputs!$B$20+U18),MIN(Inputs!$B$20+U18,D18+L17+F18+M17+E18+W17+U18)))</f>
        <v>174048.99418446081</v>
      </c>
      <c r="I18" s="149">
        <f t="shared" si="1"/>
        <v>0</v>
      </c>
      <c r="J18" s="149">
        <f t="shared" si="2"/>
        <v>64460.847846939076</v>
      </c>
      <c r="K18" s="149">
        <f t="shared" si="9"/>
        <v>46553.974029829413</v>
      </c>
      <c r="L18" s="149">
        <f t="shared" si="3"/>
        <v>0</v>
      </c>
      <c r="M18" s="149">
        <f t="shared" si="4"/>
        <v>0</v>
      </c>
      <c r="N18" s="149">
        <f t="shared" si="5"/>
        <v>0</v>
      </c>
      <c r="O18" s="149">
        <f t="shared" si="6"/>
        <v>5261794.5954244509</v>
      </c>
      <c r="P18" s="149">
        <f t="shared" si="7"/>
        <v>5261794.5954244509</v>
      </c>
      <c r="Q18" s="163" t="str">
        <f t="shared" si="8"/>
        <v>Vigente al día</v>
      </c>
      <c r="R18" s="149">
        <f>IF($A18="","",IF($A18&lt;=Inputs!$B$15,Inputs!$B$28,0))</f>
        <v>48643.172307692315</v>
      </c>
      <c r="S18" s="149">
        <f>IF($A18="","",IF($A18&lt;=Inputs!$B$15,Inputs!$B$29,0))</f>
        <v>10984.615384615387</v>
      </c>
      <c r="T18" s="149">
        <f>IF($A18="","",IF($A18&lt;=Inputs!$B$15,Inputs!$B$30,0))</f>
        <v>3406.3846153846157</v>
      </c>
      <c r="U18" s="149">
        <f t="shared" si="10"/>
        <v>63034.172307692315</v>
      </c>
      <c r="V18" s="149">
        <f t="shared" si="11"/>
        <v>63034.172307692315</v>
      </c>
      <c r="W18" s="149">
        <f t="shared" si="12"/>
        <v>0</v>
      </c>
      <c r="X18" s="149">
        <f>IF($B18="","",IF(OR($B19="",ROUNDUP(($A18+1)/Inputs!$B$14,0)&gt;$B18),SUMIF($B$4:$B18,$B18,R$4:R18),0))</f>
        <v>0</v>
      </c>
      <c r="Y18" s="149">
        <f>IF($B18="","",IF(OR($B19="",ROUNDUP(($A18+1)/Inputs!$B$14,0)&gt;$B18),SUMIF($B$4:$B18,$B18,S$4:S18),0))</f>
        <v>0</v>
      </c>
      <c r="Z18" s="149">
        <f>IF($B18="","",IF(OR($B19="",ROUNDUP(($A18+1)/Inputs!$B$14,0)&gt;$B18),SUMIF($B$4:$B18,$B18,T$4:T18),0))</f>
        <v>0</v>
      </c>
      <c r="AA18" s="18"/>
      <c r="AB18" s="111" t="s">
        <v>171</v>
      </c>
      <c r="AC18" s="208">
        <f>INDEX(N4:N103,Inputs!$C$60)</f>
        <v>65272.889770904527</v>
      </c>
      <c r="AD18" s="208"/>
      <c r="AE18" s="172" t="s">
        <v>172</v>
      </c>
      <c r="AF18" s="18"/>
      <c r="AG18" s="18"/>
      <c r="AH18" s="18"/>
    </row>
    <row r="19" spans="1:34" ht="18" customHeight="1">
      <c r="A19" s="157">
        <f>IF(A18="","",IF(AND(A18&gt;=Inputs!$B$15,P18+L18+M18+W18&lt;=0.005),"",IF(A18&gt;=Inputs!$C$61,"",A18+1)))</f>
        <v>16</v>
      </c>
      <c r="B19" s="77">
        <f>IF(A19="","",ROUNDUP(A19/Inputs!$B$14,0))</f>
        <v>4</v>
      </c>
      <c r="C19" s="160" t="str">
        <f>IF(A19="","",IF(A19=Inputs!$C$60,"Pago inferior",IF(A19&gt;Inputs!$B$15,"Periodo adicional",IF(N18+L18+M18+W18&gt;0,"Pago normal - aplica vencidos","Pago normal"))))</f>
        <v>Pago normal</v>
      </c>
      <c r="D19" s="149">
        <f t="shared" si="0"/>
        <v>5261794.5954244509</v>
      </c>
      <c r="E19" s="149">
        <f>IF(A19="","",D19*Inputs!$B$17)</f>
        <v>63895.529161222905</v>
      </c>
      <c r="F19" s="149">
        <f>IF(A19="","",N18*Inputs!$B$17)</f>
        <v>0</v>
      </c>
      <c r="G19" s="149">
        <f>IF(A19="","",IF(A19&lt;=Inputs!$B$15,INDEX(Caso1_Normal!$H$4:$H$89,A19),0))</f>
        <v>47119.292715545584</v>
      </c>
      <c r="H19" s="149">
        <f>IF(A19="","",IF(A19=Inputs!$C$60,Inputs!$C$59*(Inputs!$B$20+U19),MIN(Inputs!$B$20+U19,D19+L18+F19+M18+E19+W18+U19)))</f>
        <v>174048.99418446081</v>
      </c>
      <c r="I19" s="149">
        <f t="shared" si="1"/>
        <v>0</v>
      </c>
      <c r="J19" s="149">
        <f t="shared" si="2"/>
        <v>63895.529161222905</v>
      </c>
      <c r="K19" s="149">
        <f t="shared" si="9"/>
        <v>47119.292715545591</v>
      </c>
      <c r="L19" s="149">
        <f t="shared" si="3"/>
        <v>0</v>
      </c>
      <c r="M19" s="149">
        <f t="shared" si="4"/>
        <v>0</v>
      </c>
      <c r="N19" s="149">
        <f t="shared" si="5"/>
        <v>0</v>
      </c>
      <c r="O19" s="149">
        <f t="shared" si="6"/>
        <v>5214675.3027089052</v>
      </c>
      <c r="P19" s="149">
        <f t="shared" si="7"/>
        <v>5214675.3027089052</v>
      </c>
      <c r="Q19" s="163" t="str">
        <f t="shared" si="8"/>
        <v>Vigente al día</v>
      </c>
      <c r="R19" s="149">
        <f>IF($A19="","",IF($A19&lt;=Inputs!$B$15,Inputs!$B$28,0))</f>
        <v>48643.172307692315</v>
      </c>
      <c r="S19" s="149">
        <f>IF($A19="","",IF($A19&lt;=Inputs!$B$15,Inputs!$B$29,0))</f>
        <v>10984.615384615387</v>
      </c>
      <c r="T19" s="149">
        <f>IF($A19="","",IF($A19&lt;=Inputs!$B$15,Inputs!$B$30,0))</f>
        <v>3406.3846153846157</v>
      </c>
      <c r="U19" s="149">
        <f t="shared" si="10"/>
        <v>63034.172307692315</v>
      </c>
      <c r="V19" s="149">
        <f t="shared" si="11"/>
        <v>63034.172307692315</v>
      </c>
      <c r="W19" s="149">
        <f t="shared" si="12"/>
        <v>0</v>
      </c>
      <c r="X19" s="149">
        <f>IF($B19="","",IF(OR($B20="",ROUNDUP(($A19+1)/Inputs!$B$14,0)&gt;$B19),SUMIF($B$4:$B19,$B19,R$4:R19),0))</f>
        <v>0</v>
      </c>
      <c r="Y19" s="149">
        <f>IF($B19="","",IF(OR($B20="",ROUNDUP(($A19+1)/Inputs!$B$14,0)&gt;$B19),SUMIF($B$4:$B19,$B19,S$4:S19),0))</f>
        <v>0</v>
      </c>
      <c r="Z19" s="149">
        <f>IF($B19="","",IF(OR($B20="",ROUNDUP(($A19+1)/Inputs!$B$14,0)&gt;$B19),SUMIF($B$4:$B19,$B19,T$4:T19),0))</f>
        <v>0</v>
      </c>
      <c r="AA19" s="18"/>
      <c r="AB19" s="173" t="s">
        <v>173</v>
      </c>
      <c r="AC19" s="209"/>
      <c r="AD19" s="209">
        <f>INDEX(N4:N103,Inputs!$C$60)</f>
        <v>65272.889770904527</v>
      </c>
      <c r="AE19" s="175" t="s">
        <v>174</v>
      </c>
      <c r="AF19" s="18"/>
      <c r="AG19" s="18"/>
      <c r="AH19" s="18"/>
    </row>
    <row r="20" spans="1:34" ht="18" customHeight="1">
      <c r="A20" s="157">
        <f>IF(A19="","",IF(AND(A19&gt;=Inputs!$B$15,P19+L19+M19+W19&lt;=0.005),"",IF(A19&gt;=Inputs!$C$61,"",A19+1)))</f>
        <v>17</v>
      </c>
      <c r="B20" s="77">
        <f>IF(A20="","",ROUNDUP(A20/Inputs!$B$14,0))</f>
        <v>4</v>
      </c>
      <c r="C20" s="160" t="str">
        <f>IF(A20="","",IF(A20=Inputs!$C$60,"Pago inferior",IF(A20&gt;Inputs!$B$15,"Periodo adicional",IF(N19+L19+M19+W19&gt;0,"Pago normal - aplica vencidos","Pago normal"))))</f>
        <v>Pago normal</v>
      </c>
      <c r="D20" s="149">
        <f t="shared" si="0"/>
        <v>5214675.3027089052</v>
      </c>
      <c r="E20" s="149">
        <f>IF(A20="","",D20*Inputs!$B$17)</f>
        <v>63323.345643382738</v>
      </c>
      <c r="F20" s="149">
        <f>IF(A20="","",N19*Inputs!$B$17)</f>
        <v>0</v>
      </c>
      <c r="G20" s="149">
        <f>IF(A20="","",IF(A20&lt;=Inputs!$B$15,INDEX(Caso1_Normal!$H$4:$H$89,A20),0))</f>
        <v>47691.476233385751</v>
      </c>
      <c r="H20" s="149">
        <f>IF(A20="","",IF(A20=Inputs!$C$60,Inputs!$C$59*(Inputs!$B$20+U20),MIN(Inputs!$B$20+U20,D20+L19+F20+M19+E20+W19+U20)))</f>
        <v>174048.99418446081</v>
      </c>
      <c r="I20" s="149">
        <f t="shared" si="1"/>
        <v>0</v>
      </c>
      <c r="J20" s="149">
        <f t="shared" si="2"/>
        <v>63323.345643382738</v>
      </c>
      <c r="K20" s="149">
        <f t="shared" si="9"/>
        <v>47691.476233385758</v>
      </c>
      <c r="L20" s="149">
        <f t="shared" si="3"/>
        <v>0</v>
      </c>
      <c r="M20" s="149">
        <f t="shared" si="4"/>
        <v>0</v>
      </c>
      <c r="N20" s="149">
        <f t="shared" si="5"/>
        <v>0</v>
      </c>
      <c r="O20" s="149">
        <f t="shared" si="6"/>
        <v>5166983.8264755197</v>
      </c>
      <c r="P20" s="149">
        <f t="shared" si="7"/>
        <v>5166983.8264755197</v>
      </c>
      <c r="Q20" s="163" t="str">
        <f t="shared" si="8"/>
        <v>Vigente al día</v>
      </c>
      <c r="R20" s="149">
        <f>IF($A20="","",IF($A20&lt;=Inputs!$B$15,Inputs!$B$28,0))</f>
        <v>48643.172307692315</v>
      </c>
      <c r="S20" s="149">
        <f>IF($A20="","",IF($A20&lt;=Inputs!$B$15,Inputs!$B$29,0))</f>
        <v>10984.615384615387</v>
      </c>
      <c r="T20" s="149">
        <f>IF($A20="","",IF($A20&lt;=Inputs!$B$15,Inputs!$B$30,0))</f>
        <v>3406.3846153846157</v>
      </c>
      <c r="U20" s="149">
        <f t="shared" si="10"/>
        <v>63034.172307692315</v>
      </c>
      <c r="V20" s="149">
        <f t="shared" si="11"/>
        <v>63034.172307692315</v>
      </c>
      <c r="W20" s="149">
        <f t="shared" si="12"/>
        <v>0</v>
      </c>
      <c r="X20" s="149">
        <f>IF($B20="","",IF(OR($B21="",ROUNDUP(($A20+1)/Inputs!$B$14,0)&gt;$B20),SUMIF($B$4:$B20,$B20,R$4:R20),0))</f>
        <v>194572.68923076926</v>
      </c>
      <c r="Y20" s="149">
        <f>IF($B20="","",IF(OR($B21="",ROUNDUP(($A20+1)/Inputs!$B$14,0)&gt;$B20),SUMIF($B$4:$B20,$B20,S$4:S20),0))</f>
        <v>43938.461538461546</v>
      </c>
      <c r="Z20" s="149">
        <f>IF($B20="","",IF(OR($B21="",ROUNDUP(($A20+1)/Inputs!$B$14,0)&gt;$B20),SUMIF($B$4:$B20,$B20,T$4:T20),0))</f>
        <v>13625.538461538463</v>
      </c>
      <c r="AA20" s="18"/>
      <c r="AB20" s="176" t="s">
        <v>108</v>
      </c>
      <c r="AC20" s="210">
        <f>SUM(AC14:AC19)</f>
        <v>134892.48744468886</v>
      </c>
      <c r="AD20" s="210">
        <f>SUM(AD14:AD19)</f>
        <v>134892.48744468886</v>
      </c>
      <c r="AE20" s="178">
        <f>AC20-AD20</f>
        <v>0</v>
      </c>
      <c r="AF20" s="18"/>
      <c r="AG20" s="18"/>
      <c r="AH20" s="18"/>
    </row>
    <row r="21" spans="1:34" ht="18" customHeight="1">
      <c r="A21" s="157">
        <f>IF(A20="","",IF(AND(A20&gt;=Inputs!$B$15,P20+L20+M20+W20&lt;=0.005),"",IF(A20&gt;=Inputs!$C$61,"",A20+1)))</f>
        <v>18</v>
      </c>
      <c r="B21" s="77">
        <f>IF(A21="","",ROUNDUP(A21/Inputs!$B$14,0))</f>
        <v>5</v>
      </c>
      <c r="C21" s="160" t="str">
        <f>IF(A21="","",IF(A21=Inputs!$C$60,"Pago inferior",IF(A21&gt;Inputs!$B$15,"Periodo adicional",IF(N20+L20+M20+W20&gt;0,"Pago normal - aplica vencidos","Pago normal"))))</f>
        <v>Pago normal</v>
      </c>
      <c r="D21" s="149">
        <f t="shared" si="0"/>
        <v>5166983.8264755197</v>
      </c>
      <c r="E21" s="149">
        <f>IF(A21="","",D21*Inputs!$B$17)</f>
        <v>62744.213931730235</v>
      </c>
      <c r="F21" s="149">
        <f>IF(A21="","",N20*Inputs!$B$17)</f>
        <v>0</v>
      </c>
      <c r="G21" s="149">
        <f>IF(A21="","",IF(A21&lt;=Inputs!$B$15,INDEX(Caso1_Normal!$H$4:$H$89,A21),0))</f>
        <v>48270.607945038253</v>
      </c>
      <c r="H21" s="149">
        <f>IF(A21="","",IF(A21=Inputs!$C$60,Inputs!$C$59*(Inputs!$B$20+U21),MIN(Inputs!$B$20+U21,D21+L20+F21+M20+E21+W20+U21)))</f>
        <v>174048.99418446081</v>
      </c>
      <c r="I21" s="149">
        <f t="shared" si="1"/>
        <v>0</v>
      </c>
      <c r="J21" s="149">
        <f t="shared" si="2"/>
        <v>62744.213931730235</v>
      </c>
      <c r="K21" s="149">
        <f t="shared" si="9"/>
        <v>48270.60794503826</v>
      </c>
      <c r="L21" s="149">
        <f t="shared" si="3"/>
        <v>0</v>
      </c>
      <c r="M21" s="149">
        <f t="shared" si="4"/>
        <v>0</v>
      </c>
      <c r="N21" s="149">
        <f t="shared" si="5"/>
        <v>0</v>
      </c>
      <c r="O21" s="149">
        <f t="shared" si="6"/>
        <v>5118713.2185304817</v>
      </c>
      <c r="P21" s="149">
        <f t="shared" si="7"/>
        <v>5118713.2185304817</v>
      </c>
      <c r="Q21" s="163" t="str">
        <f t="shared" si="8"/>
        <v>Vigente al día</v>
      </c>
      <c r="R21" s="149">
        <f>IF($A21="","",IF($A21&lt;=Inputs!$B$15,Inputs!$B$28,0))</f>
        <v>48643.172307692315</v>
      </c>
      <c r="S21" s="149">
        <f>IF($A21="","",IF($A21&lt;=Inputs!$B$15,Inputs!$B$29,0))</f>
        <v>10984.615384615387</v>
      </c>
      <c r="T21" s="149">
        <f>IF($A21="","",IF($A21&lt;=Inputs!$B$15,Inputs!$B$30,0))</f>
        <v>3406.3846153846157</v>
      </c>
      <c r="U21" s="149">
        <f t="shared" si="10"/>
        <v>63034.172307692315</v>
      </c>
      <c r="V21" s="149">
        <f t="shared" si="11"/>
        <v>63034.172307692315</v>
      </c>
      <c r="W21" s="149">
        <f t="shared" si="12"/>
        <v>0</v>
      </c>
      <c r="X21" s="149">
        <f>IF($B21="","",IF(OR($B22="",ROUNDUP(($A21+1)/Inputs!$B$14,0)&gt;$B21),SUMIF($B$4:$B21,$B21,R$4:R21),0))</f>
        <v>0</v>
      </c>
      <c r="Y21" s="149">
        <f>IF($B21="","",IF(OR($B22="",ROUNDUP(($A21+1)/Inputs!$B$14,0)&gt;$B21),SUMIF($B$4:$B21,$B21,S$4:S21),0))</f>
        <v>0</v>
      </c>
      <c r="Z21" s="149">
        <f>IF($B21="","",IF(OR($B22="",ROUNDUP(($A21+1)/Inputs!$B$14,0)&gt;$B21),SUMIF($B$4:$B21,$B21,T$4:T21),0))</f>
        <v>0</v>
      </c>
      <c r="AA21" s="18"/>
      <c r="AB21" s="18"/>
      <c r="AC21" s="18"/>
      <c r="AD21" s="18"/>
      <c r="AE21" s="18"/>
      <c r="AF21" s="18"/>
      <c r="AG21" s="18"/>
      <c r="AH21" s="18"/>
    </row>
    <row r="22" spans="1:34" ht="18" customHeight="1">
      <c r="A22" s="157">
        <f>IF(A21="","",IF(AND(A21&gt;=Inputs!$B$15,P21+L21+M21+W21&lt;=0.005),"",IF(A21&gt;=Inputs!$C$61,"",A21+1)))</f>
        <v>19</v>
      </c>
      <c r="B22" s="77">
        <f>IF(A22="","",ROUNDUP(A22/Inputs!$B$14,0))</f>
        <v>5</v>
      </c>
      <c r="C22" s="160" t="str">
        <f>IF(A22="","",IF(A22=Inputs!$C$60,"Pago inferior",IF(A22&gt;Inputs!$B$15,"Periodo adicional",IF(N21+L21+M21+W21&gt;0,"Pago normal - aplica vencidos","Pago normal"))))</f>
        <v>Pago normal</v>
      </c>
      <c r="D22" s="149">
        <f t="shared" si="0"/>
        <v>5118713.2185304817</v>
      </c>
      <c r="E22" s="149">
        <f>IF(A22="","",D22*Inputs!$B$17)</f>
        <v>62158.049652291396</v>
      </c>
      <c r="F22" s="149">
        <f>IF(A22="","",N21*Inputs!$B$17)</f>
        <v>0</v>
      </c>
      <c r="G22" s="149">
        <f>IF(A22="","",IF(A22&lt;=Inputs!$B$15,INDEX(Caso1_Normal!$H$4:$H$89,A22),0))</f>
        <v>48856.772224477092</v>
      </c>
      <c r="H22" s="149">
        <f>IF(A22="","",IF(A22=Inputs!$C$60,Inputs!$C$59*(Inputs!$B$20+U22),MIN(Inputs!$B$20+U22,D22+L21+F22+M21+E22+W21+U22)))</f>
        <v>174048.99418446081</v>
      </c>
      <c r="I22" s="149">
        <f t="shared" si="1"/>
        <v>0</v>
      </c>
      <c r="J22" s="149">
        <f t="shared" si="2"/>
        <v>62158.049652291396</v>
      </c>
      <c r="K22" s="149">
        <f t="shared" si="9"/>
        <v>48856.772224477092</v>
      </c>
      <c r="L22" s="149">
        <f t="shared" si="3"/>
        <v>0</v>
      </c>
      <c r="M22" s="149">
        <f t="shared" si="4"/>
        <v>0</v>
      </c>
      <c r="N22" s="149">
        <f t="shared" si="5"/>
        <v>0</v>
      </c>
      <c r="O22" s="149">
        <f t="shared" si="6"/>
        <v>5069856.4463060042</v>
      </c>
      <c r="P22" s="149">
        <f t="shared" si="7"/>
        <v>5069856.4463060042</v>
      </c>
      <c r="Q22" s="163" t="str">
        <f t="shared" si="8"/>
        <v>Vigente al día</v>
      </c>
      <c r="R22" s="149">
        <f>IF($A22="","",IF($A22&lt;=Inputs!$B$15,Inputs!$B$28,0))</f>
        <v>48643.172307692315</v>
      </c>
      <c r="S22" s="149">
        <f>IF($A22="","",IF($A22&lt;=Inputs!$B$15,Inputs!$B$29,0))</f>
        <v>10984.615384615387</v>
      </c>
      <c r="T22" s="149">
        <f>IF($A22="","",IF($A22&lt;=Inputs!$B$15,Inputs!$B$30,0))</f>
        <v>3406.3846153846157</v>
      </c>
      <c r="U22" s="149">
        <f t="shared" si="10"/>
        <v>63034.172307692315</v>
      </c>
      <c r="V22" s="149">
        <f t="shared" si="11"/>
        <v>63034.172307692315</v>
      </c>
      <c r="W22" s="149">
        <f t="shared" si="12"/>
        <v>0</v>
      </c>
      <c r="X22" s="149">
        <f>IF($B22="","",IF(OR($B23="",ROUNDUP(($A22+1)/Inputs!$B$14,0)&gt;$B22),SUMIF($B$4:$B22,$B22,R$4:R22),0))</f>
        <v>0</v>
      </c>
      <c r="Y22" s="149">
        <f>IF($B22="","",IF(OR($B23="",ROUNDUP(($A22+1)/Inputs!$B$14,0)&gt;$B22),SUMIF($B$4:$B22,$B22,S$4:S22),0))</f>
        <v>0</v>
      </c>
      <c r="Z22" s="149">
        <f>IF($B22="","",IF(OR($B23="",ROUNDUP(($A22+1)/Inputs!$B$14,0)&gt;$B22),SUMIF($B$4:$B22,$B22,T$4:T22),0))</f>
        <v>0</v>
      </c>
      <c r="AA22" s="18"/>
      <c r="AB22" s="18"/>
      <c r="AC22" s="18"/>
      <c r="AD22" s="18"/>
      <c r="AE22" s="18"/>
      <c r="AF22" s="18"/>
      <c r="AG22" s="18"/>
      <c r="AH22" s="18"/>
    </row>
    <row r="23" spans="1:34" ht="18" customHeight="1">
      <c r="A23" s="157">
        <f>IF(A22="","",IF(AND(A22&gt;=Inputs!$B$15,P22+L22+M22+W22&lt;=0.005),"",IF(A22&gt;=Inputs!$C$61,"",A22+1)))</f>
        <v>20</v>
      </c>
      <c r="B23" s="77">
        <f>IF(A23="","",ROUNDUP(A23/Inputs!$B$14,0))</f>
        <v>5</v>
      </c>
      <c r="C23" s="160" t="str">
        <f>IF(A23="","",IF(A23=Inputs!$C$60,"Pago inferior",IF(A23&gt;Inputs!$B$15,"Periodo adicional",IF(N22+L22+M22+W22&gt;0,"Pago normal - aplica vencidos","Pago normal"))))</f>
        <v>Pago normal</v>
      </c>
      <c r="D23" s="149">
        <f t="shared" si="0"/>
        <v>5069856.4463060042</v>
      </c>
      <c r="E23" s="149">
        <f>IF(A23="","",D23*Inputs!$B$17)</f>
        <v>61564.767406514089</v>
      </c>
      <c r="F23" s="149">
        <f>IF(A23="","",N22*Inputs!$B$17)</f>
        <v>0</v>
      </c>
      <c r="G23" s="149">
        <f>IF(A23="","",IF(A23&lt;=Inputs!$B$15,INDEX(Caso1_Normal!$H$4:$H$89,A23),0))</f>
        <v>49450.054470254399</v>
      </c>
      <c r="H23" s="149">
        <f>IF(A23="","",IF(A23=Inputs!$C$60,Inputs!$C$59*(Inputs!$B$20+U23),MIN(Inputs!$B$20+U23,D23+L22+F23+M22+E23+W22+U23)))</f>
        <v>174048.99418446081</v>
      </c>
      <c r="I23" s="149">
        <f t="shared" si="1"/>
        <v>0</v>
      </c>
      <c r="J23" s="149">
        <f t="shared" si="2"/>
        <v>61564.767406514089</v>
      </c>
      <c r="K23" s="149">
        <f t="shared" si="9"/>
        <v>49450.054470254407</v>
      </c>
      <c r="L23" s="149">
        <f t="shared" si="3"/>
        <v>0</v>
      </c>
      <c r="M23" s="149">
        <f t="shared" si="4"/>
        <v>0</v>
      </c>
      <c r="N23" s="149">
        <f t="shared" si="5"/>
        <v>0</v>
      </c>
      <c r="O23" s="149">
        <f t="shared" si="6"/>
        <v>5020406.3918357501</v>
      </c>
      <c r="P23" s="149">
        <f t="shared" si="7"/>
        <v>5020406.3918357501</v>
      </c>
      <c r="Q23" s="163" t="str">
        <f t="shared" si="8"/>
        <v>Vigente al día</v>
      </c>
      <c r="R23" s="149">
        <f>IF($A23="","",IF($A23&lt;=Inputs!$B$15,Inputs!$B$28,0))</f>
        <v>48643.172307692315</v>
      </c>
      <c r="S23" s="149">
        <f>IF($A23="","",IF($A23&lt;=Inputs!$B$15,Inputs!$B$29,0))</f>
        <v>10984.615384615387</v>
      </c>
      <c r="T23" s="149">
        <f>IF($A23="","",IF($A23&lt;=Inputs!$B$15,Inputs!$B$30,0))</f>
        <v>3406.3846153846157</v>
      </c>
      <c r="U23" s="149">
        <f t="shared" si="10"/>
        <v>63034.172307692315</v>
      </c>
      <c r="V23" s="149">
        <f t="shared" si="11"/>
        <v>63034.172307692315</v>
      </c>
      <c r="W23" s="149">
        <f t="shared" si="12"/>
        <v>0</v>
      </c>
      <c r="X23" s="149">
        <f>IF($B23="","",IF(OR($B24="",ROUNDUP(($A23+1)/Inputs!$B$14,0)&gt;$B23),SUMIF($B$4:$B23,$B23,R$4:R23),0))</f>
        <v>0</v>
      </c>
      <c r="Y23" s="149">
        <f>IF($B23="","",IF(OR($B24="",ROUNDUP(($A23+1)/Inputs!$B$14,0)&gt;$B23),SUMIF($B$4:$B23,$B23,S$4:S23),0))</f>
        <v>0</v>
      </c>
      <c r="Z23" s="149">
        <f>IF($B23="","",IF(OR($B24="",ROUNDUP(($A23+1)/Inputs!$B$14,0)&gt;$B23),SUMIF($B$4:$B23,$B23,T$4:T23),0))</f>
        <v>0</v>
      </c>
      <c r="AA23" s="18"/>
      <c r="AB23" s="179" t="s">
        <v>337</v>
      </c>
      <c r="AC23" s="18"/>
      <c r="AD23" s="18"/>
      <c r="AE23" s="18"/>
      <c r="AF23" s="18"/>
      <c r="AG23" s="18"/>
      <c r="AH23" s="18"/>
    </row>
    <row r="24" spans="1:34" ht="18" customHeight="1">
      <c r="A24" s="157">
        <f>IF(A23="","",IF(AND(A23&gt;=Inputs!$B$15,P23+L23+M23+W23&lt;=0.005),"",IF(A23&gt;=Inputs!$C$61,"",A23+1)))</f>
        <v>21</v>
      </c>
      <c r="B24" s="77">
        <f>IF(A24="","",ROUNDUP(A24/Inputs!$B$14,0))</f>
        <v>5</v>
      </c>
      <c r="C24" s="160" t="str">
        <f>IF(A24="","",IF(A24=Inputs!$C$60,"Pago inferior",IF(A24&gt;Inputs!$B$15,"Periodo adicional",IF(N23+L23+M23+W23&gt;0,"Pago normal - aplica vencidos","Pago normal"))))</f>
        <v>Pago normal</v>
      </c>
      <c r="D24" s="149">
        <f t="shared" si="0"/>
        <v>5020406.3918357501</v>
      </c>
      <c r="E24" s="149">
        <f>IF(A24="","",D24*Inputs!$B$17)</f>
        <v>60964.280758826295</v>
      </c>
      <c r="F24" s="149">
        <f>IF(A24="","",N23*Inputs!$B$17)</f>
        <v>0</v>
      </c>
      <c r="G24" s="149">
        <f>IF(A24="","",IF(A24&lt;=Inputs!$B$15,INDEX(Caso1_Normal!$H$4:$H$89,A24),0))</f>
        <v>50050.541117942194</v>
      </c>
      <c r="H24" s="149">
        <f>IF(A24="","",IF(A24=Inputs!$C$60,Inputs!$C$59*(Inputs!$B$20+U24),MIN(Inputs!$B$20+U24,D24+L23+F24+M23+E24+W23+U24)))</f>
        <v>174048.99418446081</v>
      </c>
      <c r="I24" s="149">
        <f t="shared" si="1"/>
        <v>0</v>
      </c>
      <c r="J24" s="149">
        <f t="shared" si="2"/>
        <v>60964.280758826295</v>
      </c>
      <c r="K24" s="149">
        <f t="shared" si="9"/>
        <v>50050.541117942201</v>
      </c>
      <c r="L24" s="149">
        <f t="shared" si="3"/>
        <v>0</v>
      </c>
      <c r="M24" s="149">
        <f t="shared" si="4"/>
        <v>0</v>
      </c>
      <c r="N24" s="149">
        <f t="shared" si="5"/>
        <v>0</v>
      </c>
      <c r="O24" s="149">
        <f t="shared" si="6"/>
        <v>4970355.8507178081</v>
      </c>
      <c r="P24" s="149">
        <f t="shared" si="7"/>
        <v>4970355.8507178081</v>
      </c>
      <c r="Q24" s="163" t="str">
        <f t="shared" si="8"/>
        <v>Vigente al día</v>
      </c>
      <c r="R24" s="149">
        <f>IF($A24="","",IF($A24&lt;=Inputs!$B$15,Inputs!$B$28,0))</f>
        <v>48643.172307692315</v>
      </c>
      <c r="S24" s="149">
        <f>IF($A24="","",IF($A24&lt;=Inputs!$B$15,Inputs!$B$29,0))</f>
        <v>10984.615384615387</v>
      </c>
      <c r="T24" s="149">
        <f>IF($A24="","",IF($A24&lt;=Inputs!$B$15,Inputs!$B$30,0))</f>
        <v>3406.3846153846157</v>
      </c>
      <c r="U24" s="149">
        <f t="shared" si="10"/>
        <v>63034.172307692315</v>
      </c>
      <c r="V24" s="149">
        <f t="shared" si="11"/>
        <v>63034.172307692315</v>
      </c>
      <c r="W24" s="149">
        <f t="shared" si="12"/>
        <v>0</v>
      </c>
      <c r="X24" s="149">
        <f>IF($B24="","",IF(OR($B25="",ROUNDUP(($A24+1)/Inputs!$B$14,0)&gt;$B24),SUMIF($B$4:$B24,$B24,R$4:R24),0))</f>
        <v>194572.68923076926</v>
      </c>
      <c r="Y24" s="149">
        <f>IF($B24="","",IF(OR($B25="",ROUNDUP(($A24+1)/Inputs!$B$14,0)&gt;$B24),SUMIF($B$4:$B24,$B24,S$4:S24),0))</f>
        <v>43938.461538461546</v>
      </c>
      <c r="Z24" s="149">
        <f>IF($B24="","",IF(OR($B25="",ROUNDUP(($A24+1)/Inputs!$B$14,0)&gt;$B24),SUMIF($B$4:$B24,$B24,T$4:T24),0))</f>
        <v>13625.538461538463</v>
      </c>
      <c r="AA24" s="18"/>
      <c r="AB24" s="179" t="s">
        <v>338</v>
      </c>
      <c r="AC24" s="18"/>
      <c r="AD24" s="18"/>
      <c r="AE24" s="18"/>
      <c r="AF24" s="18"/>
      <c r="AG24" s="18"/>
      <c r="AH24" s="18"/>
    </row>
    <row r="25" spans="1:34" ht="18" customHeight="1">
      <c r="A25" s="157">
        <f>IF(A24="","",IF(AND(A24&gt;=Inputs!$B$15,P24+L24+M24+W24&lt;=0.005),"",IF(A24&gt;=Inputs!$C$61,"",A24+1)))</f>
        <v>22</v>
      </c>
      <c r="B25" s="77">
        <f>IF(A25="","",ROUNDUP(A25/Inputs!$B$14,0))</f>
        <v>6</v>
      </c>
      <c r="C25" s="160" t="str">
        <f>IF(A25="","",IF(A25=Inputs!$C$60,"Pago inferior",IF(A25&gt;Inputs!$B$15,"Periodo adicional",IF(N24+L24+M24+W24&gt;0,"Pago normal - aplica vencidos","Pago normal"))))</f>
        <v>Pago normal</v>
      </c>
      <c r="D25" s="149">
        <f t="shared" si="0"/>
        <v>4970355.8507178081</v>
      </c>
      <c r="E25" s="149">
        <f>IF(A25="","",D25*Inputs!$B$17)</f>
        <v>60356.502224043244</v>
      </c>
      <c r="F25" s="149">
        <f>IF(A25="","",N24*Inputs!$B$17)</f>
        <v>0</v>
      </c>
      <c r="G25" s="149">
        <f>IF(A25="","",IF(A25&lt;=Inputs!$B$15,INDEX(Caso1_Normal!$H$4:$H$89,A25),0))</f>
        <v>50658.319652725244</v>
      </c>
      <c r="H25" s="149">
        <f>IF(A25="","",IF(A25=Inputs!$C$60,Inputs!$C$59*(Inputs!$B$20+U25),MIN(Inputs!$B$20+U25,D25+L24+F25+M24+E25+W24+U25)))</f>
        <v>174048.99418446081</v>
      </c>
      <c r="I25" s="149">
        <f t="shared" si="1"/>
        <v>0</v>
      </c>
      <c r="J25" s="149">
        <f t="shared" si="2"/>
        <v>60356.502224043244</v>
      </c>
      <c r="K25" s="149">
        <f t="shared" si="9"/>
        <v>50658.319652725251</v>
      </c>
      <c r="L25" s="149">
        <f t="shared" si="3"/>
        <v>0</v>
      </c>
      <c r="M25" s="149">
        <f t="shared" si="4"/>
        <v>0</v>
      </c>
      <c r="N25" s="149">
        <f t="shared" si="5"/>
        <v>0</v>
      </c>
      <c r="O25" s="149">
        <f t="shared" si="6"/>
        <v>4919697.5310650831</v>
      </c>
      <c r="P25" s="149">
        <f t="shared" si="7"/>
        <v>4919697.5310650831</v>
      </c>
      <c r="Q25" s="163" t="str">
        <f t="shared" si="8"/>
        <v>Vigente al día</v>
      </c>
      <c r="R25" s="149">
        <f>IF($A25="","",IF($A25&lt;=Inputs!$B$15,Inputs!$B$28,0))</f>
        <v>48643.172307692315</v>
      </c>
      <c r="S25" s="149">
        <f>IF($A25="","",IF($A25&lt;=Inputs!$B$15,Inputs!$B$29,0))</f>
        <v>10984.615384615387</v>
      </c>
      <c r="T25" s="149">
        <f>IF($A25="","",IF($A25&lt;=Inputs!$B$15,Inputs!$B$30,0))</f>
        <v>3406.3846153846157</v>
      </c>
      <c r="U25" s="149">
        <f t="shared" si="10"/>
        <v>63034.172307692315</v>
      </c>
      <c r="V25" s="149">
        <f t="shared" si="11"/>
        <v>63034.172307692315</v>
      </c>
      <c r="W25" s="149">
        <f t="shared" si="12"/>
        <v>0</v>
      </c>
      <c r="X25" s="149">
        <f>IF($B25="","",IF(OR($B26="",ROUNDUP(($A25+1)/Inputs!$B$14,0)&gt;$B25),SUMIF($B$4:$B25,$B25,R$4:R25),0))</f>
        <v>0</v>
      </c>
      <c r="Y25" s="149">
        <f>IF($B25="","",IF(OR($B26="",ROUNDUP(($A25+1)/Inputs!$B$14,0)&gt;$B25),SUMIF($B$4:$B25,$B25,S$4:S25),0))</f>
        <v>0</v>
      </c>
      <c r="Z25" s="149">
        <f>IF($B25="","",IF(OR($B26="",ROUNDUP(($A25+1)/Inputs!$B$14,0)&gt;$B25),SUMIF($B$4:$B25,$B25,T$4:T25),0))</f>
        <v>0</v>
      </c>
      <c r="AA25" s="18"/>
      <c r="AB25" s="18"/>
      <c r="AC25" s="18"/>
      <c r="AD25" s="18"/>
      <c r="AE25" s="18"/>
      <c r="AF25" s="18"/>
      <c r="AG25" s="18"/>
      <c r="AH25" s="18"/>
    </row>
    <row r="26" spans="1:34" ht="18" customHeight="1">
      <c r="A26" s="157">
        <f>IF(A25="","",IF(AND(A25&gt;=Inputs!$B$15,P25+L25+M25+W25&lt;=0.005),"",IF(A25&gt;=Inputs!$C$61,"",A25+1)))</f>
        <v>23</v>
      </c>
      <c r="B26" s="77">
        <f>IF(A26="","",ROUNDUP(A26/Inputs!$B$14,0))</f>
        <v>6</v>
      </c>
      <c r="C26" s="160" t="str">
        <f>IF(A26="","",IF(A26=Inputs!$C$60,"Pago inferior",IF(A26&gt;Inputs!$B$15,"Periodo adicional",IF(N25+L25+M25+W25&gt;0,"Pago normal - aplica vencidos","Pago normal"))))</f>
        <v>Pago normal</v>
      </c>
      <c r="D26" s="149">
        <f t="shared" si="0"/>
        <v>4919697.5310650831</v>
      </c>
      <c r="E26" s="149">
        <f>IF(A26="","",D26*Inputs!$B$17)</f>
        <v>59741.343254621679</v>
      </c>
      <c r="F26" s="149">
        <f>IF(A26="","",N25*Inputs!$B$17)</f>
        <v>0</v>
      </c>
      <c r="G26" s="149">
        <f>IF(A26="","",IF(A26&lt;=Inputs!$B$15,INDEX(Caso1_Normal!$H$4:$H$89,A26),0))</f>
        <v>51273.478622146809</v>
      </c>
      <c r="H26" s="149">
        <f>IF(A26="","",IF(A26=Inputs!$C$60,Inputs!$C$59*(Inputs!$B$20+U26),MIN(Inputs!$B$20+U26,D26+L25+F26+M25+E26+W25+U26)))</f>
        <v>174048.99418446081</v>
      </c>
      <c r="I26" s="149">
        <f t="shared" si="1"/>
        <v>0</v>
      </c>
      <c r="J26" s="149">
        <f t="shared" si="2"/>
        <v>59741.343254621679</v>
      </c>
      <c r="K26" s="149">
        <f t="shared" si="9"/>
        <v>51273.478622146817</v>
      </c>
      <c r="L26" s="149">
        <f t="shared" si="3"/>
        <v>0</v>
      </c>
      <c r="M26" s="149">
        <f t="shared" si="4"/>
        <v>0</v>
      </c>
      <c r="N26" s="149">
        <f t="shared" si="5"/>
        <v>0</v>
      </c>
      <c r="O26" s="149">
        <f t="shared" si="6"/>
        <v>4868424.0524429362</v>
      </c>
      <c r="P26" s="149">
        <f t="shared" si="7"/>
        <v>4868424.0524429362</v>
      </c>
      <c r="Q26" s="163" t="str">
        <f t="shared" si="8"/>
        <v>Vigente al día</v>
      </c>
      <c r="R26" s="149">
        <f>IF($A26="","",IF($A26&lt;=Inputs!$B$15,Inputs!$B$28,0))</f>
        <v>48643.172307692315</v>
      </c>
      <c r="S26" s="149">
        <f>IF($A26="","",IF($A26&lt;=Inputs!$B$15,Inputs!$B$29,0))</f>
        <v>10984.615384615387</v>
      </c>
      <c r="T26" s="149">
        <f>IF($A26="","",IF($A26&lt;=Inputs!$B$15,Inputs!$B$30,0))</f>
        <v>3406.3846153846157</v>
      </c>
      <c r="U26" s="149">
        <f t="shared" si="10"/>
        <v>63034.172307692315</v>
      </c>
      <c r="V26" s="149">
        <f t="shared" si="11"/>
        <v>63034.172307692315</v>
      </c>
      <c r="W26" s="149">
        <f t="shared" si="12"/>
        <v>0</v>
      </c>
      <c r="X26" s="149">
        <f>IF($B26="","",IF(OR($B27="",ROUNDUP(($A26+1)/Inputs!$B$14,0)&gt;$B26),SUMIF($B$4:$B26,$B26,R$4:R26),0))</f>
        <v>0</v>
      </c>
      <c r="Y26" s="149">
        <f>IF($B26="","",IF(OR($B27="",ROUNDUP(($A26+1)/Inputs!$B$14,0)&gt;$B26),SUMIF($B$4:$B26,$B26,S$4:S26),0))</f>
        <v>0</v>
      </c>
      <c r="Z26" s="149">
        <f>IF($B26="","",IF(OR($B27="",ROUNDUP(($A26+1)/Inputs!$B$14,0)&gt;$B26),SUMIF($B$4:$B26,$B26,T$4:T26),0))</f>
        <v>0</v>
      </c>
      <c r="AA26" s="18"/>
      <c r="AB26" s="18"/>
      <c r="AC26" s="18"/>
      <c r="AD26" s="18"/>
      <c r="AE26" s="18"/>
      <c r="AF26" s="18"/>
      <c r="AG26" s="18"/>
      <c r="AH26" s="18"/>
    </row>
    <row r="27" spans="1:34" ht="18" customHeight="1">
      <c r="A27" s="157">
        <f>IF(A26="","",IF(AND(A26&gt;=Inputs!$B$15,P26+L26+M26+W26&lt;=0.005),"",IF(A26&gt;=Inputs!$C$61,"",A26+1)))</f>
        <v>24</v>
      </c>
      <c r="B27" s="77">
        <f>IF(A27="","",ROUNDUP(A27/Inputs!$B$14,0))</f>
        <v>6</v>
      </c>
      <c r="C27" s="160" t="str">
        <f>IF(A27="","",IF(A27=Inputs!$C$60,"Pago inferior",IF(A27&gt;Inputs!$B$15,"Periodo adicional",IF(N26+L26+M26+W26&gt;0,"Pago normal - aplica vencidos","Pago normal"))))</f>
        <v>Pago normal</v>
      </c>
      <c r="D27" s="149">
        <f t="shared" si="0"/>
        <v>4868424.0524429362</v>
      </c>
      <c r="E27" s="149">
        <f>IF(A27="","",D27*Inputs!$B$17)</f>
        <v>59118.714227759323</v>
      </c>
      <c r="F27" s="149">
        <f>IF(A27="","",N26*Inputs!$B$17)</f>
        <v>0</v>
      </c>
      <c r="G27" s="149">
        <f>IF(A27="","",IF(A27&lt;=Inputs!$B$15,INDEX(Caso1_Normal!$H$4:$H$89,A27),0))</f>
        <v>51896.107649009165</v>
      </c>
      <c r="H27" s="149">
        <f>IF(A27="","",IF(A27=Inputs!$C$60,Inputs!$C$59*(Inputs!$B$20+U27),MIN(Inputs!$B$20+U27,D27+L26+F27+M26+E27+W26+U27)))</f>
        <v>174048.99418446081</v>
      </c>
      <c r="I27" s="149">
        <f t="shared" si="1"/>
        <v>0</v>
      </c>
      <c r="J27" s="149">
        <f t="shared" si="2"/>
        <v>59118.714227759323</v>
      </c>
      <c r="K27" s="149">
        <f t="shared" si="9"/>
        <v>51896.107649009173</v>
      </c>
      <c r="L27" s="149">
        <f t="shared" si="3"/>
        <v>0</v>
      </c>
      <c r="M27" s="149">
        <f t="shared" si="4"/>
        <v>0</v>
      </c>
      <c r="N27" s="149">
        <f t="shared" si="5"/>
        <v>0</v>
      </c>
      <c r="O27" s="149">
        <f t="shared" si="6"/>
        <v>4816527.9447939275</v>
      </c>
      <c r="P27" s="149">
        <f t="shared" si="7"/>
        <v>4816527.9447939275</v>
      </c>
      <c r="Q27" s="163" t="str">
        <f t="shared" si="8"/>
        <v>Vigente al día</v>
      </c>
      <c r="R27" s="149">
        <f>IF($A27="","",IF($A27&lt;=Inputs!$B$15,Inputs!$B$28,0))</f>
        <v>48643.172307692315</v>
      </c>
      <c r="S27" s="149">
        <f>IF($A27="","",IF($A27&lt;=Inputs!$B$15,Inputs!$B$29,0))</f>
        <v>10984.615384615387</v>
      </c>
      <c r="T27" s="149">
        <f>IF($A27="","",IF($A27&lt;=Inputs!$B$15,Inputs!$B$30,0))</f>
        <v>3406.3846153846157</v>
      </c>
      <c r="U27" s="149">
        <f t="shared" si="10"/>
        <v>63034.172307692315</v>
      </c>
      <c r="V27" s="149">
        <f t="shared" si="11"/>
        <v>63034.172307692315</v>
      </c>
      <c r="W27" s="149">
        <f t="shared" si="12"/>
        <v>0</v>
      </c>
      <c r="X27" s="149">
        <f>IF($B27="","",IF(OR($B28="",ROUNDUP(($A27+1)/Inputs!$B$14,0)&gt;$B27),SUMIF($B$4:$B27,$B27,R$4:R27),0))</f>
        <v>0</v>
      </c>
      <c r="Y27" s="149">
        <f>IF($B27="","",IF(OR($B28="",ROUNDUP(($A27+1)/Inputs!$B$14,0)&gt;$B27),SUMIF($B$4:$B27,$B27,S$4:S27),0))</f>
        <v>0</v>
      </c>
      <c r="Z27" s="149">
        <f>IF($B27="","",IF(OR($B28="",ROUNDUP(($A27+1)/Inputs!$B$14,0)&gt;$B27),SUMIF($B$4:$B27,$B27,T$4:T27),0))</f>
        <v>0</v>
      </c>
      <c r="AA27" s="18"/>
      <c r="AB27" s="18"/>
      <c r="AC27" s="18"/>
      <c r="AD27" s="18"/>
      <c r="AE27" s="18"/>
      <c r="AF27" s="18"/>
      <c r="AG27" s="18"/>
      <c r="AH27" s="18"/>
    </row>
    <row r="28" spans="1:34" ht="18" customHeight="1">
      <c r="A28" s="157">
        <f>IF(A27="","",IF(AND(A27&gt;=Inputs!$B$15,P27+L27+M27+W27&lt;=0.005),"",IF(A27&gt;=Inputs!$C$61,"",A27+1)))</f>
        <v>25</v>
      </c>
      <c r="B28" s="77">
        <f>IF(A28="","",ROUNDUP(A28/Inputs!$B$14,0))</f>
        <v>6</v>
      </c>
      <c r="C28" s="160" t="str">
        <f>IF(A28="","",IF(A28=Inputs!$C$60,"Pago inferior",IF(A28&gt;Inputs!$B$15,"Periodo adicional",IF(N27+L27+M27+W27&gt;0,"Pago normal - aplica vencidos","Pago normal"))))</f>
        <v>Pago normal</v>
      </c>
      <c r="D28" s="149">
        <f t="shared" si="0"/>
        <v>4816527.9447939275</v>
      </c>
      <c r="E28" s="149">
        <f>IF(A28="","",D28*Inputs!$B$17)</f>
        <v>58488.52443233769</v>
      </c>
      <c r="F28" s="149">
        <f>IF(A28="","",N27*Inputs!$B$17)</f>
        <v>0</v>
      </c>
      <c r="G28" s="149">
        <f>IF(A28="","",IF(A28&lt;=Inputs!$B$15,INDEX(Caso1_Normal!$H$4:$H$89,A28),0))</f>
        <v>52526.297444430798</v>
      </c>
      <c r="H28" s="149">
        <f>IF(A28="","",IF(A28=Inputs!$C$60,Inputs!$C$59*(Inputs!$B$20+U28),MIN(Inputs!$B$20+U28,D28+L27+F28+M27+E28+W27+U28)))</f>
        <v>174048.99418446081</v>
      </c>
      <c r="I28" s="149">
        <f t="shared" si="1"/>
        <v>0</v>
      </c>
      <c r="J28" s="149">
        <f t="shared" si="2"/>
        <v>58488.52443233769</v>
      </c>
      <c r="K28" s="149">
        <f t="shared" si="9"/>
        <v>52526.297444430798</v>
      </c>
      <c r="L28" s="149">
        <f t="shared" si="3"/>
        <v>0</v>
      </c>
      <c r="M28" s="149">
        <f t="shared" si="4"/>
        <v>0</v>
      </c>
      <c r="N28" s="149">
        <f t="shared" si="5"/>
        <v>0</v>
      </c>
      <c r="O28" s="149">
        <f t="shared" si="6"/>
        <v>4764001.6473494964</v>
      </c>
      <c r="P28" s="149">
        <f t="shared" si="7"/>
        <v>4764001.6473494964</v>
      </c>
      <c r="Q28" s="163" t="str">
        <f t="shared" si="8"/>
        <v>Vigente al día</v>
      </c>
      <c r="R28" s="149">
        <f>IF($A28="","",IF($A28&lt;=Inputs!$B$15,Inputs!$B$28,0))</f>
        <v>48643.172307692315</v>
      </c>
      <c r="S28" s="149">
        <f>IF($A28="","",IF($A28&lt;=Inputs!$B$15,Inputs!$B$29,0))</f>
        <v>10984.615384615387</v>
      </c>
      <c r="T28" s="149">
        <f>IF($A28="","",IF($A28&lt;=Inputs!$B$15,Inputs!$B$30,0))</f>
        <v>3406.3846153846157</v>
      </c>
      <c r="U28" s="149">
        <f t="shared" si="10"/>
        <v>63034.172307692315</v>
      </c>
      <c r="V28" s="149">
        <f t="shared" si="11"/>
        <v>63034.172307692315</v>
      </c>
      <c r="W28" s="149">
        <f t="shared" si="12"/>
        <v>0</v>
      </c>
      <c r="X28" s="149">
        <f>IF($B28="","",IF(OR($B29="",ROUNDUP(($A28+1)/Inputs!$B$14,0)&gt;$B28),SUMIF($B$4:$B28,$B28,R$4:R28),0))</f>
        <v>0</v>
      </c>
      <c r="Y28" s="149">
        <f>IF($B28="","",IF(OR($B29="",ROUNDUP(($A28+1)/Inputs!$B$14,0)&gt;$B28),SUMIF($B$4:$B28,$B28,S$4:S28),0))</f>
        <v>0</v>
      </c>
      <c r="Z28" s="149">
        <f>IF($B28="","",IF(OR($B29="",ROUNDUP(($A28+1)/Inputs!$B$14,0)&gt;$B28),SUMIF($B$4:$B28,$B28,T$4:T28),0))</f>
        <v>0</v>
      </c>
      <c r="AA28" s="18"/>
      <c r="AB28" s="18"/>
      <c r="AC28" s="18"/>
      <c r="AD28" s="18"/>
      <c r="AE28" s="18"/>
      <c r="AF28" s="18"/>
      <c r="AG28" s="18"/>
      <c r="AH28" s="18"/>
    </row>
    <row r="29" spans="1:34" ht="18" customHeight="1">
      <c r="A29" s="157">
        <f>IF(A28="","",IF(AND(A28&gt;=Inputs!$B$15,P28+L28+M28+W28&lt;=0.005),"",IF(A28&gt;=Inputs!$C$61,"",A28+1)))</f>
        <v>26</v>
      </c>
      <c r="B29" s="77">
        <f>IF(A29="","",ROUNDUP(A29/Inputs!$B$14,0))</f>
        <v>6</v>
      </c>
      <c r="C29" s="160" t="str">
        <f>IF(A29="","",IF(A29=Inputs!$C$60,"Pago inferior",IF(A29&gt;Inputs!$B$15,"Periodo adicional",IF(N28+L28+M28+W28&gt;0,"Pago normal - aplica vencidos","Pago normal"))))</f>
        <v>Pago normal</v>
      </c>
      <c r="D29" s="149">
        <f t="shared" si="0"/>
        <v>4764001.6473494964</v>
      </c>
      <c r="E29" s="149">
        <f>IF(A29="","",D29*Inputs!$B$17)</f>
        <v>57850.682055706304</v>
      </c>
      <c r="F29" s="149">
        <f>IF(A29="","",N28*Inputs!$B$17)</f>
        <v>0</v>
      </c>
      <c r="G29" s="149">
        <f>IF(A29="","",IF(A29&lt;=Inputs!$B$15,INDEX(Caso1_Normal!$H$4:$H$89,A29),0))</f>
        <v>53164.139821062185</v>
      </c>
      <c r="H29" s="149">
        <f>IF(A29="","",IF(A29=Inputs!$C$60,Inputs!$C$59*(Inputs!$B$20+U29),MIN(Inputs!$B$20+U29,D29+L28+F29+M28+E29+W28+U29)))</f>
        <v>174048.99418446081</v>
      </c>
      <c r="I29" s="149">
        <f t="shared" si="1"/>
        <v>0</v>
      </c>
      <c r="J29" s="149">
        <f t="shared" si="2"/>
        <v>57850.682055706304</v>
      </c>
      <c r="K29" s="149">
        <f t="shared" si="9"/>
        <v>53164.139821062192</v>
      </c>
      <c r="L29" s="149">
        <f t="shared" si="3"/>
        <v>0</v>
      </c>
      <c r="M29" s="149">
        <f t="shared" si="4"/>
        <v>0</v>
      </c>
      <c r="N29" s="149">
        <f t="shared" si="5"/>
        <v>0</v>
      </c>
      <c r="O29" s="149">
        <f t="shared" si="6"/>
        <v>4710837.5075284345</v>
      </c>
      <c r="P29" s="149">
        <f t="shared" si="7"/>
        <v>4710837.5075284345</v>
      </c>
      <c r="Q29" s="163" t="str">
        <f t="shared" si="8"/>
        <v>Vigente al día</v>
      </c>
      <c r="R29" s="149">
        <f>IF($A29="","",IF($A29&lt;=Inputs!$B$15,Inputs!$B$28,0))</f>
        <v>48643.172307692315</v>
      </c>
      <c r="S29" s="149">
        <f>IF($A29="","",IF($A29&lt;=Inputs!$B$15,Inputs!$B$29,0))</f>
        <v>10984.615384615387</v>
      </c>
      <c r="T29" s="149">
        <f>IF($A29="","",IF($A29&lt;=Inputs!$B$15,Inputs!$B$30,0))</f>
        <v>3406.3846153846157</v>
      </c>
      <c r="U29" s="149">
        <f t="shared" si="10"/>
        <v>63034.172307692315</v>
      </c>
      <c r="V29" s="149">
        <f t="shared" si="11"/>
        <v>63034.172307692315</v>
      </c>
      <c r="W29" s="149">
        <f t="shared" si="12"/>
        <v>0</v>
      </c>
      <c r="X29" s="149">
        <f>IF($B29="","",IF(OR($B30="",ROUNDUP(($A29+1)/Inputs!$B$14,0)&gt;$B29),SUMIF($B$4:$B29,$B29,R$4:R29),0))</f>
        <v>243215.86153846158</v>
      </c>
      <c r="Y29" s="149">
        <f>IF($B29="","",IF(OR($B30="",ROUNDUP(($A29+1)/Inputs!$B$14,0)&gt;$B29),SUMIF($B$4:$B29,$B29,S$4:S29),0))</f>
        <v>54923.076923076937</v>
      </c>
      <c r="Z29" s="149">
        <f>IF($B29="","",IF(OR($B30="",ROUNDUP(($A29+1)/Inputs!$B$14,0)&gt;$B29),SUMIF($B$4:$B29,$B29,T$4:T29),0))</f>
        <v>17031.923076923078</v>
      </c>
      <c r="AA29" s="18"/>
      <c r="AB29" s="18"/>
      <c r="AC29" s="18"/>
      <c r="AD29" s="18"/>
      <c r="AE29" s="18"/>
      <c r="AF29" s="18"/>
      <c r="AG29" s="18"/>
      <c r="AH29" s="18"/>
    </row>
    <row r="30" spans="1:34" ht="18" customHeight="1">
      <c r="A30" s="157">
        <f>IF(A29="","",IF(AND(A29&gt;=Inputs!$B$15,P29+L29+M29+W29&lt;=0.005),"",IF(A29&gt;=Inputs!$C$61,"",A29+1)))</f>
        <v>27</v>
      </c>
      <c r="B30" s="77">
        <f>IF(A30="","",ROUNDUP(A30/Inputs!$B$14,0))</f>
        <v>7</v>
      </c>
      <c r="C30" s="160" t="str">
        <f>IF(A30="","",IF(A30=Inputs!$C$60,"Pago inferior",IF(A30&gt;Inputs!$B$15,"Periodo adicional",IF(N29+L29+M29+W29&gt;0,"Pago normal - aplica vencidos","Pago normal"))))</f>
        <v>Pago normal</v>
      </c>
      <c r="D30" s="149">
        <f t="shared" si="0"/>
        <v>4710837.5075284345</v>
      </c>
      <c r="E30" s="149">
        <f>IF(A30="","",D30*Inputs!$B$17)</f>
        <v>57205.09417030654</v>
      </c>
      <c r="F30" s="149">
        <f>IF(A30="","",N29*Inputs!$B$17)</f>
        <v>0</v>
      </c>
      <c r="G30" s="149">
        <f>IF(A30="","",IF(A30&lt;=Inputs!$B$15,INDEX(Caso1_Normal!$H$4:$H$89,A30),0))</f>
        <v>53809.727706461948</v>
      </c>
      <c r="H30" s="149">
        <f>IF(A30="","",IF(A30=Inputs!$C$60,Inputs!$C$59*(Inputs!$B$20+U30),MIN(Inputs!$B$20+U30,D30+L29+F30+M29+E30+W29+U30)))</f>
        <v>174048.99418446081</v>
      </c>
      <c r="I30" s="149">
        <f t="shared" si="1"/>
        <v>0</v>
      </c>
      <c r="J30" s="149">
        <f t="shared" si="2"/>
        <v>57205.09417030654</v>
      </c>
      <c r="K30" s="149">
        <f t="shared" si="9"/>
        <v>53809.727706461948</v>
      </c>
      <c r="L30" s="149">
        <f t="shared" si="3"/>
        <v>0</v>
      </c>
      <c r="M30" s="149">
        <f t="shared" si="4"/>
        <v>0</v>
      </c>
      <c r="N30" s="149">
        <f t="shared" si="5"/>
        <v>0</v>
      </c>
      <c r="O30" s="149">
        <f t="shared" si="6"/>
        <v>4657027.7798219724</v>
      </c>
      <c r="P30" s="149">
        <f t="shared" si="7"/>
        <v>4657027.7798219724</v>
      </c>
      <c r="Q30" s="163" t="str">
        <f t="shared" si="8"/>
        <v>Vigente al día</v>
      </c>
      <c r="R30" s="149">
        <f>IF($A30="","",IF($A30&lt;=Inputs!$B$15,Inputs!$B$28,0))</f>
        <v>48643.172307692315</v>
      </c>
      <c r="S30" s="149">
        <f>IF($A30="","",IF($A30&lt;=Inputs!$B$15,Inputs!$B$29,0))</f>
        <v>10984.615384615387</v>
      </c>
      <c r="T30" s="149">
        <f>IF($A30="","",IF($A30&lt;=Inputs!$B$15,Inputs!$B$30,0))</f>
        <v>3406.3846153846157</v>
      </c>
      <c r="U30" s="149">
        <f t="shared" si="10"/>
        <v>63034.172307692315</v>
      </c>
      <c r="V30" s="149">
        <f t="shared" si="11"/>
        <v>63034.172307692315</v>
      </c>
      <c r="W30" s="149">
        <f t="shared" si="12"/>
        <v>0</v>
      </c>
      <c r="X30" s="149">
        <f>IF($B30="","",IF(OR($B31="",ROUNDUP(($A30+1)/Inputs!$B$14,0)&gt;$B30),SUMIF($B$4:$B30,$B30,R$4:R30),0))</f>
        <v>0</v>
      </c>
      <c r="Y30" s="149">
        <f>IF($B30="","",IF(OR($B31="",ROUNDUP(($A30+1)/Inputs!$B$14,0)&gt;$B30),SUMIF($B$4:$B30,$B30,S$4:S30),0))</f>
        <v>0</v>
      </c>
      <c r="Z30" s="149">
        <f>IF($B30="","",IF(OR($B31="",ROUNDUP(($A30+1)/Inputs!$B$14,0)&gt;$B30),SUMIF($B$4:$B30,$B30,T$4:T30),0))</f>
        <v>0</v>
      </c>
      <c r="AA30" s="18"/>
      <c r="AB30" s="18"/>
      <c r="AC30" s="18"/>
      <c r="AD30" s="18"/>
      <c r="AE30" s="18"/>
      <c r="AF30" s="18"/>
      <c r="AG30" s="18"/>
      <c r="AH30" s="18"/>
    </row>
    <row r="31" spans="1:34" ht="18" customHeight="1">
      <c r="A31" s="157">
        <f>IF(A30="","",IF(AND(A30&gt;=Inputs!$B$15,P30+L30+M30+W30&lt;=0.005),"",IF(A30&gt;=Inputs!$C$61,"",A30+1)))</f>
        <v>28</v>
      </c>
      <c r="B31" s="77">
        <f>IF(A31="","",ROUNDUP(A31/Inputs!$B$14,0))</f>
        <v>7</v>
      </c>
      <c r="C31" s="160" t="str">
        <f>IF(A31="","",IF(A31=Inputs!$C$60,"Pago inferior",IF(A31&gt;Inputs!$B$15,"Periodo adicional",IF(N30+L30+M30+W30&gt;0,"Pago normal - aplica vencidos","Pago normal"))))</f>
        <v>Pago normal</v>
      </c>
      <c r="D31" s="149">
        <f t="shared" si="0"/>
        <v>4657027.7798219724</v>
      </c>
      <c r="E31" s="149">
        <f>IF(A31="","",D31*Inputs!$B$17)</f>
        <v>56551.666720132882</v>
      </c>
      <c r="F31" s="149">
        <f>IF(A31="","",N30*Inputs!$B$17)</f>
        <v>0</v>
      </c>
      <c r="G31" s="149">
        <f>IF(A31="","",IF(A31&lt;=Inputs!$B$15,INDEX(Caso1_Normal!$H$4:$H$89,A31),0))</f>
        <v>54463.155156635607</v>
      </c>
      <c r="H31" s="149">
        <f>IF(A31="","",IF(A31=Inputs!$C$60,Inputs!$C$59*(Inputs!$B$20+U31),MIN(Inputs!$B$20+U31,D31+L30+F31+M30+E31+W30+U31)))</f>
        <v>174048.99418446081</v>
      </c>
      <c r="I31" s="149">
        <f t="shared" si="1"/>
        <v>0</v>
      </c>
      <c r="J31" s="149">
        <f t="shared" si="2"/>
        <v>56551.666720132882</v>
      </c>
      <c r="K31" s="149">
        <f t="shared" si="9"/>
        <v>54463.155156635614</v>
      </c>
      <c r="L31" s="149">
        <f t="shared" si="3"/>
        <v>0</v>
      </c>
      <c r="M31" s="149">
        <f t="shared" si="4"/>
        <v>0</v>
      </c>
      <c r="N31" s="149">
        <f t="shared" si="5"/>
        <v>0</v>
      </c>
      <c r="O31" s="149">
        <f t="shared" si="6"/>
        <v>4602564.6246653367</v>
      </c>
      <c r="P31" s="149">
        <f t="shared" si="7"/>
        <v>4602564.6246653367</v>
      </c>
      <c r="Q31" s="163" t="str">
        <f t="shared" si="8"/>
        <v>Vigente al día</v>
      </c>
      <c r="R31" s="149">
        <f>IF($A31="","",IF($A31&lt;=Inputs!$B$15,Inputs!$B$28,0))</f>
        <v>48643.172307692315</v>
      </c>
      <c r="S31" s="149">
        <f>IF($A31="","",IF($A31&lt;=Inputs!$B$15,Inputs!$B$29,0))</f>
        <v>10984.615384615387</v>
      </c>
      <c r="T31" s="149">
        <f>IF($A31="","",IF($A31&lt;=Inputs!$B$15,Inputs!$B$30,0))</f>
        <v>3406.3846153846157</v>
      </c>
      <c r="U31" s="149">
        <f t="shared" si="10"/>
        <v>63034.172307692315</v>
      </c>
      <c r="V31" s="149">
        <f t="shared" si="11"/>
        <v>63034.172307692315</v>
      </c>
      <c r="W31" s="149">
        <f t="shared" si="12"/>
        <v>0</v>
      </c>
      <c r="X31" s="149">
        <f>IF($B31="","",IF(OR($B32="",ROUNDUP(($A31+1)/Inputs!$B$14,0)&gt;$B31),SUMIF($B$4:$B31,$B31,R$4:R31),0))</f>
        <v>0</v>
      </c>
      <c r="Y31" s="149">
        <f>IF($B31="","",IF(OR($B32="",ROUNDUP(($A31+1)/Inputs!$B$14,0)&gt;$B31),SUMIF($B$4:$B31,$B31,S$4:S31),0))</f>
        <v>0</v>
      </c>
      <c r="Z31" s="149">
        <f>IF($B31="","",IF(OR($B32="",ROUNDUP(($A31+1)/Inputs!$B$14,0)&gt;$B31),SUMIF($B$4:$B31,$B31,T$4:T31),0))</f>
        <v>0</v>
      </c>
      <c r="AA31" s="18"/>
      <c r="AB31" s="18"/>
      <c r="AC31" s="18"/>
      <c r="AD31" s="18"/>
      <c r="AE31" s="18"/>
      <c r="AF31" s="18"/>
      <c r="AG31" s="18"/>
      <c r="AH31" s="18"/>
    </row>
    <row r="32" spans="1:34" ht="18" customHeight="1">
      <c r="A32" s="157">
        <f>IF(A31="","",IF(AND(A31&gt;=Inputs!$B$15,P31+L31+M31+W31&lt;=0.005),"",IF(A31&gt;=Inputs!$C$61,"",A31+1)))</f>
        <v>29</v>
      </c>
      <c r="B32" s="77">
        <f>IF(A32="","",ROUNDUP(A32/Inputs!$B$14,0))</f>
        <v>7</v>
      </c>
      <c r="C32" s="160" t="str">
        <f>IF(A32="","",IF(A32=Inputs!$C$60,"Pago inferior",IF(A32&gt;Inputs!$B$15,"Periodo adicional",IF(N31+L31+M31+W31&gt;0,"Pago normal - aplica vencidos","Pago normal"))))</f>
        <v>Pago normal</v>
      </c>
      <c r="D32" s="149">
        <f t="shared" si="0"/>
        <v>4602564.6246653367</v>
      </c>
      <c r="E32" s="149">
        <f>IF(A32="","",D32*Inputs!$B$17)</f>
        <v>55890.304507029941</v>
      </c>
      <c r="F32" s="149">
        <f>IF(A32="","",N31*Inputs!$B$17)</f>
        <v>0</v>
      </c>
      <c r="G32" s="149">
        <f>IF(A32="","",IF(A32&lt;=Inputs!$B$15,INDEX(Caso1_Normal!$H$4:$H$89,A32),0))</f>
        <v>55124.517369738547</v>
      </c>
      <c r="H32" s="149">
        <f>IF(A32="","",IF(A32=Inputs!$C$60,Inputs!$C$59*(Inputs!$B$20+U32),MIN(Inputs!$B$20+U32,D32+L31+F32+M31+E32+W31+U32)))</f>
        <v>174048.99418446081</v>
      </c>
      <c r="I32" s="149">
        <f t="shared" si="1"/>
        <v>0</v>
      </c>
      <c r="J32" s="149">
        <f t="shared" si="2"/>
        <v>55890.304507029941</v>
      </c>
      <c r="K32" s="149">
        <f t="shared" si="9"/>
        <v>55124.517369738554</v>
      </c>
      <c r="L32" s="149">
        <f t="shared" si="3"/>
        <v>0</v>
      </c>
      <c r="M32" s="149">
        <f t="shared" si="4"/>
        <v>0</v>
      </c>
      <c r="N32" s="149">
        <f t="shared" si="5"/>
        <v>0</v>
      </c>
      <c r="O32" s="149">
        <f t="shared" si="6"/>
        <v>4547440.1072955979</v>
      </c>
      <c r="P32" s="149">
        <f t="shared" si="7"/>
        <v>4547440.1072955979</v>
      </c>
      <c r="Q32" s="163" t="str">
        <f t="shared" si="8"/>
        <v>Vigente al día</v>
      </c>
      <c r="R32" s="149">
        <f>IF($A32="","",IF($A32&lt;=Inputs!$B$15,Inputs!$B$28,0))</f>
        <v>48643.172307692315</v>
      </c>
      <c r="S32" s="149">
        <f>IF($A32="","",IF($A32&lt;=Inputs!$B$15,Inputs!$B$29,0))</f>
        <v>10984.615384615387</v>
      </c>
      <c r="T32" s="149">
        <f>IF($A32="","",IF($A32&lt;=Inputs!$B$15,Inputs!$B$30,0))</f>
        <v>3406.3846153846157</v>
      </c>
      <c r="U32" s="149">
        <f t="shared" si="10"/>
        <v>63034.172307692315</v>
      </c>
      <c r="V32" s="149">
        <f t="shared" si="11"/>
        <v>63034.172307692315</v>
      </c>
      <c r="W32" s="149">
        <f t="shared" si="12"/>
        <v>0</v>
      </c>
      <c r="X32" s="149">
        <f>IF($B32="","",IF(OR($B33="",ROUNDUP(($A32+1)/Inputs!$B$14,0)&gt;$B32),SUMIF($B$4:$B32,$B32,R$4:R32),0))</f>
        <v>0</v>
      </c>
      <c r="Y32" s="149">
        <f>IF($B32="","",IF(OR($B33="",ROUNDUP(($A32+1)/Inputs!$B$14,0)&gt;$B32),SUMIF($B$4:$B32,$B32,S$4:S32),0))</f>
        <v>0</v>
      </c>
      <c r="Z32" s="149">
        <f>IF($B32="","",IF(OR($B33="",ROUNDUP(($A32+1)/Inputs!$B$14,0)&gt;$B32),SUMIF($B$4:$B32,$B32,T$4:T32),0))</f>
        <v>0</v>
      </c>
      <c r="AA32" s="18"/>
      <c r="AB32" s="18"/>
      <c r="AC32" s="18"/>
      <c r="AD32" s="18"/>
      <c r="AE32" s="18"/>
      <c r="AF32" s="18"/>
      <c r="AG32" s="18"/>
      <c r="AH32" s="18"/>
    </row>
    <row r="33" spans="1:34" ht="18" customHeight="1">
      <c r="A33" s="157">
        <f>IF(A32="","",IF(AND(A32&gt;=Inputs!$B$15,P32+L32+M32+W32&lt;=0.005),"",IF(A32&gt;=Inputs!$C$61,"",A32+1)))</f>
        <v>30</v>
      </c>
      <c r="B33" s="77">
        <f>IF(A33="","",ROUNDUP(A33/Inputs!$B$14,0))</f>
        <v>7</v>
      </c>
      <c r="C33" s="160" t="str">
        <f>IF(A33="","",IF(A33=Inputs!$C$60,"Pago inferior",IF(A33&gt;Inputs!$B$15,"Periodo adicional",IF(N32+L32+M32+W32&gt;0,"Pago normal - aplica vencidos","Pago normal"))))</f>
        <v>Pago normal</v>
      </c>
      <c r="D33" s="149">
        <f t="shared" si="0"/>
        <v>4547440.1072955979</v>
      </c>
      <c r="E33" s="149">
        <f>IF(A33="","",D33*Inputs!$B$17)</f>
        <v>55220.91117682292</v>
      </c>
      <c r="F33" s="149">
        <f>IF(A33="","",N32*Inputs!$B$17)</f>
        <v>0</v>
      </c>
      <c r="G33" s="149">
        <f>IF(A33="","",IF(A33&lt;=Inputs!$B$15,INDEX(Caso1_Normal!$H$4:$H$89,A33),0))</f>
        <v>55793.910699945569</v>
      </c>
      <c r="H33" s="149">
        <f>IF(A33="","",IF(A33=Inputs!$C$60,Inputs!$C$59*(Inputs!$B$20+U33),MIN(Inputs!$B$20+U33,D33+L32+F33+M32+E33+W32+U33)))</f>
        <v>174048.99418446081</v>
      </c>
      <c r="I33" s="149">
        <f t="shared" si="1"/>
        <v>0</v>
      </c>
      <c r="J33" s="149">
        <f t="shared" si="2"/>
        <v>55220.91117682292</v>
      </c>
      <c r="K33" s="149">
        <f t="shared" si="9"/>
        <v>55793.910699945576</v>
      </c>
      <c r="L33" s="149">
        <f t="shared" si="3"/>
        <v>0</v>
      </c>
      <c r="M33" s="149">
        <f t="shared" si="4"/>
        <v>0</v>
      </c>
      <c r="N33" s="149">
        <f t="shared" si="5"/>
        <v>0</v>
      </c>
      <c r="O33" s="149">
        <f t="shared" si="6"/>
        <v>4491646.196595652</v>
      </c>
      <c r="P33" s="149">
        <f t="shared" si="7"/>
        <v>4491646.196595652</v>
      </c>
      <c r="Q33" s="163" t="str">
        <f t="shared" si="8"/>
        <v>Vigente al día</v>
      </c>
      <c r="R33" s="149">
        <f>IF($A33="","",IF($A33&lt;=Inputs!$B$15,Inputs!$B$28,0))</f>
        <v>48643.172307692315</v>
      </c>
      <c r="S33" s="149">
        <f>IF($A33="","",IF($A33&lt;=Inputs!$B$15,Inputs!$B$29,0))</f>
        <v>10984.615384615387</v>
      </c>
      <c r="T33" s="149">
        <f>IF($A33="","",IF($A33&lt;=Inputs!$B$15,Inputs!$B$30,0))</f>
        <v>3406.3846153846157</v>
      </c>
      <c r="U33" s="149">
        <f t="shared" si="10"/>
        <v>63034.172307692315</v>
      </c>
      <c r="V33" s="149">
        <f t="shared" si="11"/>
        <v>63034.172307692315</v>
      </c>
      <c r="W33" s="149">
        <f t="shared" si="12"/>
        <v>0</v>
      </c>
      <c r="X33" s="149">
        <f>IF($B33="","",IF(OR($B34="",ROUNDUP(($A33+1)/Inputs!$B$14,0)&gt;$B33),SUMIF($B$4:$B33,$B33,R$4:R33),0))</f>
        <v>194572.68923076926</v>
      </c>
      <c r="Y33" s="149">
        <f>IF($B33="","",IF(OR($B34="",ROUNDUP(($A33+1)/Inputs!$B$14,0)&gt;$B33),SUMIF($B$4:$B33,$B33,S$4:S33),0))</f>
        <v>43938.461538461546</v>
      </c>
      <c r="Z33" s="149">
        <f>IF($B33="","",IF(OR($B34="",ROUNDUP(($A33+1)/Inputs!$B$14,0)&gt;$B33),SUMIF($B$4:$B33,$B33,T$4:T33),0))</f>
        <v>13625.538461538463</v>
      </c>
      <c r="AA33" s="18"/>
      <c r="AB33" s="18"/>
      <c r="AC33" s="18"/>
      <c r="AD33" s="18"/>
      <c r="AE33" s="18"/>
      <c r="AF33" s="18"/>
      <c r="AG33" s="18"/>
      <c r="AH33" s="18"/>
    </row>
    <row r="34" spans="1:34" ht="18" customHeight="1">
      <c r="A34" s="157">
        <f>IF(A33="","",IF(AND(A33&gt;=Inputs!$B$15,P33+L33+M33+W33&lt;=0.005),"",IF(A33&gt;=Inputs!$C$61,"",A33+1)))</f>
        <v>31</v>
      </c>
      <c r="B34" s="77">
        <f>IF(A34="","",ROUNDUP(A34/Inputs!$B$14,0))</f>
        <v>8</v>
      </c>
      <c r="C34" s="160" t="str">
        <f>IF(A34="","",IF(A34=Inputs!$C$60,"Pago inferior",IF(A34&gt;Inputs!$B$15,"Periodo adicional",IF(N33+L33+M33+W33&gt;0,"Pago normal - aplica vencidos","Pago normal"))))</f>
        <v>Pago normal</v>
      </c>
      <c r="D34" s="149">
        <f t="shared" si="0"/>
        <v>4491646.196595652</v>
      </c>
      <c r="E34" s="149">
        <f>IF(A34="","",D34*Inputs!$B$17)</f>
        <v>54543.389205279767</v>
      </c>
      <c r="F34" s="149">
        <f>IF(A34="","",N33*Inputs!$B$17)</f>
        <v>0</v>
      </c>
      <c r="G34" s="149">
        <f>IF(A34="","",IF(A34&lt;=Inputs!$B$15,INDEX(Caso1_Normal!$H$4:$H$89,A34),0))</f>
        <v>56471.432671488721</v>
      </c>
      <c r="H34" s="149">
        <f>IF(A34="","",IF(A34=Inputs!$C$60,Inputs!$C$59*(Inputs!$B$20+U34),MIN(Inputs!$B$20+U34,D34+L33+F34+M33+E34+W33+U34)))</f>
        <v>174048.99418446081</v>
      </c>
      <c r="I34" s="149">
        <f t="shared" si="1"/>
        <v>0</v>
      </c>
      <c r="J34" s="149">
        <f t="shared" si="2"/>
        <v>54543.389205279767</v>
      </c>
      <c r="K34" s="149">
        <f t="shared" si="9"/>
        <v>56471.432671488736</v>
      </c>
      <c r="L34" s="149">
        <f t="shared" si="3"/>
        <v>0</v>
      </c>
      <c r="M34" s="149">
        <f t="shared" si="4"/>
        <v>0</v>
      </c>
      <c r="N34" s="149">
        <f t="shared" si="5"/>
        <v>0</v>
      </c>
      <c r="O34" s="149">
        <f t="shared" si="6"/>
        <v>4435174.7639241628</v>
      </c>
      <c r="P34" s="149">
        <f t="shared" si="7"/>
        <v>4435174.7639241628</v>
      </c>
      <c r="Q34" s="163" t="str">
        <f t="shared" si="8"/>
        <v>Vigente al día</v>
      </c>
      <c r="R34" s="149">
        <f>IF($A34="","",IF($A34&lt;=Inputs!$B$15,Inputs!$B$28,0))</f>
        <v>48643.172307692315</v>
      </c>
      <c r="S34" s="149">
        <f>IF($A34="","",IF($A34&lt;=Inputs!$B$15,Inputs!$B$29,0))</f>
        <v>10984.615384615387</v>
      </c>
      <c r="T34" s="149">
        <f>IF($A34="","",IF($A34&lt;=Inputs!$B$15,Inputs!$B$30,0))</f>
        <v>3406.3846153846157</v>
      </c>
      <c r="U34" s="149">
        <f t="shared" si="10"/>
        <v>63034.172307692315</v>
      </c>
      <c r="V34" s="149">
        <f t="shared" si="11"/>
        <v>63034.172307692315</v>
      </c>
      <c r="W34" s="149">
        <f t="shared" si="12"/>
        <v>0</v>
      </c>
      <c r="X34" s="149">
        <f>IF($B34="","",IF(OR($B35="",ROUNDUP(($A34+1)/Inputs!$B$14,0)&gt;$B34),SUMIF($B$4:$B34,$B34,R$4:R34),0))</f>
        <v>0</v>
      </c>
      <c r="Y34" s="149">
        <f>IF($B34="","",IF(OR($B35="",ROUNDUP(($A34+1)/Inputs!$B$14,0)&gt;$B34),SUMIF($B$4:$B34,$B34,S$4:S34),0))</f>
        <v>0</v>
      </c>
      <c r="Z34" s="149">
        <f>IF($B34="","",IF(OR($B35="",ROUNDUP(($A34+1)/Inputs!$B$14,0)&gt;$B34),SUMIF($B$4:$B34,$B34,T$4:T34),0))</f>
        <v>0</v>
      </c>
      <c r="AA34" s="18"/>
      <c r="AB34" s="18"/>
      <c r="AC34" s="18"/>
      <c r="AD34" s="18"/>
      <c r="AE34" s="18"/>
      <c r="AF34" s="18"/>
      <c r="AG34" s="18"/>
      <c r="AH34" s="18"/>
    </row>
    <row r="35" spans="1:34" ht="18" customHeight="1">
      <c r="A35" s="157">
        <f>IF(A34="","",IF(AND(A34&gt;=Inputs!$B$15,P34+L34+M34+W34&lt;=0.005),"",IF(A34&gt;=Inputs!$C$61,"",A34+1)))</f>
        <v>32</v>
      </c>
      <c r="B35" s="77">
        <f>IF(A35="","",ROUNDUP(A35/Inputs!$B$14,0))</f>
        <v>8</v>
      </c>
      <c r="C35" s="160" t="str">
        <f>IF(A35="","",IF(A35=Inputs!$C$60,"Pago inferior",IF(A35&gt;Inputs!$B$15,"Periodo adicional",IF(N34+L34+M34+W34&gt;0,"Pago normal - aplica vencidos","Pago normal"))))</f>
        <v>Pago normal</v>
      </c>
      <c r="D35" s="149">
        <f t="shared" si="0"/>
        <v>4435174.7639241628</v>
      </c>
      <c r="E35" s="149">
        <f>IF(A35="","",D35*Inputs!$B$17)</f>
        <v>53857.639883902826</v>
      </c>
      <c r="F35" s="149">
        <f>IF(A35="","",N34*Inputs!$B$17)</f>
        <v>0</v>
      </c>
      <c r="G35" s="149">
        <f>IF(A35="","",IF(A35&lt;=Inputs!$B$15,INDEX(Caso1_Normal!$H$4:$H$89,A35),0))</f>
        <v>57157.181992865648</v>
      </c>
      <c r="H35" s="149">
        <f>IF(A35="","",IF(A35=Inputs!$C$60,Inputs!$C$59*(Inputs!$B$20+U35),MIN(Inputs!$B$20+U35,D35+L34+F35+M34+E35+W34+U35)))</f>
        <v>174048.99418446081</v>
      </c>
      <c r="I35" s="149">
        <f t="shared" si="1"/>
        <v>0</v>
      </c>
      <c r="J35" s="149">
        <f t="shared" si="2"/>
        <v>53857.639883902826</v>
      </c>
      <c r="K35" s="149">
        <f t="shared" si="9"/>
        <v>57157.18199286567</v>
      </c>
      <c r="L35" s="149">
        <f t="shared" si="3"/>
        <v>0</v>
      </c>
      <c r="M35" s="149">
        <f t="shared" si="4"/>
        <v>0</v>
      </c>
      <c r="N35" s="149">
        <f t="shared" si="5"/>
        <v>0</v>
      </c>
      <c r="O35" s="149">
        <f t="shared" si="6"/>
        <v>4378017.5819312967</v>
      </c>
      <c r="P35" s="149">
        <f t="shared" si="7"/>
        <v>4378017.5819312967</v>
      </c>
      <c r="Q35" s="163" t="str">
        <f t="shared" si="8"/>
        <v>Vigente al día</v>
      </c>
      <c r="R35" s="149">
        <f>IF($A35="","",IF($A35&lt;=Inputs!$B$15,Inputs!$B$28,0))</f>
        <v>48643.172307692315</v>
      </c>
      <c r="S35" s="149">
        <f>IF($A35="","",IF($A35&lt;=Inputs!$B$15,Inputs!$B$29,0))</f>
        <v>10984.615384615387</v>
      </c>
      <c r="T35" s="149">
        <f>IF($A35="","",IF($A35&lt;=Inputs!$B$15,Inputs!$B$30,0))</f>
        <v>3406.3846153846157</v>
      </c>
      <c r="U35" s="149">
        <f t="shared" si="10"/>
        <v>63034.172307692315</v>
      </c>
      <c r="V35" s="149">
        <f t="shared" si="11"/>
        <v>63034.172307692315</v>
      </c>
      <c r="W35" s="149">
        <f t="shared" si="12"/>
        <v>0</v>
      </c>
      <c r="X35" s="149">
        <f>IF($B35="","",IF(OR($B36="",ROUNDUP(($A35+1)/Inputs!$B$14,0)&gt;$B35),SUMIF($B$4:$B35,$B35,R$4:R35),0))</f>
        <v>0</v>
      </c>
      <c r="Y35" s="149">
        <f>IF($B35="","",IF(OR($B36="",ROUNDUP(($A35+1)/Inputs!$B$14,0)&gt;$B35),SUMIF($B$4:$B35,$B35,S$4:S35),0))</f>
        <v>0</v>
      </c>
      <c r="Z35" s="149">
        <f>IF($B35="","",IF(OR($B36="",ROUNDUP(($A35+1)/Inputs!$B$14,0)&gt;$B35),SUMIF($B$4:$B35,$B35,T$4:T35),0))</f>
        <v>0</v>
      </c>
      <c r="AA35" s="18"/>
      <c r="AB35" s="18"/>
      <c r="AC35" s="18"/>
      <c r="AD35" s="18"/>
      <c r="AE35" s="18"/>
      <c r="AF35" s="18"/>
      <c r="AG35" s="18"/>
      <c r="AH35" s="18"/>
    </row>
    <row r="36" spans="1:34" ht="18" customHeight="1">
      <c r="A36" s="157">
        <f>IF(A35="","",IF(AND(A35&gt;=Inputs!$B$15,P35+L35+M35+W35&lt;=0.005),"",IF(A35&gt;=Inputs!$C$61,"",A35+1)))</f>
        <v>33</v>
      </c>
      <c r="B36" s="77">
        <f>IF(A36="","",ROUNDUP(A36/Inputs!$B$14,0))</f>
        <v>8</v>
      </c>
      <c r="C36" s="160" t="str">
        <f>IF(A36="","",IF(A36=Inputs!$C$60,"Pago inferior",IF(A36&gt;Inputs!$B$15,"Periodo adicional",IF(N35+L35+M35+W35&gt;0,"Pago normal - aplica vencidos","Pago normal"))))</f>
        <v>Pago normal</v>
      </c>
      <c r="D36" s="149">
        <f t="shared" ref="D36:D67" si="13">IF(A36="","",P35)</f>
        <v>4378017.5819312967</v>
      </c>
      <c r="E36" s="149">
        <f>IF(A36="","",D36*Inputs!$B$17)</f>
        <v>53163.563305547927</v>
      </c>
      <c r="F36" s="149">
        <f>IF(A36="","",N35*Inputs!$B$17)</f>
        <v>0</v>
      </c>
      <c r="G36" s="149">
        <f>IF(A36="","",IF(A36&lt;=Inputs!$B$15,INDEX(Caso1_Normal!$H$4:$H$89,A36),0))</f>
        <v>57851.258571220547</v>
      </c>
      <c r="H36" s="149">
        <f>IF(A36="","",IF(A36=Inputs!$C$60,Inputs!$C$59*(Inputs!$B$20+U36),MIN(Inputs!$B$20+U36,D36+L35+F36+M35+E36+W35+U36)))</f>
        <v>174048.99418446081</v>
      </c>
      <c r="I36" s="149">
        <f t="shared" ref="I36:I67" si="14">IF(A36="","",MIN(H36,L35+F36))</f>
        <v>0</v>
      </c>
      <c r="J36" s="149">
        <f t="shared" ref="J36:J67" si="15">IF(A36="","",MIN(MAX(0,H36-I36),M35+E36))</f>
        <v>53163.563305547927</v>
      </c>
      <c r="K36" s="149">
        <f t="shared" si="9"/>
        <v>57851.258571220569</v>
      </c>
      <c r="L36" s="149">
        <f t="shared" ref="L36:L67" si="16">IF(A36="","",MAX(0,L35+F36-I36))</f>
        <v>0</v>
      </c>
      <c r="M36" s="149">
        <f t="shared" ref="M36:M67" si="17">IF(A36="","",MAX(0,M35+E36-J36))</f>
        <v>0</v>
      </c>
      <c r="N36" s="149">
        <f t="shared" ref="N36:N67" si="18">IF(A36="","",MAX(0,N35+G36-K36))</f>
        <v>0</v>
      </c>
      <c r="O36" s="149">
        <f t="shared" ref="O36:O67" si="19">IF(A36="","",MAX(0,P36-N36))</f>
        <v>4320166.3233600762</v>
      </c>
      <c r="P36" s="149">
        <f t="shared" ref="P36:P67" si="20">IF(A36="","",MAX(0,D36-K36))</f>
        <v>4320166.3233600762</v>
      </c>
      <c r="Q36" s="163" t="str">
        <f t="shared" ref="Q36:Q67" si="21">IF(A36="","",IF(P36+L36+M36+W36&lt;=0.005,"Cancelado",IF(N36+L36+M36+W36&gt;0,"En mora","Vigente al día")))</f>
        <v>Vigente al día</v>
      </c>
      <c r="R36" s="149">
        <f>IF($A36="","",IF($A36&lt;=Inputs!$B$15,Inputs!$B$28,0))</f>
        <v>48643.172307692315</v>
      </c>
      <c r="S36" s="149">
        <f>IF($A36="","",IF($A36&lt;=Inputs!$B$15,Inputs!$B$29,0))</f>
        <v>10984.615384615387</v>
      </c>
      <c r="T36" s="149">
        <f>IF($A36="","",IF($A36&lt;=Inputs!$B$15,Inputs!$B$30,0))</f>
        <v>3406.3846153846157</v>
      </c>
      <c r="U36" s="149">
        <f t="shared" si="10"/>
        <v>63034.172307692315</v>
      </c>
      <c r="V36" s="149">
        <f t="shared" si="11"/>
        <v>63034.172307692315</v>
      </c>
      <c r="W36" s="149">
        <f t="shared" si="12"/>
        <v>0</v>
      </c>
      <c r="X36" s="149">
        <f>IF($B36="","",IF(OR($B37="",ROUNDUP(($A36+1)/Inputs!$B$14,0)&gt;$B36),SUMIF($B$4:$B36,$B36,R$4:R36),0))</f>
        <v>0</v>
      </c>
      <c r="Y36" s="149">
        <f>IF($B36="","",IF(OR($B37="",ROUNDUP(($A36+1)/Inputs!$B$14,0)&gt;$B36),SUMIF($B$4:$B36,$B36,S$4:S36),0))</f>
        <v>0</v>
      </c>
      <c r="Z36" s="149">
        <f>IF($B36="","",IF(OR($B37="",ROUNDUP(($A36+1)/Inputs!$B$14,0)&gt;$B36),SUMIF($B$4:$B36,$B36,T$4:T36),0))</f>
        <v>0</v>
      </c>
      <c r="AA36" s="18"/>
      <c r="AB36" s="18"/>
      <c r="AC36" s="18"/>
      <c r="AD36" s="18"/>
      <c r="AE36" s="18"/>
      <c r="AF36" s="18"/>
      <c r="AG36" s="18"/>
      <c r="AH36" s="18"/>
    </row>
    <row r="37" spans="1:34" ht="18" customHeight="1">
      <c r="A37" s="157">
        <f>IF(A36="","",IF(AND(A36&gt;=Inputs!$B$15,P36+L36+M36+W36&lt;=0.005),"",IF(A36&gt;=Inputs!$C$61,"",A36+1)))</f>
        <v>34</v>
      </c>
      <c r="B37" s="77">
        <f>IF(A37="","",ROUNDUP(A37/Inputs!$B$14,0))</f>
        <v>8</v>
      </c>
      <c r="C37" s="160" t="str">
        <f>IF(A37="","",IF(A37=Inputs!$C$60,"Pago inferior",IF(A37&gt;Inputs!$B$15,"Periodo adicional",IF(N36+L36+M36+W36&gt;0,"Pago normal - aplica vencidos","Pago normal"))))</f>
        <v>Pago normal</v>
      </c>
      <c r="D37" s="149">
        <f t="shared" si="13"/>
        <v>4320166.3233600762</v>
      </c>
      <c r="E37" s="149">
        <f>IF(A37="","",D37*Inputs!$B$17)</f>
        <v>52461.058349868887</v>
      </c>
      <c r="F37" s="149">
        <f>IF(A37="","",N36*Inputs!$B$17)</f>
        <v>0</v>
      </c>
      <c r="G37" s="149">
        <f>IF(A37="","",IF(A37&lt;=Inputs!$B$15,INDEX(Caso1_Normal!$H$4:$H$89,A37),0))</f>
        <v>58553.763526899587</v>
      </c>
      <c r="H37" s="149">
        <f>IF(A37="","",IF(A37=Inputs!$C$60,Inputs!$C$59*(Inputs!$B$20+U37),MIN(Inputs!$B$20+U37,D37+L36+F37+M36+E37+W36+U37)))</f>
        <v>174048.99418446081</v>
      </c>
      <c r="I37" s="149">
        <f t="shared" si="14"/>
        <v>0</v>
      </c>
      <c r="J37" s="149">
        <f t="shared" si="15"/>
        <v>52461.058349868887</v>
      </c>
      <c r="K37" s="149">
        <f t="shared" si="9"/>
        <v>58553.763526899602</v>
      </c>
      <c r="L37" s="149">
        <f t="shared" si="16"/>
        <v>0</v>
      </c>
      <c r="M37" s="149">
        <f t="shared" si="17"/>
        <v>0</v>
      </c>
      <c r="N37" s="149">
        <f t="shared" si="18"/>
        <v>0</v>
      </c>
      <c r="O37" s="149">
        <f t="shared" si="19"/>
        <v>4261612.5598331764</v>
      </c>
      <c r="P37" s="149">
        <f t="shared" si="20"/>
        <v>4261612.5598331764</v>
      </c>
      <c r="Q37" s="163" t="str">
        <f t="shared" si="21"/>
        <v>Vigente al día</v>
      </c>
      <c r="R37" s="149">
        <f>IF($A37="","",IF($A37&lt;=Inputs!$B$15,Inputs!$B$28,0))</f>
        <v>48643.172307692315</v>
      </c>
      <c r="S37" s="149">
        <f>IF($A37="","",IF($A37&lt;=Inputs!$B$15,Inputs!$B$29,0))</f>
        <v>10984.615384615387</v>
      </c>
      <c r="T37" s="149">
        <f>IF($A37="","",IF($A37&lt;=Inputs!$B$15,Inputs!$B$30,0))</f>
        <v>3406.3846153846157</v>
      </c>
      <c r="U37" s="149">
        <f t="shared" si="10"/>
        <v>63034.172307692315</v>
      </c>
      <c r="V37" s="149">
        <f t="shared" si="11"/>
        <v>63034.172307692315</v>
      </c>
      <c r="W37" s="149">
        <f t="shared" si="12"/>
        <v>0</v>
      </c>
      <c r="X37" s="149">
        <f>IF($B37="","",IF(OR($B38="",ROUNDUP(($A37+1)/Inputs!$B$14,0)&gt;$B37),SUMIF($B$4:$B37,$B37,R$4:R37),0))</f>
        <v>194572.68923076926</v>
      </c>
      <c r="Y37" s="149">
        <f>IF($B37="","",IF(OR($B38="",ROUNDUP(($A37+1)/Inputs!$B$14,0)&gt;$B37),SUMIF($B$4:$B37,$B37,S$4:S37),0))</f>
        <v>43938.461538461546</v>
      </c>
      <c r="Z37" s="149">
        <f>IF($B37="","",IF(OR($B38="",ROUNDUP(($A37+1)/Inputs!$B$14,0)&gt;$B37),SUMIF($B$4:$B37,$B37,T$4:T37),0))</f>
        <v>13625.538461538463</v>
      </c>
      <c r="AA37" s="18"/>
      <c r="AB37" s="18"/>
      <c r="AC37" s="18"/>
      <c r="AD37" s="18"/>
      <c r="AE37" s="18"/>
      <c r="AF37" s="18"/>
      <c r="AG37" s="18"/>
      <c r="AH37" s="18"/>
    </row>
    <row r="38" spans="1:34" ht="18" customHeight="1">
      <c r="A38" s="157">
        <f>IF(A37="","",IF(AND(A37&gt;=Inputs!$B$15,P37+L37+M37+W37&lt;=0.005),"",IF(A37&gt;=Inputs!$C$61,"",A37+1)))</f>
        <v>35</v>
      </c>
      <c r="B38" s="77">
        <f>IF(A38="","",ROUNDUP(A38/Inputs!$B$14,0))</f>
        <v>9</v>
      </c>
      <c r="C38" s="160" t="str">
        <f>IF(A38="","",IF(A38=Inputs!$C$60,"Pago inferior",IF(A38&gt;Inputs!$B$15,"Periodo adicional",IF(N37+L37+M37+W37&gt;0,"Pago normal - aplica vencidos","Pago normal"))))</f>
        <v>Pago normal</v>
      </c>
      <c r="D38" s="149">
        <f t="shared" si="13"/>
        <v>4261612.5598331764</v>
      </c>
      <c r="E38" s="149">
        <f>IF(A38="","",D38*Inputs!$B$17)</f>
        <v>51750.022668585218</v>
      </c>
      <c r="F38" s="149">
        <f>IF(A38="","",N37*Inputs!$B$17)</f>
        <v>0</v>
      </c>
      <c r="G38" s="149">
        <f>IF(A38="","",IF(A38&lt;=Inputs!$B$15,INDEX(Caso1_Normal!$H$4:$H$89,A38),0))</f>
        <v>59264.799208183264</v>
      </c>
      <c r="H38" s="149">
        <f>IF(A38="","",IF(A38=Inputs!$C$60,Inputs!$C$59*(Inputs!$B$20+U38),MIN(Inputs!$B$20+U38,D38+L37+F38+M37+E38+W37+U38)))</f>
        <v>174048.99418446081</v>
      </c>
      <c r="I38" s="149">
        <f t="shared" si="14"/>
        <v>0</v>
      </c>
      <c r="J38" s="149">
        <f t="shared" si="15"/>
        <v>51750.022668585218</v>
      </c>
      <c r="K38" s="149">
        <f t="shared" si="9"/>
        <v>59264.799208183285</v>
      </c>
      <c r="L38" s="149">
        <f t="shared" si="16"/>
        <v>0</v>
      </c>
      <c r="M38" s="149">
        <f t="shared" si="17"/>
        <v>0</v>
      </c>
      <c r="N38" s="149">
        <f t="shared" si="18"/>
        <v>0</v>
      </c>
      <c r="O38" s="149">
        <f t="shared" si="19"/>
        <v>4202347.7606249936</v>
      </c>
      <c r="P38" s="149">
        <f t="shared" si="20"/>
        <v>4202347.7606249936</v>
      </c>
      <c r="Q38" s="163" t="str">
        <f t="shared" si="21"/>
        <v>Vigente al día</v>
      </c>
      <c r="R38" s="149">
        <f>IF($A38="","",IF($A38&lt;=Inputs!$B$15,Inputs!$B$28,0))</f>
        <v>48643.172307692315</v>
      </c>
      <c r="S38" s="149">
        <f>IF($A38="","",IF($A38&lt;=Inputs!$B$15,Inputs!$B$29,0))</f>
        <v>10984.615384615387</v>
      </c>
      <c r="T38" s="149">
        <f>IF($A38="","",IF($A38&lt;=Inputs!$B$15,Inputs!$B$30,0))</f>
        <v>3406.3846153846157</v>
      </c>
      <c r="U38" s="149">
        <f t="shared" si="10"/>
        <v>63034.172307692315</v>
      </c>
      <c r="V38" s="149">
        <f t="shared" si="11"/>
        <v>63034.172307692315</v>
      </c>
      <c r="W38" s="149">
        <f t="shared" si="12"/>
        <v>0</v>
      </c>
      <c r="X38" s="149">
        <f>IF($B38="","",IF(OR($B39="",ROUNDUP(($A38+1)/Inputs!$B$14,0)&gt;$B38),SUMIF($B$4:$B38,$B38,R$4:R38),0))</f>
        <v>0</v>
      </c>
      <c r="Y38" s="149">
        <f>IF($B38="","",IF(OR($B39="",ROUNDUP(($A38+1)/Inputs!$B$14,0)&gt;$B38),SUMIF($B$4:$B38,$B38,S$4:S38),0))</f>
        <v>0</v>
      </c>
      <c r="Z38" s="149">
        <f>IF($B38="","",IF(OR($B39="",ROUNDUP(($A38+1)/Inputs!$B$14,0)&gt;$B38),SUMIF($B$4:$B38,$B38,T$4:T38),0))</f>
        <v>0</v>
      </c>
      <c r="AA38" s="18"/>
      <c r="AB38" s="18"/>
      <c r="AC38" s="18"/>
      <c r="AD38" s="18"/>
      <c r="AE38" s="18"/>
      <c r="AF38" s="18"/>
      <c r="AG38" s="18"/>
      <c r="AH38" s="18"/>
    </row>
    <row r="39" spans="1:34" ht="18" customHeight="1">
      <c r="A39" s="157">
        <f>IF(A38="","",IF(AND(A38&gt;=Inputs!$B$15,P38+L38+M38+W38&lt;=0.005),"",IF(A38&gt;=Inputs!$C$61,"",A38+1)))</f>
        <v>36</v>
      </c>
      <c r="B39" s="77">
        <f>IF(A39="","",ROUNDUP(A39/Inputs!$B$14,0))</f>
        <v>9</v>
      </c>
      <c r="C39" s="160" t="str">
        <f>IF(A39="","",IF(A39=Inputs!$C$60,"Pago inferior",IF(A39&gt;Inputs!$B$15,"Periodo adicional",IF(N38+L38+M38+W38&gt;0,"Pago normal - aplica vencidos","Pago normal"))))</f>
        <v>Pago normal</v>
      </c>
      <c r="D39" s="149">
        <f t="shared" si="13"/>
        <v>4202347.7606249936</v>
      </c>
      <c r="E39" s="149">
        <f>IF(A39="","",D39*Inputs!$B$17)</f>
        <v>51030.352670570974</v>
      </c>
      <c r="F39" s="149">
        <f>IF(A39="","",N38*Inputs!$B$17)</f>
        <v>0</v>
      </c>
      <c r="G39" s="149">
        <f>IF(A39="","",IF(A39&lt;=Inputs!$B$15,INDEX(Caso1_Normal!$H$4:$H$89,A39),0))</f>
        <v>59984.4692061975</v>
      </c>
      <c r="H39" s="149">
        <f>IF(A39="","",IF(A39=Inputs!$C$60,Inputs!$C$59*(Inputs!$B$20+U39),MIN(Inputs!$B$20+U39,D39+L38+F39+M38+E39+W38+U39)))</f>
        <v>174048.99418446081</v>
      </c>
      <c r="I39" s="149">
        <f t="shared" si="14"/>
        <v>0</v>
      </c>
      <c r="J39" s="149">
        <f t="shared" si="15"/>
        <v>51030.352670570974</v>
      </c>
      <c r="K39" s="149">
        <f t="shared" si="9"/>
        <v>59984.469206197515</v>
      </c>
      <c r="L39" s="149">
        <f t="shared" si="16"/>
        <v>0</v>
      </c>
      <c r="M39" s="149">
        <f t="shared" si="17"/>
        <v>0</v>
      </c>
      <c r="N39" s="149">
        <f t="shared" si="18"/>
        <v>0</v>
      </c>
      <c r="O39" s="149">
        <f t="shared" si="19"/>
        <v>4142363.2914187959</v>
      </c>
      <c r="P39" s="149">
        <f t="shared" si="20"/>
        <v>4142363.2914187959</v>
      </c>
      <c r="Q39" s="163" t="str">
        <f t="shared" si="21"/>
        <v>Vigente al día</v>
      </c>
      <c r="R39" s="149">
        <f>IF($A39="","",IF($A39&lt;=Inputs!$B$15,Inputs!$B$28,0))</f>
        <v>48643.172307692315</v>
      </c>
      <c r="S39" s="149">
        <f>IF($A39="","",IF($A39&lt;=Inputs!$B$15,Inputs!$B$29,0))</f>
        <v>10984.615384615387</v>
      </c>
      <c r="T39" s="149">
        <f>IF($A39="","",IF($A39&lt;=Inputs!$B$15,Inputs!$B$30,0))</f>
        <v>3406.3846153846157</v>
      </c>
      <c r="U39" s="149">
        <f t="shared" si="10"/>
        <v>63034.172307692315</v>
      </c>
      <c r="V39" s="149">
        <f t="shared" si="11"/>
        <v>63034.172307692315</v>
      </c>
      <c r="W39" s="149">
        <f t="shared" si="12"/>
        <v>0</v>
      </c>
      <c r="X39" s="149">
        <f>IF($B39="","",IF(OR($B40="",ROUNDUP(($A39+1)/Inputs!$B$14,0)&gt;$B39),SUMIF($B$4:$B39,$B39,R$4:R39),0))</f>
        <v>0</v>
      </c>
      <c r="Y39" s="149">
        <f>IF($B39="","",IF(OR($B40="",ROUNDUP(($A39+1)/Inputs!$B$14,0)&gt;$B39),SUMIF($B$4:$B39,$B39,S$4:S39),0))</f>
        <v>0</v>
      </c>
      <c r="Z39" s="149">
        <f>IF($B39="","",IF(OR($B40="",ROUNDUP(($A39+1)/Inputs!$B$14,0)&gt;$B39),SUMIF($B$4:$B39,$B39,T$4:T39),0))</f>
        <v>0</v>
      </c>
      <c r="AA39" s="18"/>
      <c r="AB39" s="18"/>
      <c r="AC39" s="18"/>
      <c r="AD39" s="18"/>
      <c r="AE39" s="18"/>
      <c r="AF39" s="18"/>
      <c r="AG39" s="18"/>
      <c r="AH39" s="18"/>
    </row>
    <row r="40" spans="1:34" ht="18" customHeight="1">
      <c r="A40" s="157">
        <f>IF(A39="","",IF(AND(A39&gt;=Inputs!$B$15,P39+L39+M39+W39&lt;=0.005),"",IF(A39&gt;=Inputs!$C$61,"",A39+1)))</f>
        <v>37</v>
      </c>
      <c r="B40" s="77">
        <f>IF(A40="","",ROUNDUP(A40/Inputs!$B$14,0))</f>
        <v>9</v>
      </c>
      <c r="C40" s="160" t="str">
        <f>IF(A40="","",IF(A40=Inputs!$C$60,"Pago inferior",IF(A40&gt;Inputs!$B$15,"Periodo adicional",IF(N39+L39+M39+W39&gt;0,"Pago normal - aplica vencidos","Pago normal"))))</f>
        <v>Pago normal</v>
      </c>
      <c r="D40" s="149">
        <f t="shared" si="13"/>
        <v>4142363.2914187959</v>
      </c>
      <c r="E40" s="149">
        <f>IF(A40="","",D40*Inputs!$B$17)</f>
        <v>50301.943506762502</v>
      </c>
      <c r="F40" s="149">
        <f>IF(A40="","",N39*Inputs!$B$17)</f>
        <v>0</v>
      </c>
      <c r="G40" s="149">
        <f>IF(A40="","",IF(A40&lt;=Inputs!$B$15,INDEX(Caso1_Normal!$H$4:$H$89,A40),0))</f>
        <v>60712.878370005979</v>
      </c>
      <c r="H40" s="149">
        <f>IF(A40="","",IF(A40=Inputs!$C$60,Inputs!$C$59*(Inputs!$B$20+U40),MIN(Inputs!$B$20+U40,D40+L39+F40+M39+E40+W39+U40)))</f>
        <v>174048.99418446081</v>
      </c>
      <c r="I40" s="149">
        <f t="shared" si="14"/>
        <v>0</v>
      </c>
      <c r="J40" s="149">
        <f t="shared" si="15"/>
        <v>50301.943506762502</v>
      </c>
      <c r="K40" s="149">
        <f t="shared" si="9"/>
        <v>60712.878370005994</v>
      </c>
      <c r="L40" s="149">
        <f t="shared" si="16"/>
        <v>0</v>
      </c>
      <c r="M40" s="149">
        <f t="shared" si="17"/>
        <v>0</v>
      </c>
      <c r="N40" s="149">
        <f t="shared" si="18"/>
        <v>0</v>
      </c>
      <c r="O40" s="149">
        <f t="shared" si="19"/>
        <v>4081650.4130487898</v>
      </c>
      <c r="P40" s="149">
        <f t="shared" si="20"/>
        <v>4081650.4130487898</v>
      </c>
      <c r="Q40" s="163" t="str">
        <f t="shared" si="21"/>
        <v>Vigente al día</v>
      </c>
      <c r="R40" s="149">
        <f>IF($A40="","",IF($A40&lt;=Inputs!$B$15,Inputs!$B$28,0))</f>
        <v>48643.172307692315</v>
      </c>
      <c r="S40" s="149">
        <f>IF($A40="","",IF($A40&lt;=Inputs!$B$15,Inputs!$B$29,0))</f>
        <v>10984.615384615387</v>
      </c>
      <c r="T40" s="149">
        <f>IF($A40="","",IF($A40&lt;=Inputs!$B$15,Inputs!$B$30,0))</f>
        <v>3406.3846153846157</v>
      </c>
      <c r="U40" s="149">
        <f t="shared" si="10"/>
        <v>63034.172307692315</v>
      </c>
      <c r="V40" s="149">
        <f t="shared" si="11"/>
        <v>63034.172307692315</v>
      </c>
      <c r="W40" s="149">
        <f t="shared" si="12"/>
        <v>0</v>
      </c>
      <c r="X40" s="149">
        <f>IF($B40="","",IF(OR($B41="",ROUNDUP(($A40+1)/Inputs!$B$14,0)&gt;$B40),SUMIF($B$4:$B40,$B40,R$4:R40),0))</f>
        <v>0</v>
      </c>
      <c r="Y40" s="149">
        <f>IF($B40="","",IF(OR($B41="",ROUNDUP(($A40+1)/Inputs!$B$14,0)&gt;$B40),SUMIF($B$4:$B40,$B40,S$4:S40),0))</f>
        <v>0</v>
      </c>
      <c r="Z40" s="149">
        <f>IF($B40="","",IF(OR($B41="",ROUNDUP(($A40+1)/Inputs!$B$14,0)&gt;$B40),SUMIF($B$4:$B40,$B40,T$4:T40),0))</f>
        <v>0</v>
      </c>
      <c r="AA40" s="18"/>
      <c r="AB40" s="18"/>
      <c r="AC40" s="18"/>
      <c r="AD40" s="18"/>
      <c r="AE40" s="18"/>
      <c r="AF40" s="18"/>
      <c r="AG40" s="18"/>
      <c r="AH40" s="18"/>
    </row>
    <row r="41" spans="1:34" ht="18" customHeight="1">
      <c r="A41" s="157">
        <f>IF(A40="","",IF(AND(A40&gt;=Inputs!$B$15,P40+L40+M40+W40&lt;=0.005),"",IF(A40&gt;=Inputs!$C$61,"",A40+1)))</f>
        <v>38</v>
      </c>
      <c r="B41" s="77">
        <f>IF(A41="","",ROUNDUP(A41/Inputs!$B$14,0))</f>
        <v>9</v>
      </c>
      <c r="C41" s="160" t="str">
        <f>IF(A41="","",IF(A41=Inputs!$C$60,"Pago inferior",IF(A41&gt;Inputs!$B$15,"Periodo adicional",IF(N40+L40+M40+W40&gt;0,"Pago normal - aplica vencidos","Pago normal"))))</f>
        <v>Pago normal</v>
      </c>
      <c r="D41" s="149">
        <f t="shared" si="13"/>
        <v>4081650.4130487898</v>
      </c>
      <c r="E41" s="149">
        <f>IF(A41="","",D41*Inputs!$B$17)</f>
        <v>49564.689054882932</v>
      </c>
      <c r="F41" s="149">
        <f>IF(A41="","",N40*Inputs!$B$17)</f>
        <v>0</v>
      </c>
      <c r="G41" s="149">
        <f>IF(A41="","",IF(A41&lt;=Inputs!$B$15,INDEX(Caso1_Normal!$H$4:$H$89,A41),0))</f>
        <v>61450.132821885541</v>
      </c>
      <c r="H41" s="149">
        <f>IF(A41="","",IF(A41=Inputs!$C$60,Inputs!$C$59*(Inputs!$B$20+U41),MIN(Inputs!$B$20+U41,D41+L40+F41+M40+E41+W40+U41)))</f>
        <v>174048.99418446081</v>
      </c>
      <c r="I41" s="149">
        <f t="shared" si="14"/>
        <v>0</v>
      </c>
      <c r="J41" s="149">
        <f t="shared" si="15"/>
        <v>49564.689054882932</v>
      </c>
      <c r="K41" s="149">
        <f t="shared" si="9"/>
        <v>61450.132821885556</v>
      </c>
      <c r="L41" s="149">
        <f t="shared" si="16"/>
        <v>0</v>
      </c>
      <c r="M41" s="149">
        <f t="shared" si="17"/>
        <v>0</v>
      </c>
      <c r="N41" s="149">
        <f t="shared" si="18"/>
        <v>0</v>
      </c>
      <c r="O41" s="149">
        <f t="shared" si="19"/>
        <v>4020200.2802269044</v>
      </c>
      <c r="P41" s="149">
        <f t="shared" si="20"/>
        <v>4020200.2802269044</v>
      </c>
      <c r="Q41" s="163" t="str">
        <f t="shared" si="21"/>
        <v>Vigente al día</v>
      </c>
      <c r="R41" s="149">
        <f>IF($A41="","",IF($A41&lt;=Inputs!$B$15,Inputs!$B$28,0))</f>
        <v>48643.172307692315</v>
      </c>
      <c r="S41" s="149">
        <f>IF($A41="","",IF($A41&lt;=Inputs!$B$15,Inputs!$B$29,0))</f>
        <v>10984.615384615387</v>
      </c>
      <c r="T41" s="149">
        <f>IF($A41="","",IF($A41&lt;=Inputs!$B$15,Inputs!$B$30,0))</f>
        <v>3406.3846153846157</v>
      </c>
      <c r="U41" s="149">
        <f t="shared" si="10"/>
        <v>63034.172307692315</v>
      </c>
      <c r="V41" s="149">
        <f t="shared" si="11"/>
        <v>63034.172307692315</v>
      </c>
      <c r="W41" s="149">
        <f t="shared" si="12"/>
        <v>0</v>
      </c>
      <c r="X41" s="149">
        <f>IF($B41="","",IF(OR($B42="",ROUNDUP(($A41+1)/Inputs!$B$14,0)&gt;$B41),SUMIF($B$4:$B41,$B41,R$4:R41),0))</f>
        <v>0</v>
      </c>
      <c r="Y41" s="149">
        <f>IF($B41="","",IF(OR($B42="",ROUNDUP(($A41+1)/Inputs!$B$14,0)&gt;$B41),SUMIF($B$4:$B41,$B41,S$4:S41),0))</f>
        <v>0</v>
      </c>
      <c r="Z41" s="149">
        <f>IF($B41="","",IF(OR($B42="",ROUNDUP(($A41+1)/Inputs!$B$14,0)&gt;$B41),SUMIF($B$4:$B41,$B41,T$4:T41),0))</f>
        <v>0</v>
      </c>
      <c r="AA41" s="18"/>
      <c r="AB41" s="18"/>
      <c r="AC41" s="18"/>
      <c r="AD41" s="18"/>
      <c r="AE41" s="18"/>
      <c r="AF41" s="18"/>
      <c r="AG41" s="18"/>
      <c r="AH41" s="18"/>
    </row>
    <row r="42" spans="1:34" ht="18" customHeight="1">
      <c r="A42" s="157">
        <f>IF(A41="","",IF(AND(A41&gt;=Inputs!$B$15,P41+L41+M41+W41&lt;=0.005),"",IF(A41&gt;=Inputs!$C$61,"",A41+1)))</f>
        <v>39</v>
      </c>
      <c r="B42" s="77">
        <f>IF(A42="","",ROUNDUP(A42/Inputs!$B$14,0))</f>
        <v>9</v>
      </c>
      <c r="C42" s="160" t="str">
        <f>IF(A42="","",IF(A42=Inputs!$C$60,"Pago inferior",IF(A42&gt;Inputs!$B$15,"Periodo adicional",IF(N41+L41+M41+W41&gt;0,"Pago normal - aplica vencidos","Pago normal"))))</f>
        <v>Pago normal</v>
      </c>
      <c r="D42" s="149">
        <f t="shared" si="13"/>
        <v>4020200.2802269044</v>
      </c>
      <c r="E42" s="149">
        <f>IF(A42="","",D42*Inputs!$B$17)</f>
        <v>48818.481903981206</v>
      </c>
      <c r="F42" s="149">
        <f>IF(A42="","",N41*Inputs!$B$17)</f>
        <v>0</v>
      </c>
      <c r="G42" s="149">
        <f>IF(A42="","",IF(A42&lt;=Inputs!$B$15,INDEX(Caso1_Normal!$H$4:$H$89,A42),0))</f>
        <v>62196.339972787275</v>
      </c>
      <c r="H42" s="149">
        <f>IF(A42="","",IF(A42=Inputs!$C$60,Inputs!$C$59*(Inputs!$B$20+U42),MIN(Inputs!$B$20+U42,D42+L41+F42+M41+E42+W41+U42)))</f>
        <v>174048.99418446081</v>
      </c>
      <c r="I42" s="149">
        <f t="shared" si="14"/>
        <v>0</v>
      </c>
      <c r="J42" s="149">
        <f t="shared" si="15"/>
        <v>48818.481903981206</v>
      </c>
      <c r="K42" s="149">
        <f t="shared" si="9"/>
        <v>62196.339972787282</v>
      </c>
      <c r="L42" s="149">
        <f t="shared" si="16"/>
        <v>0</v>
      </c>
      <c r="M42" s="149">
        <f t="shared" si="17"/>
        <v>0</v>
      </c>
      <c r="N42" s="149">
        <f t="shared" si="18"/>
        <v>0</v>
      </c>
      <c r="O42" s="149">
        <f t="shared" si="19"/>
        <v>3958003.9402541174</v>
      </c>
      <c r="P42" s="149">
        <f t="shared" si="20"/>
        <v>3958003.9402541174</v>
      </c>
      <c r="Q42" s="163" t="str">
        <f t="shared" si="21"/>
        <v>Vigente al día</v>
      </c>
      <c r="R42" s="149">
        <f>IF($A42="","",IF($A42&lt;=Inputs!$B$15,Inputs!$B$28,0))</f>
        <v>48643.172307692315</v>
      </c>
      <c r="S42" s="149">
        <f>IF($A42="","",IF($A42&lt;=Inputs!$B$15,Inputs!$B$29,0))</f>
        <v>10984.615384615387</v>
      </c>
      <c r="T42" s="149">
        <f>IF($A42="","",IF($A42&lt;=Inputs!$B$15,Inputs!$B$30,0))</f>
        <v>3406.3846153846157</v>
      </c>
      <c r="U42" s="149">
        <f t="shared" si="10"/>
        <v>63034.172307692315</v>
      </c>
      <c r="V42" s="149">
        <f t="shared" si="11"/>
        <v>63034.172307692315</v>
      </c>
      <c r="W42" s="149">
        <f t="shared" si="12"/>
        <v>0</v>
      </c>
      <c r="X42" s="149">
        <f>IF($B42="","",IF(OR($B43="",ROUNDUP(($A42+1)/Inputs!$B$14,0)&gt;$B42),SUMIF($B$4:$B42,$B42,R$4:R42),0))</f>
        <v>243215.86153846158</v>
      </c>
      <c r="Y42" s="149">
        <f>IF($B42="","",IF(OR($B43="",ROUNDUP(($A42+1)/Inputs!$B$14,0)&gt;$B42),SUMIF($B$4:$B42,$B42,S$4:S42),0))</f>
        <v>54923.076923076937</v>
      </c>
      <c r="Z42" s="149">
        <f>IF($B42="","",IF(OR($B43="",ROUNDUP(($A42+1)/Inputs!$B$14,0)&gt;$B42),SUMIF($B$4:$B42,$B42,T$4:T42),0))</f>
        <v>17031.923076923078</v>
      </c>
      <c r="AA42" s="18"/>
      <c r="AB42" s="18"/>
      <c r="AC42" s="18"/>
      <c r="AD42" s="18"/>
      <c r="AE42" s="18"/>
      <c r="AF42" s="18"/>
      <c r="AG42" s="18"/>
      <c r="AH42" s="18"/>
    </row>
    <row r="43" spans="1:34" ht="18" customHeight="1">
      <c r="A43" s="157">
        <f>IF(A42="","",IF(AND(A42&gt;=Inputs!$B$15,P42+L42+M42+W42&lt;=0.005),"",IF(A42&gt;=Inputs!$C$61,"",A42+1)))</f>
        <v>40</v>
      </c>
      <c r="B43" s="77">
        <f>IF(A43="","",ROUNDUP(A43/Inputs!$B$14,0))</f>
        <v>10</v>
      </c>
      <c r="C43" s="160" t="str">
        <f>IF(A43="","",IF(A43=Inputs!$C$60,"Pago inferior",IF(A43&gt;Inputs!$B$15,"Periodo adicional",IF(N42+L42+M42+W42&gt;0,"Pago normal - aplica vencidos","Pago normal"))))</f>
        <v>Pago normal</v>
      </c>
      <c r="D43" s="149">
        <f t="shared" si="13"/>
        <v>3958003.9402541174</v>
      </c>
      <c r="E43" s="149">
        <f>IF(A43="","",D43*Inputs!$B$17)</f>
        <v>48063.213338783258</v>
      </c>
      <c r="F43" s="149">
        <f>IF(A43="","",N42*Inputs!$B$17)</f>
        <v>0</v>
      </c>
      <c r="G43" s="149">
        <f>IF(A43="","",IF(A43&lt;=Inputs!$B$15,INDEX(Caso1_Normal!$H$4:$H$89,A43),0))</f>
        <v>62951.608537985223</v>
      </c>
      <c r="H43" s="149">
        <f>IF(A43="","",IF(A43=Inputs!$C$60,Inputs!$C$59*(Inputs!$B$20+U43),MIN(Inputs!$B$20+U43,D43+L42+F43+M42+E43+W42+U43)))</f>
        <v>174048.99418446081</v>
      </c>
      <c r="I43" s="149">
        <f t="shared" si="14"/>
        <v>0</v>
      </c>
      <c r="J43" s="149">
        <f t="shared" si="15"/>
        <v>48063.213338783258</v>
      </c>
      <c r="K43" s="149">
        <f t="shared" si="9"/>
        <v>62951.608537985237</v>
      </c>
      <c r="L43" s="149">
        <f t="shared" si="16"/>
        <v>0</v>
      </c>
      <c r="M43" s="149">
        <f t="shared" si="17"/>
        <v>0</v>
      </c>
      <c r="N43" s="149">
        <f t="shared" si="18"/>
        <v>0</v>
      </c>
      <c r="O43" s="149">
        <f t="shared" si="19"/>
        <v>3895052.3317161324</v>
      </c>
      <c r="P43" s="149">
        <f t="shared" si="20"/>
        <v>3895052.3317161324</v>
      </c>
      <c r="Q43" s="163" t="str">
        <f t="shared" si="21"/>
        <v>Vigente al día</v>
      </c>
      <c r="R43" s="149">
        <f>IF($A43="","",IF($A43&lt;=Inputs!$B$15,Inputs!$B$28,0))</f>
        <v>48643.172307692315</v>
      </c>
      <c r="S43" s="149">
        <f>IF($A43="","",IF($A43&lt;=Inputs!$B$15,Inputs!$B$29,0))</f>
        <v>10984.615384615387</v>
      </c>
      <c r="T43" s="149">
        <f>IF($A43="","",IF($A43&lt;=Inputs!$B$15,Inputs!$B$30,0))</f>
        <v>3406.3846153846157</v>
      </c>
      <c r="U43" s="149">
        <f t="shared" si="10"/>
        <v>63034.172307692315</v>
      </c>
      <c r="V43" s="149">
        <f t="shared" si="11"/>
        <v>63034.172307692315</v>
      </c>
      <c r="W43" s="149">
        <f t="shared" si="12"/>
        <v>0</v>
      </c>
      <c r="X43" s="149">
        <f>IF($B43="","",IF(OR($B44="",ROUNDUP(($A43+1)/Inputs!$B$14,0)&gt;$B43),SUMIF($B$4:$B43,$B43,R$4:R43),0))</f>
        <v>0</v>
      </c>
      <c r="Y43" s="149">
        <f>IF($B43="","",IF(OR($B44="",ROUNDUP(($A43+1)/Inputs!$B$14,0)&gt;$B43),SUMIF($B$4:$B43,$B43,S$4:S43),0))</f>
        <v>0</v>
      </c>
      <c r="Z43" s="149">
        <f>IF($B43="","",IF(OR($B44="",ROUNDUP(($A43+1)/Inputs!$B$14,0)&gt;$B43),SUMIF($B$4:$B43,$B43,T$4:T43),0))</f>
        <v>0</v>
      </c>
      <c r="AA43" s="18"/>
      <c r="AB43" s="18"/>
      <c r="AC43" s="18"/>
      <c r="AD43" s="18"/>
      <c r="AE43" s="18"/>
      <c r="AF43" s="18"/>
      <c r="AG43" s="18"/>
      <c r="AH43" s="18"/>
    </row>
    <row r="44" spans="1:34" ht="18" customHeight="1">
      <c r="A44" s="157">
        <f>IF(A43="","",IF(AND(A43&gt;=Inputs!$B$15,P43+L43+M43+W43&lt;=0.005),"",IF(A43&gt;=Inputs!$C$61,"",A43+1)))</f>
        <v>41</v>
      </c>
      <c r="B44" s="77">
        <f>IF(A44="","",ROUNDUP(A44/Inputs!$B$14,0))</f>
        <v>10</v>
      </c>
      <c r="C44" s="160" t="str">
        <f>IF(A44="","",IF(A44=Inputs!$C$60,"Pago inferior",IF(A44&gt;Inputs!$B$15,"Periodo adicional",IF(N43+L43+M43+W43&gt;0,"Pago normal - aplica vencidos","Pago normal"))))</f>
        <v>Pago normal</v>
      </c>
      <c r="D44" s="149">
        <f t="shared" si="13"/>
        <v>3895052.3317161324</v>
      </c>
      <c r="E44" s="149">
        <f>IF(A44="","",D44*Inputs!$B$17)</f>
        <v>47298.773323853282</v>
      </c>
      <c r="F44" s="149">
        <f>IF(A44="","",N43*Inputs!$B$17)</f>
        <v>0</v>
      </c>
      <c r="G44" s="149">
        <f>IF(A44="","",IF(A44&lt;=Inputs!$B$15,INDEX(Caso1_Normal!$H$4:$H$89,A44),0))</f>
        <v>63716.048552915192</v>
      </c>
      <c r="H44" s="149">
        <f>IF(A44="","",IF(A44=Inputs!$C$60,Inputs!$C$59*(Inputs!$B$20+U44),MIN(Inputs!$B$20+U44,D44+L43+F44+M43+E44+W43+U44)))</f>
        <v>174048.99418446081</v>
      </c>
      <c r="I44" s="149">
        <f t="shared" si="14"/>
        <v>0</v>
      </c>
      <c r="J44" s="149">
        <f t="shared" si="15"/>
        <v>47298.773323853282</v>
      </c>
      <c r="K44" s="149">
        <f t="shared" si="9"/>
        <v>63716.048552915214</v>
      </c>
      <c r="L44" s="149">
        <f t="shared" si="16"/>
        <v>0</v>
      </c>
      <c r="M44" s="149">
        <f t="shared" si="17"/>
        <v>0</v>
      </c>
      <c r="N44" s="149">
        <f t="shared" si="18"/>
        <v>0</v>
      </c>
      <c r="O44" s="149">
        <f t="shared" si="19"/>
        <v>3831336.2831632174</v>
      </c>
      <c r="P44" s="149">
        <f t="shared" si="20"/>
        <v>3831336.2831632174</v>
      </c>
      <c r="Q44" s="163" t="str">
        <f t="shared" si="21"/>
        <v>Vigente al día</v>
      </c>
      <c r="R44" s="149">
        <f>IF($A44="","",IF($A44&lt;=Inputs!$B$15,Inputs!$B$28,0))</f>
        <v>48643.172307692315</v>
      </c>
      <c r="S44" s="149">
        <f>IF($A44="","",IF($A44&lt;=Inputs!$B$15,Inputs!$B$29,0))</f>
        <v>10984.615384615387</v>
      </c>
      <c r="T44" s="149">
        <f>IF($A44="","",IF($A44&lt;=Inputs!$B$15,Inputs!$B$30,0))</f>
        <v>3406.3846153846157</v>
      </c>
      <c r="U44" s="149">
        <f t="shared" si="10"/>
        <v>63034.172307692315</v>
      </c>
      <c r="V44" s="149">
        <f t="shared" si="11"/>
        <v>63034.172307692315</v>
      </c>
      <c r="W44" s="149">
        <f t="shared" si="12"/>
        <v>0</v>
      </c>
      <c r="X44" s="149">
        <f>IF($B44="","",IF(OR($B45="",ROUNDUP(($A44+1)/Inputs!$B$14,0)&gt;$B44),SUMIF($B$4:$B44,$B44,R$4:R44),0))</f>
        <v>0</v>
      </c>
      <c r="Y44" s="149">
        <f>IF($B44="","",IF(OR($B45="",ROUNDUP(($A44+1)/Inputs!$B$14,0)&gt;$B44),SUMIF($B$4:$B44,$B44,S$4:S44),0))</f>
        <v>0</v>
      </c>
      <c r="Z44" s="149">
        <f>IF($B44="","",IF(OR($B45="",ROUNDUP(($A44+1)/Inputs!$B$14,0)&gt;$B44),SUMIF($B$4:$B44,$B44,T$4:T44),0))</f>
        <v>0</v>
      </c>
      <c r="AA44" s="18"/>
      <c r="AB44" s="18"/>
      <c r="AC44" s="18"/>
      <c r="AD44" s="18"/>
      <c r="AE44" s="18"/>
      <c r="AF44" s="18"/>
      <c r="AG44" s="18"/>
      <c r="AH44" s="18"/>
    </row>
    <row r="45" spans="1:34" ht="18" customHeight="1">
      <c r="A45" s="157">
        <f>IF(A44="","",IF(AND(A44&gt;=Inputs!$B$15,P44+L44+M44+W44&lt;=0.005),"",IF(A44&gt;=Inputs!$C$61,"",A44+1)))</f>
        <v>42</v>
      </c>
      <c r="B45" s="77">
        <f>IF(A45="","",ROUNDUP(A45/Inputs!$B$14,0))</f>
        <v>10</v>
      </c>
      <c r="C45" s="160" t="str">
        <f>IF(A45="","",IF(A45=Inputs!$C$60,"Pago inferior",IF(A45&gt;Inputs!$B$15,"Periodo adicional",IF(N44+L44+M44+W44&gt;0,"Pago normal - aplica vencidos","Pago normal"))))</f>
        <v>Pago normal</v>
      </c>
      <c r="D45" s="149">
        <f t="shared" si="13"/>
        <v>3831336.2831632174</v>
      </c>
      <c r="E45" s="149">
        <f>IF(A45="","",D45*Inputs!$B$17)</f>
        <v>46525.050487562621</v>
      </c>
      <c r="F45" s="149">
        <f>IF(A45="","",N44*Inputs!$B$17)</f>
        <v>0</v>
      </c>
      <c r="G45" s="149">
        <f>IF(A45="","",IF(A45&lt;=Inputs!$B$15,INDEX(Caso1_Normal!$H$4:$H$89,A45),0))</f>
        <v>64489.771389205853</v>
      </c>
      <c r="H45" s="149">
        <f>IF(A45="","",IF(A45=Inputs!$C$60,Inputs!$C$59*(Inputs!$B$20+U45),MIN(Inputs!$B$20+U45,D45+L44+F45+M44+E45+W44+U45)))</f>
        <v>174048.99418446081</v>
      </c>
      <c r="I45" s="149">
        <f t="shared" si="14"/>
        <v>0</v>
      </c>
      <c r="J45" s="149">
        <f t="shared" si="15"/>
        <v>46525.050487562621</v>
      </c>
      <c r="K45" s="149">
        <f t="shared" si="9"/>
        <v>64489.771389205875</v>
      </c>
      <c r="L45" s="149">
        <f t="shared" si="16"/>
        <v>0</v>
      </c>
      <c r="M45" s="149">
        <f t="shared" si="17"/>
        <v>0</v>
      </c>
      <c r="N45" s="149">
        <f t="shared" si="18"/>
        <v>0</v>
      </c>
      <c r="O45" s="149">
        <f t="shared" si="19"/>
        <v>3766846.5117740114</v>
      </c>
      <c r="P45" s="149">
        <f t="shared" si="20"/>
        <v>3766846.5117740114</v>
      </c>
      <c r="Q45" s="163" t="str">
        <f t="shared" si="21"/>
        <v>Vigente al día</v>
      </c>
      <c r="R45" s="149">
        <f>IF($A45="","",IF($A45&lt;=Inputs!$B$15,Inputs!$B$28,0))</f>
        <v>48643.172307692315</v>
      </c>
      <c r="S45" s="149">
        <f>IF($A45="","",IF($A45&lt;=Inputs!$B$15,Inputs!$B$29,0))</f>
        <v>10984.615384615387</v>
      </c>
      <c r="T45" s="149">
        <f>IF($A45="","",IF($A45&lt;=Inputs!$B$15,Inputs!$B$30,0))</f>
        <v>3406.3846153846157</v>
      </c>
      <c r="U45" s="149">
        <f t="shared" si="10"/>
        <v>63034.172307692315</v>
      </c>
      <c r="V45" s="149">
        <f t="shared" si="11"/>
        <v>63034.172307692315</v>
      </c>
      <c r="W45" s="149">
        <f t="shared" si="12"/>
        <v>0</v>
      </c>
      <c r="X45" s="149">
        <f>IF($B45="","",IF(OR($B46="",ROUNDUP(($A45+1)/Inputs!$B$14,0)&gt;$B45),SUMIF($B$4:$B45,$B45,R$4:R45),0))</f>
        <v>0</v>
      </c>
      <c r="Y45" s="149">
        <f>IF($B45="","",IF(OR($B46="",ROUNDUP(($A45+1)/Inputs!$B$14,0)&gt;$B45),SUMIF($B$4:$B45,$B45,S$4:S45),0))</f>
        <v>0</v>
      </c>
      <c r="Z45" s="149">
        <f>IF($B45="","",IF(OR($B46="",ROUNDUP(($A45+1)/Inputs!$B$14,0)&gt;$B45),SUMIF($B$4:$B45,$B45,T$4:T45),0))</f>
        <v>0</v>
      </c>
      <c r="AA45" s="18"/>
      <c r="AB45" s="18"/>
      <c r="AC45" s="18"/>
      <c r="AD45" s="18"/>
      <c r="AE45" s="18"/>
      <c r="AF45" s="18"/>
      <c r="AG45" s="18"/>
      <c r="AH45" s="18"/>
    </row>
    <row r="46" spans="1:34" ht="18" customHeight="1">
      <c r="A46" s="157">
        <f>IF(A45="","",IF(AND(A45&gt;=Inputs!$B$15,P45+L45+M45+W45&lt;=0.005),"",IF(A45&gt;=Inputs!$C$61,"",A45+1)))</f>
        <v>43</v>
      </c>
      <c r="B46" s="77">
        <f>IF(A46="","",ROUNDUP(A46/Inputs!$B$14,0))</f>
        <v>10</v>
      </c>
      <c r="C46" s="160" t="str">
        <f>IF(A46="","",IF(A46=Inputs!$C$60,"Pago inferior",IF(A46&gt;Inputs!$B$15,"Periodo adicional",IF(N45+L45+M45+W45&gt;0,"Pago normal - aplica vencidos","Pago normal"))))</f>
        <v>Pago inferior</v>
      </c>
      <c r="D46" s="149">
        <f t="shared" si="13"/>
        <v>3766846.5117740114</v>
      </c>
      <c r="E46" s="149">
        <f>IF(A46="","",D46*Inputs!$B$17)</f>
        <v>45741.932105863954</v>
      </c>
      <c r="F46" s="149">
        <f>IF(A46="","",N45*Inputs!$B$17)</f>
        <v>0</v>
      </c>
      <c r="G46" s="149">
        <f>IF(A46="","",IF(A46&lt;=Inputs!$B$15,INDEX(Caso1_Normal!$H$4:$H$89,A46),0))</f>
        <v>65272.889770904527</v>
      </c>
      <c r="H46" s="149">
        <f>IF(A46="","",IF(A46=Inputs!$C$60,Inputs!$C$59*(Inputs!$B$20+U46),MIN(Inputs!$B$20+U46,D46+L45+F46+M45+E46+W45+U46)))</f>
        <v>69619.59767378433</v>
      </c>
      <c r="I46" s="149">
        <f t="shared" si="14"/>
        <v>0</v>
      </c>
      <c r="J46" s="149">
        <f t="shared" si="15"/>
        <v>45741.932105863954</v>
      </c>
      <c r="K46" s="149">
        <f t="shared" si="9"/>
        <v>0</v>
      </c>
      <c r="L46" s="149">
        <f t="shared" si="16"/>
        <v>0</v>
      </c>
      <c r="M46" s="149">
        <f t="shared" si="17"/>
        <v>0</v>
      </c>
      <c r="N46" s="149">
        <f t="shared" si="18"/>
        <v>65272.889770904527</v>
      </c>
      <c r="O46" s="149">
        <f t="shared" si="19"/>
        <v>3701573.6220031069</v>
      </c>
      <c r="P46" s="149">
        <f t="shared" si="20"/>
        <v>3766846.5117740114</v>
      </c>
      <c r="Q46" s="163" t="str">
        <f t="shared" si="21"/>
        <v>En mora</v>
      </c>
      <c r="R46" s="149">
        <f>IF($A46="","",IF($A46&lt;=Inputs!$B$15,Inputs!$B$28,0))</f>
        <v>48643.172307692315</v>
      </c>
      <c r="S46" s="149">
        <f>IF($A46="","",IF($A46&lt;=Inputs!$B$15,Inputs!$B$29,0))</f>
        <v>10984.615384615387</v>
      </c>
      <c r="T46" s="149">
        <f>IF($A46="","",IF($A46&lt;=Inputs!$B$15,Inputs!$B$30,0))</f>
        <v>3406.3846153846157</v>
      </c>
      <c r="U46" s="149">
        <f t="shared" si="10"/>
        <v>63034.172307692315</v>
      </c>
      <c r="V46" s="149">
        <f t="shared" si="11"/>
        <v>23877.665567920376</v>
      </c>
      <c r="W46" s="149">
        <f t="shared" si="12"/>
        <v>39156.506739771939</v>
      </c>
      <c r="X46" s="149">
        <f>IF($B46="","",IF(OR($B47="",ROUNDUP(($A46+1)/Inputs!$B$14,0)&gt;$B46),SUMIF($B$4:$B46,$B46,R$4:R46),0))</f>
        <v>194572.68923076926</v>
      </c>
      <c r="Y46" s="149">
        <f>IF($B46="","",IF(OR($B47="",ROUNDUP(($A46+1)/Inputs!$B$14,0)&gt;$B46),SUMIF($B$4:$B46,$B46,S$4:S46),0))</f>
        <v>43938.461538461546</v>
      </c>
      <c r="Z46" s="149">
        <f>IF($B46="","",IF(OR($B47="",ROUNDUP(($A46+1)/Inputs!$B$14,0)&gt;$B46),SUMIF($B$4:$B46,$B46,T$4:T46),0))</f>
        <v>13625.538461538463</v>
      </c>
      <c r="AA46" s="18"/>
      <c r="AB46" s="18"/>
      <c r="AC46" s="18"/>
      <c r="AD46" s="18"/>
      <c r="AE46" s="18"/>
      <c r="AF46" s="18"/>
      <c r="AG46" s="18"/>
      <c r="AH46" s="18"/>
    </row>
    <row r="47" spans="1:34" ht="18" customHeight="1">
      <c r="A47" s="157">
        <f>IF(A46="","",IF(AND(A46&gt;=Inputs!$B$15,P46+L46+M46+W46&lt;=0.005),"",IF(A46&gt;=Inputs!$C$61,"",A46+1)))</f>
        <v>44</v>
      </c>
      <c r="B47" s="77">
        <f>IF(A47="","",ROUNDUP(A47/Inputs!$B$14,0))</f>
        <v>11</v>
      </c>
      <c r="C47" s="160" t="str">
        <f>IF(A47="","",IF(A47=Inputs!$C$60,"Pago inferior",IF(A47&gt;Inputs!$B$15,"Periodo adicional",IF(N46+L46+M46+W46&gt;0,"Pago normal - aplica vencidos","Pago normal"))))</f>
        <v>Pago normal - aplica vencidos</v>
      </c>
      <c r="D47" s="149">
        <f t="shared" si="13"/>
        <v>3766846.5117740114</v>
      </c>
      <c r="E47" s="149">
        <f>IF(A47="","",D47*Inputs!$B$17)</f>
        <v>45741.932105863954</v>
      </c>
      <c r="F47" s="149">
        <f>IF(A47="","",N46*Inputs!$B$17)</f>
        <v>792.62801999546446</v>
      </c>
      <c r="G47" s="149">
        <f>IF(A47="","",IF(A47&lt;=Inputs!$B$15,INDEX(Caso1_Normal!$H$4:$H$89,A47),0))</f>
        <v>66065.51779089999</v>
      </c>
      <c r="H47" s="149">
        <f>IF(A47="","",IF(A47=Inputs!$C$60,Inputs!$C$59*(Inputs!$B$20+U47),MIN(Inputs!$B$20+U47,D47+L46+F47+M46+E47+W46+U47)))</f>
        <v>174048.99418446081</v>
      </c>
      <c r="I47" s="149">
        <f t="shared" si="14"/>
        <v>792.62801999546446</v>
      </c>
      <c r="J47" s="149">
        <f t="shared" si="15"/>
        <v>45741.932105863954</v>
      </c>
      <c r="K47" s="149">
        <f t="shared" si="9"/>
        <v>25323.755011137138</v>
      </c>
      <c r="L47" s="149">
        <f t="shared" si="16"/>
        <v>0</v>
      </c>
      <c r="M47" s="149">
        <f t="shared" si="17"/>
        <v>0</v>
      </c>
      <c r="N47" s="149">
        <f t="shared" si="18"/>
        <v>106014.65255066738</v>
      </c>
      <c r="O47" s="149">
        <f t="shared" si="19"/>
        <v>3635508.1042122068</v>
      </c>
      <c r="P47" s="149">
        <f t="shared" si="20"/>
        <v>3741522.7567628743</v>
      </c>
      <c r="Q47" s="163" t="str">
        <f t="shared" si="21"/>
        <v>En mora</v>
      </c>
      <c r="R47" s="149">
        <f>IF($A47="","",IF($A47&lt;=Inputs!$B$15,Inputs!$B$28,0))</f>
        <v>48643.172307692315</v>
      </c>
      <c r="S47" s="149">
        <f>IF($A47="","",IF($A47&lt;=Inputs!$B$15,Inputs!$B$29,0))</f>
        <v>10984.615384615387</v>
      </c>
      <c r="T47" s="149">
        <f>IF($A47="","",IF($A47&lt;=Inputs!$B$15,Inputs!$B$30,0))</f>
        <v>3406.3846153846157</v>
      </c>
      <c r="U47" s="149">
        <f t="shared" si="10"/>
        <v>63034.172307692315</v>
      </c>
      <c r="V47" s="149">
        <f t="shared" si="11"/>
        <v>102190.67904746425</v>
      </c>
      <c r="W47" s="149">
        <f t="shared" si="12"/>
        <v>0</v>
      </c>
      <c r="X47" s="149">
        <f>IF($B47="","",IF(OR($B48="",ROUNDUP(($A47+1)/Inputs!$B$14,0)&gt;$B47),SUMIF($B$4:$B47,$B47,R$4:R47),0))</f>
        <v>0</v>
      </c>
      <c r="Y47" s="149">
        <f>IF($B47="","",IF(OR($B48="",ROUNDUP(($A47+1)/Inputs!$B$14,0)&gt;$B47),SUMIF($B$4:$B47,$B47,S$4:S47),0))</f>
        <v>0</v>
      </c>
      <c r="Z47" s="149">
        <f>IF($B47="","",IF(OR($B48="",ROUNDUP(($A47+1)/Inputs!$B$14,0)&gt;$B47),SUMIF($B$4:$B47,$B47,T$4:T47),0))</f>
        <v>0</v>
      </c>
      <c r="AA47" s="18"/>
      <c r="AB47" s="18"/>
      <c r="AC47" s="18"/>
      <c r="AD47" s="18"/>
      <c r="AE47" s="18"/>
      <c r="AF47" s="18"/>
      <c r="AG47" s="18"/>
      <c r="AH47" s="18"/>
    </row>
    <row r="48" spans="1:34" ht="18" customHeight="1">
      <c r="A48" s="157">
        <f>IF(A47="","",IF(AND(A47&gt;=Inputs!$B$15,P47+L47+M47+W47&lt;=0.005),"",IF(A47&gt;=Inputs!$C$61,"",A47+1)))</f>
        <v>45</v>
      </c>
      <c r="B48" s="77">
        <f>IF(A48="","",ROUNDUP(A48/Inputs!$B$14,0))</f>
        <v>11</v>
      </c>
      <c r="C48" s="160" t="str">
        <f>IF(A48="","",IF(A48=Inputs!$C$60,"Pago inferior",IF(A48&gt;Inputs!$B$15,"Periodo adicional",IF(N47+L47+M47+W47&gt;0,"Pago normal - aplica vencidos","Pago normal"))))</f>
        <v>Pago normal - aplica vencidos</v>
      </c>
      <c r="D48" s="149">
        <f t="shared" si="13"/>
        <v>3741522.7567628743</v>
      </c>
      <c r="E48" s="149">
        <f>IF(A48="","",D48*Inputs!$B$17)</f>
        <v>45434.418253424177</v>
      </c>
      <c r="F48" s="149">
        <f>IF(A48="","",N47*Inputs!$B$17)</f>
        <v>1287.3673042004516</v>
      </c>
      <c r="G48" s="149">
        <f>IF(A48="","",IF(A48&lt;=Inputs!$B$15,INDEX(Caso1_Normal!$H$4:$H$89,A48),0))</f>
        <v>66867.770927544756</v>
      </c>
      <c r="H48" s="149">
        <f>IF(A48="","",IF(A48=Inputs!$C$60,Inputs!$C$59*(Inputs!$B$20+U48),MIN(Inputs!$B$20+U48,D48+L47+F48+M47+E48+W47+U48)))</f>
        <v>174048.99418446081</v>
      </c>
      <c r="I48" s="149">
        <f t="shared" si="14"/>
        <v>1287.3673042004516</v>
      </c>
      <c r="J48" s="149">
        <f t="shared" si="15"/>
        <v>45434.418253424177</v>
      </c>
      <c r="K48" s="149">
        <f t="shared" si="9"/>
        <v>64293.036319143874</v>
      </c>
      <c r="L48" s="149">
        <f t="shared" si="16"/>
        <v>0</v>
      </c>
      <c r="M48" s="149">
        <f t="shared" si="17"/>
        <v>0</v>
      </c>
      <c r="N48" s="149">
        <f t="shared" si="18"/>
        <v>108589.38715906828</v>
      </c>
      <c r="O48" s="149">
        <f t="shared" si="19"/>
        <v>3568640.3332846621</v>
      </c>
      <c r="P48" s="149">
        <f t="shared" si="20"/>
        <v>3677229.7204437302</v>
      </c>
      <c r="Q48" s="163" t="str">
        <f t="shared" si="21"/>
        <v>En mora</v>
      </c>
      <c r="R48" s="149">
        <f>IF($A48="","",IF($A48&lt;=Inputs!$B$15,Inputs!$B$28,0))</f>
        <v>48643.172307692315</v>
      </c>
      <c r="S48" s="149">
        <f>IF($A48="","",IF($A48&lt;=Inputs!$B$15,Inputs!$B$29,0))</f>
        <v>10984.615384615387</v>
      </c>
      <c r="T48" s="149">
        <f>IF($A48="","",IF($A48&lt;=Inputs!$B$15,Inputs!$B$30,0))</f>
        <v>3406.3846153846157</v>
      </c>
      <c r="U48" s="149">
        <f t="shared" si="10"/>
        <v>63034.172307692315</v>
      </c>
      <c r="V48" s="149">
        <f t="shared" si="11"/>
        <v>63034.172307692315</v>
      </c>
      <c r="W48" s="149">
        <f t="shared" si="12"/>
        <v>0</v>
      </c>
      <c r="X48" s="149">
        <f>IF($B48="","",IF(OR($B49="",ROUNDUP(($A48+1)/Inputs!$B$14,0)&gt;$B48),SUMIF($B$4:$B48,$B48,R$4:R48),0))</f>
        <v>0</v>
      </c>
      <c r="Y48" s="149">
        <f>IF($B48="","",IF(OR($B49="",ROUNDUP(($A48+1)/Inputs!$B$14,0)&gt;$B48),SUMIF($B$4:$B48,$B48,S$4:S48),0))</f>
        <v>0</v>
      </c>
      <c r="Z48" s="149">
        <f>IF($B48="","",IF(OR($B49="",ROUNDUP(($A48+1)/Inputs!$B$14,0)&gt;$B48),SUMIF($B$4:$B48,$B48,T$4:T48),0))</f>
        <v>0</v>
      </c>
      <c r="AA48" s="18"/>
      <c r="AB48" s="18"/>
      <c r="AC48" s="18"/>
      <c r="AD48" s="18"/>
      <c r="AE48" s="18"/>
      <c r="AF48" s="18"/>
      <c r="AG48" s="18"/>
      <c r="AH48" s="18"/>
    </row>
    <row r="49" spans="1:34" ht="18" customHeight="1">
      <c r="A49" s="157">
        <f>IF(A48="","",IF(AND(A48&gt;=Inputs!$B$15,P48+L48+M48+W48&lt;=0.005),"",IF(A48&gt;=Inputs!$C$61,"",A48+1)))</f>
        <v>46</v>
      </c>
      <c r="B49" s="77">
        <f>IF(A49="","",ROUNDUP(A49/Inputs!$B$14,0))</f>
        <v>11</v>
      </c>
      <c r="C49" s="160" t="str">
        <f>IF(A49="","",IF(A49=Inputs!$C$60,"Pago inferior",IF(A49&gt;Inputs!$B$15,"Periodo adicional",IF(N48+L48+M48+W48&gt;0,"Pago normal - aplica vencidos","Pago normal"))))</f>
        <v>Pago normal - aplica vencidos</v>
      </c>
      <c r="D49" s="149">
        <f t="shared" si="13"/>
        <v>3677229.7204437302</v>
      </c>
      <c r="E49" s="149">
        <f>IF(A49="","",D49*Inputs!$B$17)</f>
        <v>44653.688883911025</v>
      </c>
      <c r="F49" s="149">
        <f>IF(A49="","",N48*Inputs!$B$17)</f>
        <v>1318.6330686216907</v>
      </c>
      <c r="G49" s="149">
        <f>IF(A49="","",IF(A49&lt;=Inputs!$B$15,INDEX(Caso1_Normal!$H$4:$H$89,A49),0))</f>
        <v>67679.766061479138</v>
      </c>
      <c r="H49" s="149">
        <f>IF(A49="","",IF(A49=Inputs!$C$60,Inputs!$C$59*(Inputs!$B$20+U49),MIN(Inputs!$B$20+U49,D49+L48+F49+M48+E49+W48+U49)))</f>
        <v>174048.99418446081</v>
      </c>
      <c r="I49" s="149">
        <f t="shared" si="14"/>
        <v>1318.6330686216907</v>
      </c>
      <c r="J49" s="149">
        <f t="shared" si="15"/>
        <v>44653.688883911025</v>
      </c>
      <c r="K49" s="149">
        <f t="shared" si="9"/>
        <v>65042.499924235781</v>
      </c>
      <c r="L49" s="149">
        <f t="shared" si="16"/>
        <v>0</v>
      </c>
      <c r="M49" s="149">
        <f t="shared" si="17"/>
        <v>0</v>
      </c>
      <c r="N49" s="149">
        <f t="shared" si="18"/>
        <v>111226.65329631165</v>
      </c>
      <c r="O49" s="149">
        <f t="shared" si="19"/>
        <v>3500960.5672231824</v>
      </c>
      <c r="P49" s="149">
        <f t="shared" si="20"/>
        <v>3612187.2205194943</v>
      </c>
      <c r="Q49" s="163" t="str">
        <f t="shared" si="21"/>
        <v>En mora</v>
      </c>
      <c r="R49" s="149">
        <f>IF($A49="","",IF($A49&lt;=Inputs!$B$15,Inputs!$B$28,0))</f>
        <v>48643.172307692315</v>
      </c>
      <c r="S49" s="149">
        <f>IF($A49="","",IF($A49&lt;=Inputs!$B$15,Inputs!$B$29,0))</f>
        <v>10984.615384615387</v>
      </c>
      <c r="T49" s="149">
        <f>IF($A49="","",IF($A49&lt;=Inputs!$B$15,Inputs!$B$30,0))</f>
        <v>3406.3846153846157</v>
      </c>
      <c r="U49" s="149">
        <f t="shared" si="10"/>
        <v>63034.172307692315</v>
      </c>
      <c r="V49" s="149">
        <f t="shared" si="11"/>
        <v>63034.172307692315</v>
      </c>
      <c r="W49" s="149">
        <f t="shared" si="12"/>
        <v>0</v>
      </c>
      <c r="X49" s="149">
        <f>IF($B49="","",IF(OR($B50="",ROUNDUP(($A49+1)/Inputs!$B$14,0)&gt;$B49),SUMIF($B$4:$B49,$B49,R$4:R49),0))</f>
        <v>0</v>
      </c>
      <c r="Y49" s="149">
        <f>IF($B49="","",IF(OR($B50="",ROUNDUP(($A49+1)/Inputs!$B$14,0)&gt;$B49),SUMIF($B$4:$B49,$B49,S$4:S49),0))</f>
        <v>0</v>
      </c>
      <c r="Z49" s="149">
        <f>IF($B49="","",IF(OR($B50="",ROUNDUP(($A49+1)/Inputs!$B$14,0)&gt;$B49),SUMIF($B$4:$B49,$B49,T$4:T49),0))</f>
        <v>0</v>
      </c>
      <c r="AA49" s="18"/>
      <c r="AB49" s="18"/>
      <c r="AC49" s="18"/>
      <c r="AD49" s="18"/>
      <c r="AE49" s="18"/>
      <c r="AF49" s="18"/>
      <c r="AG49" s="18"/>
      <c r="AH49" s="18"/>
    </row>
    <row r="50" spans="1:34" ht="18" customHeight="1">
      <c r="A50" s="157">
        <f>IF(A49="","",IF(AND(A49&gt;=Inputs!$B$15,P49+L49+M49+W49&lt;=0.005),"",IF(A49&gt;=Inputs!$C$61,"",A49+1)))</f>
        <v>47</v>
      </c>
      <c r="B50" s="77">
        <f>IF(A50="","",ROUNDUP(A50/Inputs!$B$14,0))</f>
        <v>11</v>
      </c>
      <c r="C50" s="160" t="str">
        <f>IF(A50="","",IF(A50=Inputs!$C$60,"Pago inferior",IF(A50&gt;Inputs!$B$15,"Periodo adicional",IF(N49+L49+M49+W49&gt;0,"Pago normal - aplica vencidos","Pago normal"))))</f>
        <v>Pago normal - aplica vencidos</v>
      </c>
      <c r="D50" s="149">
        <f t="shared" si="13"/>
        <v>3612187.2205194943</v>
      </c>
      <c r="E50" s="149">
        <f>IF(A50="","",D50*Inputs!$B$17)</f>
        <v>43863.858556014573</v>
      </c>
      <c r="F50" s="149">
        <f>IF(A50="","",N49*Inputs!$B$17)</f>
        <v>1350.6581719057815</v>
      </c>
      <c r="G50" s="149">
        <f>IF(A50="","",IF(A50&lt;=Inputs!$B$15,INDEX(Caso1_Normal!$H$4:$H$89,A50),0))</f>
        <v>68501.621492659673</v>
      </c>
      <c r="H50" s="149">
        <f>IF(A50="","",IF(A50=Inputs!$C$60,Inputs!$C$59*(Inputs!$B$20+U50),MIN(Inputs!$B$20+U50,D50+L49+F50+M49+E50+W49+U50)))</f>
        <v>174048.99418446081</v>
      </c>
      <c r="I50" s="149">
        <f t="shared" si="14"/>
        <v>1350.6581719057815</v>
      </c>
      <c r="J50" s="149">
        <f t="shared" si="15"/>
        <v>43863.858556014573</v>
      </c>
      <c r="K50" s="149">
        <f t="shared" si="9"/>
        <v>65800.305148848129</v>
      </c>
      <c r="L50" s="149">
        <f t="shared" si="16"/>
        <v>0</v>
      </c>
      <c r="M50" s="149">
        <f t="shared" si="17"/>
        <v>0</v>
      </c>
      <c r="N50" s="149">
        <f t="shared" si="18"/>
        <v>113927.96964012319</v>
      </c>
      <c r="O50" s="149">
        <f t="shared" si="19"/>
        <v>3432458.9457305227</v>
      </c>
      <c r="P50" s="149">
        <f t="shared" si="20"/>
        <v>3546386.9153706459</v>
      </c>
      <c r="Q50" s="163" t="str">
        <f t="shared" si="21"/>
        <v>En mora</v>
      </c>
      <c r="R50" s="149">
        <f>IF($A50="","",IF($A50&lt;=Inputs!$B$15,Inputs!$B$28,0))</f>
        <v>48643.172307692315</v>
      </c>
      <c r="S50" s="149">
        <f>IF($A50="","",IF($A50&lt;=Inputs!$B$15,Inputs!$B$29,0))</f>
        <v>10984.615384615387</v>
      </c>
      <c r="T50" s="149">
        <f>IF($A50="","",IF($A50&lt;=Inputs!$B$15,Inputs!$B$30,0))</f>
        <v>3406.3846153846157</v>
      </c>
      <c r="U50" s="149">
        <f t="shared" si="10"/>
        <v>63034.172307692315</v>
      </c>
      <c r="V50" s="149">
        <f t="shared" si="11"/>
        <v>63034.172307692315</v>
      </c>
      <c r="W50" s="149">
        <f t="shared" si="12"/>
        <v>0</v>
      </c>
      <c r="X50" s="149">
        <f>IF($B50="","",IF(OR($B51="",ROUNDUP(($A50+1)/Inputs!$B$14,0)&gt;$B50),SUMIF($B$4:$B50,$B50,R$4:R50),0))</f>
        <v>194572.68923076926</v>
      </c>
      <c r="Y50" s="149">
        <f>IF($B50="","",IF(OR($B51="",ROUNDUP(($A50+1)/Inputs!$B$14,0)&gt;$B50),SUMIF($B$4:$B50,$B50,S$4:S50),0))</f>
        <v>43938.461538461546</v>
      </c>
      <c r="Z50" s="149">
        <f>IF($B50="","",IF(OR($B51="",ROUNDUP(($A50+1)/Inputs!$B$14,0)&gt;$B50),SUMIF($B$4:$B50,$B50,T$4:T50),0))</f>
        <v>13625.538461538463</v>
      </c>
      <c r="AA50" s="18"/>
      <c r="AB50" s="18"/>
      <c r="AC50" s="18"/>
      <c r="AD50" s="18"/>
      <c r="AE50" s="18"/>
      <c r="AF50" s="18"/>
      <c r="AG50" s="18"/>
      <c r="AH50" s="18"/>
    </row>
    <row r="51" spans="1:34" ht="18" customHeight="1">
      <c r="A51" s="157">
        <f>IF(A50="","",IF(AND(A50&gt;=Inputs!$B$15,P50+L50+M50+W50&lt;=0.005),"",IF(A50&gt;=Inputs!$C$61,"",A50+1)))</f>
        <v>48</v>
      </c>
      <c r="B51" s="77">
        <f>IF(A51="","",ROUNDUP(A51/Inputs!$B$14,0))</f>
        <v>12</v>
      </c>
      <c r="C51" s="160" t="str">
        <f>IF(A51="","",IF(A51=Inputs!$C$60,"Pago inferior",IF(A51&gt;Inputs!$B$15,"Periodo adicional",IF(N50+L50+M50+W50&gt;0,"Pago normal - aplica vencidos","Pago normal"))))</f>
        <v>Pago normal - aplica vencidos</v>
      </c>
      <c r="D51" s="149">
        <f t="shared" si="13"/>
        <v>3546386.9153706459</v>
      </c>
      <c r="E51" s="149">
        <f>IF(A51="","",D51*Inputs!$B$17)</f>
        <v>43064.825974980035</v>
      </c>
      <c r="F51" s="149">
        <f>IF(A51="","",N50*Inputs!$B$17)</f>
        <v>1383.4610558058469</v>
      </c>
      <c r="G51" s="149">
        <f>IF(A51="","",IF(A51&lt;=Inputs!$B$15,INDEX(Caso1_Normal!$H$4:$H$89,A51),0))</f>
        <v>69333.456957594288</v>
      </c>
      <c r="H51" s="149">
        <f>IF(A51="","",IF(A51=Inputs!$C$60,Inputs!$C$59*(Inputs!$B$20+U51),MIN(Inputs!$B$20+U51,D51+L50+F51+M50+E51+W50+U51)))</f>
        <v>174048.99418446081</v>
      </c>
      <c r="I51" s="149">
        <f t="shared" si="14"/>
        <v>1383.4610558058469</v>
      </c>
      <c r="J51" s="149">
        <f t="shared" si="15"/>
        <v>43064.825974980035</v>
      </c>
      <c r="K51" s="149">
        <f t="shared" si="9"/>
        <v>66566.53484598262</v>
      </c>
      <c r="L51" s="149">
        <f t="shared" si="16"/>
        <v>0</v>
      </c>
      <c r="M51" s="149">
        <f t="shared" si="17"/>
        <v>0</v>
      </c>
      <c r="N51" s="149">
        <f t="shared" si="18"/>
        <v>116694.89175173486</v>
      </c>
      <c r="O51" s="149">
        <f t="shared" si="19"/>
        <v>3363125.4887729282</v>
      </c>
      <c r="P51" s="149">
        <f t="shared" si="20"/>
        <v>3479820.3805246633</v>
      </c>
      <c r="Q51" s="163" t="str">
        <f t="shared" si="21"/>
        <v>En mora</v>
      </c>
      <c r="R51" s="149">
        <f>IF($A51="","",IF($A51&lt;=Inputs!$B$15,Inputs!$B$28,0))</f>
        <v>48643.172307692315</v>
      </c>
      <c r="S51" s="149">
        <f>IF($A51="","",IF($A51&lt;=Inputs!$B$15,Inputs!$B$29,0))</f>
        <v>10984.615384615387</v>
      </c>
      <c r="T51" s="149">
        <f>IF($A51="","",IF($A51&lt;=Inputs!$B$15,Inputs!$B$30,0))</f>
        <v>3406.3846153846157</v>
      </c>
      <c r="U51" s="149">
        <f t="shared" si="10"/>
        <v>63034.172307692315</v>
      </c>
      <c r="V51" s="149">
        <f t="shared" si="11"/>
        <v>63034.172307692315</v>
      </c>
      <c r="W51" s="149">
        <f t="shared" si="12"/>
        <v>0</v>
      </c>
      <c r="X51" s="149">
        <f>IF($B51="","",IF(OR($B52="",ROUNDUP(($A51+1)/Inputs!$B$14,0)&gt;$B51),SUMIF($B$4:$B51,$B51,R$4:R51),0))</f>
        <v>0</v>
      </c>
      <c r="Y51" s="149">
        <f>IF($B51="","",IF(OR($B52="",ROUNDUP(($A51+1)/Inputs!$B$14,0)&gt;$B51),SUMIF($B$4:$B51,$B51,S$4:S51),0))</f>
        <v>0</v>
      </c>
      <c r="Z51" s="149">
        <f>IF($B51="","",IF(OR($B52="",ROUNDUP(($A51+1)/Inputs!$B$14,0)&gt;$B51),SUMIF($B$4:$B51,$B51,T$4:T51),0))</f>
        <v>0</v>
      </c>
      <c r="AA51" s="18"/>
      <c r="AB51" s="18"/>
      <c r="AC51" s="18"/>
      <c r="AD51" s="18"/>
      <c r="AE51" s="18"/>
      <c r="AF51" s="18"/>
      <c r="AG51" s="18"/>
      <c r="AH51" s="18"/>
    </row>
    <row r="52" spans="1:34" ht="18" customHeight="1">
      <c r="A52" s="157">
        <f>IF(A51="","",IF(AND(A51&gt;=Inputs!$B$15,P51+L51+M51+W51&lt;=0.005),"",IF(A51&gt;=Inputs!$C$61,"",A51+1)))</f>
        <v>49</v>
      </c>
      <c r="B52" s="77">
        <f>IF(A52="","",ROUNDUP(A52/Inputs!$B$14,0))</f>
        <v>12</v>
      </c>
      <c r="C52" s="160" t="str">
        <f>IF(A52="","",IF(A52=Inputs!$C$60,"Pago inferior",IF(A52&gt;Inputs!$B$15,"Periodo adicional",IF(N51+L51+M51+W51&gt;0,"Pago normal - aplica vencidos","Pago normal"))))</f>
        <v>Pago normal - aplica vencidos</v>
      </c>
      <c r="D52" s="149">
        <f t="shared" si="13"/>
        <v>3479820.3805246633</v>
      </c>
      <c r="E52" s="149">
        <f>IF(A52="","",D52*Inputs!$B$17)</f>
        <v>42256.488839944082</v>
      </c>
      <c r="F52" s="149">
        <f>IF(A52="","",N51*Inputs!$B$17)</f>
        <v>1417.0606099623417</v>
      </c>
      <c r="G52" s="149">
        <f>IF(A52="","",IF(A52&lt;=Inputs!$B$15,INDEX(Caso1_Normal!$H$4:$H$89,A52),0))</f>
        <v>70175.393646786732</v>
      </c>
      <c r="H52" s="149">
        <f>IF(A52="","",IF(A52=Inputs!$C$60,Inputs!$C$59*(Inputs!$B$20+U52),MIN(Inputs!$B$20+U52,D52+L51+F52+M51+E52+W51+U52)))</f>
        <v>174048.99418446081</v>
      </c>
      <c r="I52" s="149">
        <f t="shared" si="14"/>
        <v>1417.0606099623417</v>
      </c>
      <c r="J52" s="149">
        <f t="shared" si="15"/>
        <v>42256.488839944082</v>
      </c>
      <c r="K52" s="149">
        <f t="shared" si="9"/>
        <v>67341.272426862066</v>
      </c>
      <c r="L52" s="149">
        <f t="shared" si="16"/>
        <v>0</v>
      </c>
      <c r="M52" s="149">
        <f t="shared" si="17"/>
        <v>0</v>
      </c>
      <c r="N52" s="149">
        <f t="shared" si="18"/>
        <v>119529.01297165951</v>
      </c>
      <c r="O52" s="149">
        <f t="shared" si="19"/>
        <v>3292950.0951261413</v>
      </c>
      <c r="P52" s="149">
        <f t="shared" si="20"/>
        <v>3412479.108097801</v>
      </c>
      <c r="Q52" s="163" t="str">
        <f t="shared" si="21"/>
        <v>En mora</v>
      </c>
      <c r="R52" s="149">
        <f>IF($A52="","",IF($A52&lt;=Inputs!$B$15,Inputs!$B$28,0))</f>
        <v>48643.172307692315</v>
      </c>
      <c r="S52" s="149">
        <f>IF($A52="","",IF($A52&lt;=Inputs!$B$15,Inputs!$B$29,0))</f>
        <v>10984.615384615387</v>
      </c>
      <c r="T52" s="149">
        <f>IF($A52="","",IF($A52&lt;=Inputs!$B$15,Inputs!$B$30,0))</f>
        <v>3406.3846153846157</v>
      </c>
      <c r="U52" s="149">
        <f t="shared" si="10"/>
        <v>63034.172307692315</v>
      </c>
      <c r="V52" s="149">
        <f t="shared" si="11"/>
        <v>63034.172307692315</v>
      </c>
      <c r="W52" s="149">
        <f t="shared" si="12"/>
        <v>0</v>
      </c>
      <c r="X52" s="149">
        <f>IF($B52="","",IF(OR($B53="",ROUNDUP(($A52+1)/Inputs!$B$14,0)&gt;$B52),SUMIF($B$4:$B52,$B52,R$4:R52),0))</f>
        <v>0</v>
      </c>
      <c r="Y52" s="149">
        <f>IF($B52="","",IF(OR($B53="",ROUNDUP(($A52+1)/Inputs!$B$14,0)&gt;$B52),SUMIF($B$4:$B52,$B52,S$4:S52),0))</f>
        <v>0</v>
      </c>
      <c r="Z52" s="149">
        <f>IF($B52="","",IF(OR($B53="",ROUNDUP(($A52+1)/Inputs!$B$14,0)&gt;$B52),SUMIF($B$4:$B52,$B52,T$4:T52),0))</f>
        <v>0</v>
      </c>
      <c r="AA52" s="18"/>
      <c r="AB52" s="18"/>
      <c r="AC52" s="18"/>
      <c r="AD52" s="18"/>
      <c r="AE52" s="18"/>
      <c r="AF52" s="18"/>
      <c r="AG52" s="18"/>
      <c r="AH52" s="18"/>
    </row>
    <row r="53" spans="1:34" ht="18" customHeight="1">
      <c r="A53" s="157">
        <f>IF(A52="","",IF(AND(A52&gt;=Inputs!$B$15,P52+L52+M52+W52&lt;=0.005),"",IF(A52&gt;=Inputs!$C$61,"",A52+1)))</f>
        <v>50</v>
      </c>
      <c r="B53" s="77">
        <f>IF(A53="","",ROUNDUP(A53/Inputs!$B$14,0))</f>
        <v>12</v>
      </c>
      <c r="C53" s="160" t="str">
        <f>IF(A53="","",IF(A53=Inputs!$C$60,"Pago inferior",IF(A53&gt;Inputs!$B$15,"Periodo adicional",IF(N52+L52+M52+W52&gt;0,"Pago normal - aplica vencidos","Pago normal"))))</f>
        <v>Pago normal - aplica vencidos</v>
      </c>
      <c r="D53" s="149">
        <f t="shared" si="13"/>
        <v>3412479.108097801</v>
      </c>
      <c r="E53" s="149">
        <f>IF(A53="","",D53*Inputs!$B$17)</f>
        <v>41438.743837156238</v>
      </c>
      <c r="F53" s="149">
        <f>IF(A53="","",N52*Inputs!$B$17)</f>
        <v>1451.4761827807117</v>
      </c>
      <c r="G53" s="149">
        <f>IF(A53="","",IF(A53&lt;=Inputs!$B$15,INDEX(Caso1_Normal!$H$4:$H$89,A53),0))</f>
        <v>71027.554222392937</v>
      </c>
      <c r="H53" s="149">
        <f>IF(A53="","",IF(A53=Inputs!$C$60,Inputs!$C$59*(Inputs!$B$20+U53),MIN(Inputs!$B$20+U53,D53+L52+F53+M52+E53+W52+U53)))</f>
        <v>174048.99418446081</v>
      </c>
      <c r="I53" s="149">
        <f t="shared" si="14"/>
        <v>1451.4761827807117</v>
      </c>
      <c r="J53" s="149">
        <f t="shared" si="15"/>
        <v>41438.743837156238</v>
      </c>
      <c r="K53" s="149">
        <f t="shared" si="9"/>
        <v>68124.601856831519</v>
      </c>
      <c r="L53" s="149">
        <f t="shared" si="16"/>
        <v>0</v>
      </c>
      <c r="M53" s="149">
        <f t="shared" si="17"/>
        <v>0</v>
      </c>
      <c r="N53" s="149">
        <f t="shared" si="18"/>
        <v>122431.96533722093</v>
      </c>
      <c r="O53" s="149">
        <f t="shared" si="19"/>
        <v>3221922.5409037485</v>
      </c>
      <c r="P53" s="149">
        <f t="shared" si="20"/>
        <v>3344354.5062409695</v>
      </c>
      <c r="Q53" s="163" t="str">
        <f t="shared" si="21"/>
        <v>En mora</v>
      </c>
      <c r="R53" s="149">
        <f>IF($A53="","",IF($A53&lt;=Inputs!$B$15,Inputs!$B$28,0))</f>
        <v>48643.172307692315</v>
      </c>
      <c r="S53" s="149">
        <f>IF($A53="","",IF($A53&lt;=Inputs!$B$15,Inputs!$B$29,0))</f>
        <v>10984.615384615387</v>
      </c>
      <c r="T53" s="149">
        <f>IF($A53="","",IF($A53&lt;=Inputs!$B$15,Inputs!$B$30,0))</f>
        <v>3406.3846153846157</v>
      </c>
      <c r="U53" s="149">
        <f t="shared" si="10"/>
        <v>63034.172307692315</v>
      </c>
      <c r="V53" s="149">
        <f t="shared" si="11"/>
        <v>63034.172307692315</v>
      </c>
      <c r="W53" s="149">
        <f t="shared" si="12"/>
        <v>0</v>
      </c>
      <c r="X53" s="149">
        <f>IF($B53="","",IF(OR($B54="",ROUNDUP(($A53+1)/Inputs!$B$14,0)&gt;$B53),SUMIF($B$4:$B53,$B53,R$4:R53),0))</f>
        <v>0</v>
      </c>
      <c r="Y53" s="149">
        <f>IF($B53="","",IF(OR($B54="",ROUNDUP(($A53+1)/Inputs!$B$14,0)&gt;$B53),SUMIF($B$4:$B53,$B53,S$4:S53),0))</f>
        <v>0</v>
      </c>
      <c r="Z53" s="149">
        <f>IF($B53="","",IF(OR($B54="",ROUNDUP(($A53+1)/Inputs!$B$14,0)&gt;$B53),SUMIF($B$4:$B53,$B53,T$4:T53),0))</f>
        <v>0</v>
      </c>
      <c r="AA53" s="18"/>
      <c r="AB53" s="18"/>
      <c r="AC53" s="18"/>
      <c r="AD53" s="18"/>
      <c r="AE53" s="18"/>
      <c r="AF53" s="18"/>
      <c r="AG53" s="18"/>
      <c r="AH53" s="18"/>
    </row>
    <row r="54" spans="1:34" ht="18" customHeight="1">
      <c r="A54" s="157">
        <f>IF(A53="","",IF(AND(A53&gt;=Inputs!$B$15,P53+L53+M53+W53&lt;=0.005),"",IF(A53&gt;=Inputs!$C$61,"",A53+1)))</f>
        <v>51</v>
      </c>
      <c r="B54" s="77">
        <f>IF(A54="","",ROUNDUP(A54/Inputs!$B$14,0))</f>
        <v>12</v>
      </c>
      <c r="C54" s="160" t="str">
        <f>IF(A54="","",IF(A54=Inputs!$C$60,"Pago inferior",IF(A54&gt;Inputs!$B$15,"Periodo adicional",IF(N53+L53+M53+W53&gt;0,"Pago normal - aplica vencidos","Pago normal"))))</f>
        <v>Pago normal - aplica vencidos</v>
      </c>
      <c r="D54" s="149">
        <f t="shared" si="13"/>
        <v>3344354.5062409695</v>
      </c>
      <c r="E54" s="149">
        <f>IF(A54="","",D54*Inputs!$B$17)</f>
        <v>40611.486633249981</v>
      </c>
      <c r="F54" s="149">
        <f>IF(A54="","",N53*Inputs!$B$17)</f>
        <v>1486.727592573231</v>
      </c>
      <c r="G54" s="149">
        <f>IF(A54="","",IF(A54&lt;=Inputs!$B$15,INDEX(Caso1_Normal!$H$4:$H$89,A54),0))</f>
        <v>71890.062836091718</v>
      </c>
      <c r="H54" s="149">
        <f>IF(A54="","",IF(A54=Inputs!$C$60,Inputs!$C$59*(Inputs!$B$20+U54),MIN(Inputs!$B$20+U54,D54+L53+F54+M53+E54+W53+U54)))</f>
        <v>174048.99418446081</v>
      </c>
      <c r="I54" s="149">
        <f t="shared" si="14"/>
        <v>1486.727592573231</v>
      </c>
      <c r="J54" s="149">
        <f t="shared" si="15"/>
        <v>40611.486633249981</v>
      </c>
      <c r="K54" s="149">
        <f t="shared" si="9"/>
        <v>68916.607650945283</v>
      </c>
      <c r="L54" s="149">
        <f t="shared" si="16"/>
        <v>0</v>
      </c>
      <c r="M54" s="149">
        <f t="shared" si="17"/>
        <v>0</v>
      </c>
      <c r="N54" s="149">
        <f t="shared" si="18"/>
        <v>125405.42052236738</v>
      </c>
      <c r="O54" s="149">
        <f t="shared" si="19"/>
        <v>3150032.4780676565</v>
      </c>
      <c r="P54" s="149">
        <f t="shared" si="20"/>
        <v>3275437.8985900241</v>
      </c>
      <c r="Q54" s="163" t="str">
        <f t="shared" si="21"/>
        <v>En mora</v>
      </c>
      <c r="R54" s="149">
        <f>IF($A54="","",IF($A54&lt;=Inputs!$B$15,Inputs!$B$28,0))</f>
        <v>48643.172307692315</v>
      </c>
      <c r="S54" s="149">
        <f>IF($A54="","",IF($A54&lt;=Inputs!$B$15,Inputs!$B$29,0))</f>
        <v>10984.615384615387</v>
      </c>
      <c r="T54" s="149">
        <f>IF($A54="","",IF($A54&lt;=Inputs!$B$15,Inputs!$B$30,0))</f>
        <v>3406.3846153846157</v>
      </c>
      <c r="U54" s="149">
        <f t="shared" si="10"/>
        <v>63034.172307692315</v>
      </c>
      <c r="V54" s="149">
        <f t="shared" si="11"/>
        <v>63034.172307692315</v>
      </c>
      <c r="W54" s="149">
        <f t="shared" si="12"/>
        <v>0</v>
      </c>
      <c r="X54" s="149">
        <f>IF($B54="","",IF(OR($B55="",ROUNDUP(($A54+1)/Inputs!$B$14,0)&gt;$B54),SUMIF($B$4:$B54,$B54,R$4:R54),0))</f>
        <v>0</v>
      </c>
      <c r="Y54" s="149">
        <f>IF($B54="","",IF(OR($B55="",ROUNDUP(($A54+1)/Inputs!$B$14,0)&gt;$B54),SUMIF($B$4:$B54,$B54,S$4:S54),0))</f>
        <v>0</v>
      </c>
      <c r="Z54" s="149">
        <f>IF($B54="","",IF(OR($B55="",ROUNDUP(($A54+1)/Inputs!$B$14,0)&gt;$B54),SUMIF($B$4:$B54,$B54,T$4:T54),0))</f>
        <v>0</v>
      </c>
      <c r="AA54" s="18"/>
      <c r="AB54" s="18"/>
      <c r="AC54" s="18"/>
      <c r="AD54" s="18"/>
      <c r="AE54" s="18"/>
      <c r="AF54" s="18"/>
      <c r="AG54" s="18"/>
      <c r="AH54" s="18"/>
    </row>
    <row r="55" spans="1:34" ht="18" customHeight="1">
      <c r="A55" s="157">
        <f>IF(A54="","",IF(AND(A54&gt;=Inputs!$B$15,P54+L54+M54+W54&lt;=0.005),"",IF(A54&gt;=Inputs!$C$61,"",A54+1)))</f>
        <v>52</v>
      </c>
      <c r="B55" s="77">
        <f>IF(A55="","",ROUNDUP(A55/Inputs!$B$14,0))</f>
        <v>12</v>
      </c>
      <c r="C55" s="160" t="str">
        <f>IF(A55="","",IF(A55=Inputs!$C$60,"Pago inferior",IF(A55&gt;Inputs!$B$15,"Periodo adicional",IF(N54+L54+M54+W54&gt;0,"Pago normal - aplica vencidos","Pago normal"))))</f>
        <v>Pago normal - aplica vencidos</v>
      </c>
      <c r="D55" s="149">
        <f t="shared" si="13"/>
        <v>3275437.8985900241</v>
      </c>
      <c r="E55" s="149">
        <f>IF(A55="","",D55*Inputs!$B$17)</f>
        <v>39774.611868567474</v>
      </c>
      <c r="F55" s="149">
        <f>IF(A55="","",N54*Inputs!$B$17)</f>
        <v>1522.8351389714362</v>
      </c>
      <c r="G55" s="149">
        <f>IF(A55="","",IF(A55&lt;=Inputs!$B$15,INDEX(Caso1_Normal!$H$4:$H$89,A55),0))</f>
        <v>72763.045147172437</v>
      </c>
      <c r="H55" s="149">
        <f>IF(A55="","",IF(A55=Inputs!$C$60,Inputs!$C$59*(Inputs!$B$20+U55),MIN(Inputs!$B$20+U55,D55+L54+F55+M54+E55+W54+U55)))</f>
        <v>174048.99418446081</v>
      </c>
      <c r="I55" s="149">
        <f t="shared" si="14"/>
        <v>1522.8351389714362</v>
      </c>
      <c r="J55" s="149">
        <f t="shared" si="15"/>
        <v>39774.611868567474</v>
      </c>
      <c r="K55" s="149">
        <f t="shared" si="9"/>
        <v>69717.374869229592</v>
      </c>
      <c r="L55" s="149">
        <f t="shared" si="16"/>
        <v>0</v>
      </c>
      <c r="M55" s="149">
        <f t="shared" si="17"/>
        <v>0</v>
      </c>
      <c r="N55" s="149">
        <f t="shared" si="18"/>
        <v>128451.09080031022</v>
      </c>
      <c r="O55" s="149">
        <f t="shared" si="19"/>
        <v>3077269.4329204843</v>
      </c>
      <c r="P55" s="149">
        <f t="shared" si="20"/>
        <v>3205720.5237207944</v>
      </c>
      <c r="Q55" s="163" t="str">
        <f t="shared" si="21"/>
        <v>En mora</v>
      </c>
      <c r="R55" s="149">
        <f>IF($A55="","",IF($A55&lt;=Inputs!$B$15,Inputs!$B$28,0))</f>
        <v>48643.172307692315</v>
      </c>
      <c r="S55" s="149">
        <f>IF($A55="","",IF($A55&lt;=Inputs!$B$15,Inputs!$B$29,0))</f>
        <v>10984.615384615387</v>
      </c>
      <c r="T55" s="149">
        <f>IF($A55="","",IF($A55&lt;=Inputs!$B$15,Inputs!$B$30,0))</f>
        <v>3406.3846153846157</v>
      </c>
      <c r="U55" s="149">
        <f t="shared" si="10"/>
        <v>63034.172307692315</v>
      </c>
      <c r="V55" s="149">
        <f t="shared" si="11"/>
        <v>63034.172307692315</v>
      </c>
      <c r="W55" s="149">
        <f t="shared" si="12"/>
        <v>0</v>
      </c>
      <c r="X55" s="149">
        <f>IF($B55="","",IF(OR($B56="",ROUNDUP(($A55+1)/Inputs!$B$14,0)&gt;$B55),SUMIF($B$4:$B55,$B55,R$4:R55),0))</f>
        <v>243215.86153846158</v>
      </c>
      <c r="Y55" s="149">
        <f>IF($B55="","",IF(OR($B56="",ROUNDUP(($A55+1)/Inputs!$B$14,0)&gt;$B55),SUMIF($B$4:$B55,$B55,S$4:S55),0))</f>
        <v>54923.076923076937</v>
      </c>
      <c r="Z55" s="149">
        <f>IF($B55="","",IF(OR($B56="",ROUNDUP(($A55+1)/Inputs!$B$14,0)&gt;$B55),SUMIF($B$4:$B55,$B55,T$4:T55),0))</f>
        <v>17031.923076923078</v>
      </c>
      <c r="AA55" s="18"/>
      <c r="AB55" s="18"/>
      <c r="AC55" s="18"/>
      <c r="AD55" s="18"/>
      <c r="AE55" s="18"/>
      <c r="AF55" s="18"/>
      <c r="AG55" s="18"/>
      <c r="AH55" s="18"/>
    </row>
    <row r="56" spans="1:34" ht="18" customHeight="1">
      <c r="A56" s="157">
        <f>IF(A55="","",IF(AND(A55&gt;=Inputs!$B$15,P55+L55+M55+W55&lt;=0.005),"",IF(A55&gt;=Inputs!$C$61,"",A55+1)))</f>
        <v>53</v>
      </c>
      <c r="B56" s="77">
        <f>IF(A56="","",ROUNDUP(A56/Inputs!$B$14,0))</f>
        <v>13</v>
      </c>
      <c r="C56" s="160" t="str">
        <f>IF(A56="","",IF(A56=Inputs!$C$60,"Pago inferior",IF(A56&gt;Inputs!$B$15,"Periodo adicional",IF(N55+L55+M55+W55&gt;0,"Pago normal - aplica vencidos","Pago normal"))))</f>
        <v>Pago normal - aplica vencidos</v>
      </c>
      <c r="D56" s="149">
        <f t="shared" si="13"/>
        <v>3205720.5237207944</v>
      </c>
      <c r="E56" s="149">
        <f>IF(A56="","",D56*Inputs!$B$17)</f>
        <v>38928.013150541796</v>
      </c>
      <c r="F56" s="149">
        <f>IF(A56="","",N55*Inputs!$B$17)</f>
        <v>1559.8196146157329</v>
      </c>
      <c r="G56" s="149">
        <f>IF(A56="","",IF(A56&lt;=Inputs!$B$15,INDEX(Caso1_Normal!$H$4:$H$89,A56),0))</f>
        <v>73646.628340842406</v>
      </c>
      <c r="H56" s="149">
        <f>IF(A56="","",IF(A56=Inputs!$C$60,Inputs!$C$59*(Inputs!$B$20+U56),MIN(Inputs!$B$20+U56,D56+L55+F56+M55+E56+W55+U56)))</f>
        <v>174048.99418446081</v>
      </c>
      <c r="I56" s="149">
        <f t="shared" si="14"/>
        <v>1559.8196146157329</v>
      </c>
      <c r="J56" s="149">
        <f t="shared" si="15"/>
        <v>38928.013150541796</v>
      </c>
      <c r="K56" s="149">
        <f t="shared" si="9"/>
        <v>70526.98911161095</v>
      </c>
      <c r="L56" s="149">
        <f t="shared" si="16"/>
        <v>0</v>
      </c>
      <c r="M56" s="149">
        <f t="shared" si="17"/>
        <v>0</v>
      </c>
      <c r="N56" s="149">
        <f t="shared" si="18"/>
        <v>131570.73002954168</v>
      </c>
      <c r="O56" s="149">
        <f t="shared" si="19"/>
        <v>3003622.8045796417</v>
      </c>
      <c r="P56" s="149">
        <f t="shared" si="20"/>
        <v>3135193.5346091832</v>
      </c>
      <c r="Q56" s="163" t="str">
        <f t="shared" si="21"/>
        <v>En mora</v>
      </c>
      <c r="R56" s="149">
        <f>IF($A56="","",IF($A56&lt;=Inputs!$B$15,Inputs!$B$28,0))</f>
        <v>48643.172307692315</v>
      </c>
      <c r="S56" s="149">
        <f>IF($A56="","",IF($A56&lt;=Inputs!$B$15,Inputs!$B$29,0))</f>
        <v>10984.615384615387</v>
      </c>
      <c r="T56" s="149">
        <f>IF($A56="","",IF($A56&lt;=Inputs!$B$15,Inputs!$B$30,0))</f>
        <v>3406.3846153846157</v>
      </c>
      <c r="U56" s="149">
        <f t="shared" si="10"/>
        <v>63034.172307692315</v>
      </c>
      <c r="V56" s="149">
        <f t="shared" si="11"/>
        <v>63034.172307692315</v>
      </c>
      <c r="W56" s="149">
        <f t="shared" si="12"/>
        <v>0</v>
      </c>
      <c r="X56" s="149">
        <f>IF($B56="","",IF(OR($B57="",ROUNDUP(($A56+1)/Inputs!$B$14,0)&gt;$B56),SUMIF($B$4:$B56,$B56,R$4:R56),0))</f>
        <v>0</v>
      </c>
      <c r="Y56" s="149">
        <f>IF($B56="","",IF(OR($B57="",ROUNDUP(($A56+1)/Inputs!$B$14,0)&gt;$B56),SUMIF($B$4:$B56,$B56,S$4:S56),0))</f>
        <v>0</v>
      </c>
      <c r="Z56" s="149">
        <f>IF($B56="","",IF(OR($B57="",ROUNDUP(($A56+1)/Inputs!$B$14,0)&gt;$B56),SUMIF($B$4:$B56,$B56,T$4:T56),0))</f>
        <v>0</v>
      </c>
      <c r="AA56" s="18"/>
      <c r="AB56" s="18"/>
      <c r="AC56" s="18"/>
      <c r="AD56" s="18"/>
      <c r="AE56" s="18"/>
      <c r="AF56" s="18"/>
      <c r="AG56" s="18"/>
      <c r="AH56" s="18"/>
    </row>
    <row r="57" spans="1:34" ht="18" customHeight="1">
      <c r="A57" s="157">
        <f>IF(A56="","",IF(AND(A56&gt;=Inputs!$B$15,P56+L56+M56+W56&lt;=0.005),"",IF(A56&gt;=Inputs!$C$61,"",A56+1)))</f>
        <v>54</v>
      </c>
      <c r="B57" s="77">
        <f>IF(A57="","",ROUNDUP(A57/Inputs!$B$14,0))</f>
        <v>13</v>
      </c>
      <c r="C57" s="160" t="str">
        <f>IF(A57="","",IF(A57=Inputs!$C$60,"Pago inferior",IF(A57&gt;Inputs!$B$15,"Periodo adicional",IF(N56+L56+M56+W56&gt;0,"Pago normal - aplica vencidos","Pago normal"))))</f>
        <v>Pago normal - aplica vencidos</v>
      </c>
      <c r="D57" s="149">
        <f t="shared" si="13"/>
        <v>3135193.5346091832</v>
      </c>
      <c r="E57" s="149">
        <f>IF(A57="","",D57*Inputs!$B$17)</f>
        <v>38071.58304714079</v>
      </c>
      <c r="F57" s="149">
        <f>IF(A57="","",N56*Inputs!$B$17)</f>
        <v>1597.7023171288997</v>
      </c>
      <c r="G57" s="149">
        <f>IF(A57="","",IF(A57&lt;=Inputs!$B$15,INDEX(Caso1_Normal!$H$4:$H$89,A57),0))</f>
        <v>74540.941146756581</v>
      </c>
      <c r="H57" s="149">
        <f>IF(A57="","",IF(A57=Inputs!$C$60,Inputs!$C$59*(Inputs!$B$20+U57),MIN(Inputs!$B$20+U57,D57+L56+F57+M56+E57+W56+U57)))</f>
        <v>174048.99418446081</v>
      </c>
      <c r="I57" s="149">
        <f t="shared" si="14"/>
        <v>1597.7023171288997</v>
      </c>
      <c r="J57" s="149">
        <f t="shared" si="15"/>
        <v>38071.58304714079</v>
      </c>
      <c r="K57" s="149">
        <f t="shared" si="9"/>
        <v>71345.536512498802</v>
      </c>
      <c r="L57" s="149">
        <f t="shared" si="16"/>
        <v>0</v>
      </c>
      <c r="M57" s="149">
        <f t="shared" si="17"/>
        <v>0</v>
      </c>
      <c r="N57" s="149">
        <f t="shared" si="18"/>
        <v>134766.13466379946</v>
      </c>
      <c r="O57" s="149">
        <f t="shared" si="19"/>
        <v>2929081.8634328851</v>
      </c>
      <c r="P57" s="149">
        <f t="shared" si="20"/>
        <v>3063847.9980966845</v>
      </c>
      <c r="Q57" s="163" t="str">
        <f t="shared" si="21"/>
        <v>En mora</v>
      </c>
      <c r="R57" s="149">
        <f>IF($A57="","",IF($A57&lt;=Inputs!$B$15,Inputs!$B$28,0))</f>
        <v>48643.172307692315</v>
      </c>
      <c r="S57" s="149">
        <f>IF($A57="","",IF($A57&lt;=Inputs!$B$15,Inputs!$B$29,0))</f>
        <v>10984.615384615387</v>
      </c>
      <c r="T57" s="149">
        <f>IF($A57="","",IF($A57&lt;=Inputs!$B$15,Inputs!$B$30,0))</f>
        <v>3406.3846153846157</v>
      </c>
      <c r="U57" s="149">
        <f t="shared" si="10"/>
        <v>63034.172307692315</v>
      </c>
      <c r="V57" s="149">
        <f t="shared" si="11"/>
        <v>63034.172307692315</v>
      </c>
      <c r="W57" s="149">
        <f t="shared" si="12"/>
        <v>0</v>
      </c>
      <c r="X57" s="149">
        <f>IF($B57="","",IF(OR($B58="",ROUNDUP(($A57+1)/Inputs!$B$14,0)&gt;$B57),SUMIF($B$4:$B57,$B57,R$4:R57),0))</f>
        <v>0</v>
      </c>
      <c r="Y57" s="149">
        <f>IF($B57="","",IF(OR($B58="",ROUNDUP(($A57+1)/Inputs!$B$14,0)&gt;$B57),SUMIF($B$4:$B57,$B57,S$4:S57),0))</f>
        <v>0</v>
      </c>
      <c r="Z57" s="149">
        <f>IF($B57="","",IF(OR($B58="",ROUNDUP(($A57+1)/Inputs!$B$14,0)&gt;$B57),SUMIF($B$4:$B57,$B57,T$4:T57),0))</f>
        <v>0</v>
      </c>
      <c r="AA57" s="18"/>
      <c r="AB57" s="18"/>
      <c r="AC57" s="18"/>
      <c r="AD57" s="18"/>
      <c r="AE57" s="18"/>
      <c r="AF57" s="18"/>
      <c r="AG57" s="18"/>
      <c r="AH57" s="18"/>
    </row>
    <row r="58" spans="1:34" ht="18" customHeight="1">
      <c r="A58" s="157">
        <f>IF(A57="","",IF(AND(A57&gt;=Inputs!$B$15,P57+L57+M57+W57&lt;=0.005),"",IF(A57&gt;=Inputs!$C$61,"",A57+1)))</f>
        <v>55</v>
      </c>
      <c r="B58" s="77">
        <f>IF(A58="","",ROUNDUP(A58/Inputs!$B$14,0))</f>
        <v>13</v>
      </c>
      <c r="C58" s="160" t="str">
        <f>IF(A58="","",IF(A58=Inputs!$C$60,"Pago inferior",IF(A58&gt;Inputs!$B$15,"Periodo adicional",IF(N57+L57+M57+W57&gt;0,"Pago normal - aplica vencidos","Pago normal"))))</f>
        <v>Pago normal - aplica vencidos</v>
      </c>
      <c r="D58" s="149">
        <f t="shared" si="13"/>
        <v>3063847.9980966845</v>
      </c>
      <c r="E58" s="149">
        <f>IF(A58="","",D58*Inputs!$B$17)</f>
        <v>37205.213080376685</v>
      </c>
      <c r="F58" s="149">
        <f>IF(A58="","",N57*Inputs!$B$17)</f>
        <v>1636.5050613803892</v>
      </c>
      <c r="G58" s="149">
        <f>IF(A58="","",IF(A58&lt;=Inputs!$B$15,INDEX(Caso1_Normal!$H$4:$H$89,A58),0))</f>
        <v>75446.113857772172</v>
      </c>
      <c r="H58" s="149">
        <f>IF(A58="","",IF(A58=Inputs!$C$60,Inputs!$C$59*(Inputs!$B$20+U58),MIN(Inputs!$B$20+U58,D58+L57+F58+M57+E58+W57+U58)))</f>
        <v>174048.99418446081</v>
      </c>
      <c r="I58" s="149">
        <f t="shared" si="14"/>
        <v>1636.5050613803892</v>
      </c>
      <c r="J58" s="149">
        <f t="shared" si="15"/>
        <v>37205.213080376685</v>
      </c>
      <c r="K58" s="149">
        <f t="shared" si="9"/>
        <v>72173.10373501142</v>
      </c>
      <c r="L58" s="149">
        <f t="shared" si="16"/>
        <v>0</v>
      </c>
      <c r="M58" s="149">
        <f t="shared" si="17"/>
        <v>0</v>
      </c>
      <c r="N58" s="149">
        <f t="shared" si="18"/>
        <v>138039.14478656021</v>
      </c>
      <c r="O58" s="149">
        <f t="shared" si="19"/>
        <v>2853635.7495751129</v>
      </c>
      <c r="P58" s="149">
        <f t="shared" si="20"/>
        <v>2991674.8943616729</v>
      </c>
      <c r="Q58" s="163" t="str">
        <f t="shared" si="21"/>
        <v>En mora</v>
      </c>
      <c r="R58" s="149">
        <f>IF($A58="","",IF($A58&lt;=Inputs!$B$15,Inputs!$B$28,0))</f>
        <v>48643.172307692315</v>
      </c>
      <c r="S58" s="149">
        <f>IF($A58="","",IF($A58&lt;=Inputs!$B$15,Inputs!$B$29,0))</f>
        <v>10984.615384615387</v>
      </c>
      <c r="T58" s="149">
        <f>IF($A58="","",IF($A58&lt;=Inputs!$B$15,Inputs!$B$30,0))</f>
        <v>3406.3846153846157</v>
      </c>
      <c r="U58" s="149">
        <f t="shared" si="10"/>
        <v>63034.172307692315</v>
      </c>
      <c r="V58" s="149">
        <f t="shared" si="11"/>
        <v>63034.172307692315</v>
      </c>
      <c r="W58" s="149">
        <f t="shared" si="12"/>
        <v>0</v>
      </c>
      <c r="X58" s="149">
        <f>IF($B58="","",IF(OR($B59="",ROUNDUP(($A58+1)/Inputs!$B$14,0)&gt;$B58),SUMIF($B$4:$B58,$B58,R$4:R58),0))</f>
        <v>0</v>
      </c>
      <c r="Y58" s="149">
        <f>IF($B58="","",IF(OR($B59="",ROUNDUP(($A58+1)/Inputs!$B$14,0)&gt;$B58),SUMIF($B$4:$B58,$B58,S$4:S58),0))</f>
        <v>0</v>
      </c>
      <c r="Z58" s="149">
        <f>IF($B58="","",IF(OR($B59="",ROUNDUP(($A58+1)/Inputs!$B$14,0)&gt;$B58),SUMIF($B$4:$B58,$B58,T$4:T58),0))</f>
        <v>0</v>
      </c>
      <c r="AA58" s="18"/>
      <c r="AB58" s="18"/>
      <c r="AC58" s="18"/>
      <c r="AD58" s="18"/>
      <c r="AE58" s="18"/>
      <c r="AF58" s="18"/>
      <c r="AG58" s="18"/>
      <c r="AH58" s="18"/>
    </row>
    <row r="59" spans="1:34" ht="18" customHeight="1">
      <c r="A59" s="157">
        <f>IF(A58="","",IF(AND(A58&gt;=Inputs!$B$15,P58+L58+M58+W58&lt;=0.005),"",IF(A58&gt;=Inputs!$C$61,"",A58+1)))</f>
        <v>56</v>
      </c>
      <c r="B59" s="77">
        <f>IF(A59="","",ROUNDUP(A59/Inputs!$B$14,0))</f>
        <v>13</v>
      </c>
      <c r="C59" s="160" t="str">
        <f>IF(A59="","",IF(A59=Inputs!$C$60,"Pago inferior",IF(A59&gt;Inputs!$B$15,"Periodo adicional",IF(N58+L58+M58+W58&gt;0,"Pago normal - aplica vencidos","Pago normal"))))</f>
        <v>Pago normal - aplica vencidos</v>
      </c>
      <c r="D59" s="149">
        <f t="shared" si="13"/>
        <v>2991674.8943616729</v>
      </c>
      <c r="E59" s="149">
        <f>IF(A59="","",D59*Inputs!$B$17)</f>
        <v>36328.793719885776</v>
      </c>
      <c r="F59" s="149">
        <f>IF(A59="","",N58*Inputs!$B$17)</f>
        <v>1676.2501920484874</v>
      </c>
      <c r="G59" s="149">
        <f>IF(A59="","",IF(A59&lt;=Inputs!$B$15,INDEX(Caso1_Normal!$H$4:$H$89,A59),0))</f>
        <v>76362.27834893117</v>
      </c>
      <c r="H59" s="149">
        <f>IF(A59="","",IF(A59=Inputs!$C$60,Inputs!$C$59*(Inputs!$B$20+U59),MIN(Inputs!$B$20+U59,D59+L58+F59+M58+E59+W58+U59)))</f>
        <v>174048.99418446081</v>
      </c>
      <c r="I59" s="149">
        <f t="shared" si="14"/>
        <v>1676.2501920484874</v>
      </c>
      <c r="J59" s="149">
        <f t="shared" si="15"/>
        <v>36328.793719885776</v>
      </c>
      <c r="K59" s="149">
        <f t="shared" si="9"/>
        <v>73009.777964834211</v>
      </c>
      <c r="L59" s="149">
        <f t="shared" si="16"/>
        <v>0</v>
      </c>
      <c r="M59" s="149">
        <f t="shared" si="17"/>
        <v>0</v>
      </c>
      <c r="N59" s="149">
        <f t="shared" si="18"/>
        <v>141391.64517065717</v>
      </c>
      <c r="O59" s="149">
        <f t="shared" si="19"/>
        <v>2777273.4712261818</v>
      </c>
      <c r="P59" s="149">
        <f t="shared" si="20"/>
        <v>2918665.1163968388</v>
      </c>
      <c r="Q59" s="163" t="str">
        <f t="shared" si="21"/>
        <v>En mora</v>
      </c>
      <c r="R59" s="149">
        <f>IF($A59="","",IF($A59&lt;=Inputs!$B$15,Inputs!$B$28,0))</f>
        <v>48643.172307692315</v>
      </c>
      <c r="S59" s="149">
        <f>IF($A59="","",IF($A59&lt;=Inputs!$B$15,Inputs!$B$29,0))</f>
        <v>10984.615384615387</v>
      </c>
      <c r="T59" s="149">
        <f>IF($A59="","",IF($A59&lt;=Inputs!$B$15,Inputs!$B$30,0))</f>
        <v>3406.3846153846157</v>
      </c>
      <c r="U59" s="149">
        <f t="shared" si="10"/>
        <v>63034.172307692315</v>
      </c>
      <c r="V59" s="149">
        <f t="shared" si="11"/>
        <v>63034.172307692315</v>
      </c>
      <c r="W59" s="149">
        <f t="shared" si="12"/>
        <v>0</v>
      </c>
      <c r="X59" s="149">
        <f>IF($B59="","",IF(OR($B60="",ROUNDUP(($A59+1)/Inputs!$B$14,0)&gt;$B59),SUMIF($B$4:$B59,$B59,R$4:R59),0))</f>
        <v>194572.68923076926</v>
      </c>
      <c r="Y59" s="149">
        <f>IF($B59="","",IF(OR($B60="",ROUNDUP(($A59+1)/Inputs!$B$14,0)&gt;$B59),SUMIF($B$4:$B59,$B59,S$4:S59),0))</f>
        <v>43938.461538461546</v>
      </c>
      <c r="Z59" s="149">
        <f>IF($B59="","",IF(OR($B60="",ROUNDUP(($A59+1)/Inputs!$B$14,0)&gt;$B59),SUMIF($B$4:$B59,$B59,T$4:T59),0))</f>
        <v>13625.538461538463</v>
      </c>
      <c r="AA59" s="18"/>
      <c r="AB59" s="18"/>
      <c r="AC59" s="18"/>
      <c r="AD59" s="18"/>
      <c r="AE59" s="18"/>
      <c r="AF59" s="18"/>
      <c r="AG59" s="18"/>
      <c r="AH59" s="18"/>
    </row>
    <row r="60" spans="1:34" ht="18" customHeight="1">
      <c r="A60" s="157">
        <f>IF(A59="","",IF(AND(A59&gt;=Inputs!$B$15,P59+L59+M59+W59&lt;=0.005),"",IF(A59&gt;=Inputs!$C$61,"",A59+1)))</f>
        <v>57</v>
      </c>
      <c r="B60" s="77">
        <f>IF(A60="","",ROUNDUP(A60/Inputs!$B$14,0))</f>
        <v>14</v>
      </c>
      <c r="C60" s="160" t="str">
        <f>IF(A60="","",IF(A60=Inputs!$C$60,"Pago inferior",IF(A60&gt;Inputs!$B$15,"Periodo adicional",IF(N59+L59+M59+W59&gt;0,"Pago normal - aplica vencidos","Pago normal"))))</f>
        <v>Pago normal - aplica vencidos</v>
      </c>
      <c r="D60" s="149">
        <f t="shared" si="13"/>
        <v>2918665.1163968388</v>
      </c>
      <c r="E60" s="149">
        <f>IF(A60="","",D60*Inputs!$B$17)</f>
        <v>35442.214376582822</v>
      </c>
      <c r="F60" s="149">
        <f>IF(A60="","",N59*Inputs!$B$17)</f>
        <v>1716.9605964875641</v>
      </c>
      <c r="G60" s="149">
        <f>IF(A60="","",IF(A60&lt;=Inputs!$B$15,INDEX(Caso1_Normal!$H$4:$H$89,A60),0))</f>
        <v>77289.568096673203</v>
      </c>
      <c r="H60" s="149">
        <f>IF(A60="","",IF(A60=Inputs!$C$60,Inputs!$C$59*(Inputs!$B$20+U60),MIN(Inputs!$B$20+U60,D60+L59+F60+M59+E60+W59+U60)))</f>
        <v>174048.99418446081</v>
      </c>
      <c r="I60" s="149">
        <f t="shared" si="14"/>
        <v>1716.9605964875641</v>
      </c>
      <c r="J60" s="149">
        <f t="shared" si="15"/>
        <v>35442.214376582822</v>
      </c>
      <c r="K60" s="149">
        <f t="shared" si="9"/>
        <v>73855.6469036981</v>
      </c>
      <c r="L60" s="149">
        <f t="shared" si="16"/>
        <v>0</v>
      </c>
      <c r="M60" s="149">
        <f t="shared" si="17"/>
        <v>0</v>
      </c>
      <c r="N60" s="149">
        <f t="shared" si="18"/>
        <v>144825.56636363227</v>
      </c>
      <c r="O60" s="149">
        <f t="shared" si="19"/>
        <v>2699983.9031295083</v>
      </c>
      <c r="P60" s="149">
        <f t="shared" si="20"/>
        <v>2844809.4694931405</v>
      </c>
      <c r="Q60" s="163" t="str">
        <f t="shared" si="21"/>
        <v>En mora</v>
      </c>
      <c r="R60" s="149">
        <f>IF($A60="","",IF($A60&lt;=Inputs!$B$15,Inputs!$B$28,0))</f>
        <v>48643.172307692315</v>
      </c>
      <c r="S60" s="149">
        <f>IF($A60="","",IF($A60&lt;=Inputs!$B$15,Inputs!$B$29,0))</f>
        <v>10984.615384615387</v>
      </c>
      <c r="T60" s="149">
        <f>IF($A60="","",IF($A60&lt;=Inputs!$B$15,Inputs!$B$30,0))</f>
        <v>3406.3846153846157</v>
      </c>
      <c r="U60" s="149">
        <f t="shared" si="10"/>
        <v>63034.172307692315</v>
      </c>
      <c r="V60" s="149">
        <f t="shared" si="11"/>
        <v>63034.172307692315</v>
      </c>
      <c r="W60" s="149">
        <f t="shared" si="12"/>
        <v>0</v>
      </c>
      <c r="X60" s="149">
        <f>IF($B60="","",IF(OR($B61="",ROUNDUP(($A60+1)/Inputs!$B$14,0)&gt;$B60),SUMIF($B$4:$B60,$B60,R$4:R60),0))</f>
        <v>0</v>
      </c>
      <c r="Y60" s="149">
        <f>IF($B60="","",IF(OR($B61="",ROUNDUP(($A60+1)/Inputs!$B$14,0)&gt;$B60),SUMIF($B$4:$B60,$B60,S$4:S60),0))</f>
        <v>0</v>
      </c>
      <c r="Z60" s="149">
        <f>IF($B60="","",IF(OR($B61="",ROUNDUP(($A60+1)/Inputs!$B$14,0)&gt;$B60),SUMIF($B$4:$B60,$B60,T$4:T60),0))</f>
        <v>0</v>
      </c>
      <c r="AA60" s="18"/>
      <c r="AB60" s="18"/>
      <c r="AC60" s="18"/>
      <c r="AD60" s="18"/>
      <c r="AE60" s="18"/>
      <c r="AF60" s="18"/>
      <c r="AG60" s="18"/>
      <c r="AH60" s="18"/>
    </row>
    <row r="61" spans="1:34" ht="18" customHeight="1">
      <c r="A61" s="157">
        <f>IF(A60="","",IF(AND(A60&gt;=Inputs!$B$15,P60+L60+M60+W60&lt;=0.005),"",IF(A60&gt;=Inputs!$C$61,"",A60+1)))</f>
        <v>58</v>
      </c>
      <c r="B61" s="77">
        <f>IF(A61="","",ROUNDUP(A61/Inputs!$B$14,0))</f>
        <v>14</v>
      </c>
      <c r="C61" s="160" t="str">
        <f>IF(A61="","",IF(A61=Inputs!$C$60,"Pago inferior",IF(A61&gt;Inputs!$B$15,"Periodo adicional",IF(N60+L60+M60+W60&gt;0,"Pago normal - aplica vencidos","Pago normal"))))</f>
        <v>Pago normal - aplica vencidos</v>
      </c>
      <c r="D61" s="149">
        <f t="shared" si="13"/>
        <v>2844809.4694931405</v>
      </c>
      <c r="E61" s="149">
        <f>IF(A61="","",D61*Inputs!$B$17)</f>
        <v>34545.363396394459</v>
      </c>
      <c r="F61" s="149">
        <f>IF(A61="","",N60*Inputs!$B$17)</f>
        <v>1758.659717907826</v>
      </c>
      <c r="G61" s="149">
        <f>IF(A61="","",IF(A61&lt;=Inputs!$B$15,INDEX(Caso1_Normal!$H$4:$H$89,A61),0))</f>
        <v>78228.118198281823</v>
      </c>
      <c r="H61" s="149">
        <f>IF(A61="","",IF(A61=Inputs!$C$60,Inputs!$C$59*(Inputs!$B$20+U61),MIN(Inputs!$B$20+U61,D61+L60+F61+M60+E61+W60+U61)))</f>
        <v>174048.99418446081</v>
      </c>
      <c r="I61" s="149">
        <f t="shared" si="14"/>
        <v>1758.659717907826</v>
      </c>
      <c r="J61" s="149">
        <f t="shared" si="15"/>
        <v>34545.363396394459</v>
      </c>
      <c r="K61" s="149">
        <f t="shared" si="9"/>
        <v>74710.798762466206</v>
      </c>
      <c r="L61" s="149">
        <f t="shared" si="16"/>
        <v>0</v>
      </c>
      <c r="M61" s="149">
        <f t="shared" si="17"/>
        <v>0</v>
      </c>
      <c r="N61" s="149">
        <f t="shared" si="18"/>
        <v>148342.88579944789</v>
      </c>
      <c r="O61" s="149">
        <f t="shared" si="19"/>
        <v>2621755.7849312262</v>
      </c>
      <c r="P61" s="149">
        <f t="shared" si="20"/>
        <v>2770098.6707306742</v>
      </c>
      <c r="Q61" s="163" t="str">
        <f t="shared" si="21"/>
        <v>En mora</v>
      </c>
      <c r="R61" s="149">
        <f>IF($A61="","",IF($A61&lt;=Inputs!$B$15,Inputs!$B$28,0))</f>
        <v>48643.172307692315</v>
      </c>
      <c r="S61" s="149">
        <f>IF($A61="","",IF($A61&lt;=Inputs!$B$15,Inputs!$B$29,0))</f>
        <v>10984.615384615387</v>
      </c>
      <c r="T61" s="149">
        <f>IF($A61="","",IF($A61&lt;=Inputs!$B$15,Inputs!$B$30,0))</f>
        <v>3406.3846153846157</v>
      </c>
      <c r="U61" s="149">
        <f t="shared" si="10"/>
        <v>63034.172307692315</v>
      </c>
      <c r="V61" s="149">
        <f t="shared" si="11"/>
        <v>63034.172307692315</v>
      </c>
      <c r="W61" s="149">
        <f t="shared" si="12"/>
        <v>0</v>
      </c>
      <c r="X61" s="149">
        <f>IF($B61="","",IF(OR($B62="",ROUNDUP(($A61+1)/Inputs!$B$14,0)&gt;$B61),SUMIF($B$4:$B61,$B61,R$4:R61),0))</f>
        <v>0</v>
      </c>
      <c r="Y61" s="149">
        <f>IF($B61="","",IF(OR($B62="",ROUNDUP(($A61+1)/Inputs!$B$14,0)&gt;$B61),SUMIF($B$4:$B61,$B61,S$4:S61),0))</f>
        <v>0</v>
      </c>
      <c r="Z61" s="149">
        <f>IF($B61="","",IF(OR($B62="",ROUNDUP(($A61+1)/Inputs!$B$14,0)&gt;$B61),SUMIF($B$4:$B61,$B61,T$4:T61),0))</f>
        <v>0</v>
      </c>
      <c r="AA61" s="18"/>
      <c r="AB61" s="18"/>
      <c r="AC61" s="18"/>
      <c r="AD61" s="18"/>
      <c r="AE61" s="18"/>
      <c r="AF61" s="18"/>
      <c r="AG61" s="18"/>
      <c r="AH61" s="18"/>
    </row>
    <row r="62" spans="1:34" ht="18" customHeight="1">
      <c r="A62" s="157">
        <f>IF(A61="","",IF(AND(A61&gt;=Inputs!$B$15,P61+L61+M61+W61&lt;=0.005),"",IF(A61&gt;=Inputs!$C$61,"",A61+1)))</f>
        <v>59</v>
      </c>
      <c r="B62" s="77">
        <f>IF(A62="","",ROUNDUP(A62/Inputs!$B$14,0))</f>
        <v>14</v>
      </c>
      <c r="C62" s="160" t="str">
        <f>IF(A62="","",IF(A62=Inputs!$C$60,"Pago inferior",IF(A62&gt;Inputs!$B$15,"Periodo adicional",IF(N61+L61+M61+W61&gt;0,"Pago normal - aplica vencidos","Pago normal"))))</f>
        <v>Pago normal - aplica vencidos</v>
      </c>
      <c r="D62" s="149">
        <f t="shared" si="13"/>
        <v>2770098.6707306742</v>
      </c>
      <c r="E62" s="149">
        <f>IF(A62="","",D62*Inputs!$B$17)</f>
        <v>33638.12805407674</v>
      </c>
      <c r="F62" s="149">
        <f>IF(A62="","",N61*Inputs!$B$17)</f>
        <v>1801.3715688751602</v>
      </c>
      <c r="G62" s="149">
        <f>IF(A62="","",IF(A62&lt;=Inputs!$B$15,INDEX(Caso1_Normal!$H$4:$H$89,A62),0))</f>
        <v>79178.065391566881</v>
      </c>
      <c r="H62" s="149">
        <f>IF(A62="","",IF(A62=Inputs!$C$60,Inputs!$C$59*(Inputs!$B$20+U62),MIN(Inputs!$B$20+U62,D62+L61+F62+M61+E62+W61+U62)))</f>
        <v>174048.99418446081</v>
      </c>
      <c r="I62" s="149">
        <f t="shared" si="14"/>
        <v>1801.3715688751602</v>
      </c>
      <c r="J62" s="149">
        <f t="shared" si="15"/>
        <v>33638.12805407674</v>
      </c>
      <c r="K62" s="149">
        <f t="shared" si="9"/>
        <v>75575.322253816586</v>
      </c>
      <c r="L62" s="149">
        <f t="shared" si="16"/>
        <v>0</v>
      </c>
      <c r="M62" s="149">
        <f t="shared" si="17"/>
        <v>0</v>
      </c>
      <c r="N62" s="149">
        <f t="shared" si="18"/>
        <v>151945.6289371982</v>
      </c>
      <c r="O62" s="149">
        <f t="shared" si="19"/>
        <v>2542577.7195396591</v>
      </c>
      <c r="P62" s="149">
        <f t="shared" si="20"/>
        <v>2694523.3484768574</v>
      </c>
      <c r="Q62" s="163" t="str">
        <f t="shared" si="21"/>
        <v>En mora</v>
      </c>
      <c r="R62" s="149">
        <f>IF($A62="","",IF($A62&lt;=Inputs!$B$15,Inputs!$B$28,0))</f>
        <v>48643.172307692315</v>
      </c>
      <c r="S62" s="149">
        <f>IF($A62="","",IF($A62&lt;=Inputs!$B$15,Inputs!$B$29,0))</f>
        <v>10984.615384615387</v>
      </c>
      <c r="T62" s="149">
        <f>IF($A62="","",IF($A62&lt;=Inputs!$B$15,Inputs!$B$30,0))</f>
        <v>3406.3846153846157</v>
      </c>
      <c r="U62" s="149">
        <f t="shared" si="10"/>
        <v>63034.172307692315</v>
      </c>
      <c r="V62" s="149">
        <f t="shared" si="11"/>
        <v>63034.172307692315</v>
      </c>
      <c r="W62" s="149">
        <f t="shared" si="12"/>
        <v>0</v>
      </c>
      <c r="X62" s="149">
        <f>IF($B62="","",IF(OR($B63="",ROUNDUP(($A62+1)/Inputs!$B$14,0)&gt;$B62),SUMIF($B$4:$B62,$B62,R$4:R62),0))</f>
        <v>0</v>
      </c>
      <c r="Y62" s="149">
        <f>IF($B62="","",IF(OR($B63="",ROUNDUP(($A62+1)/Inputs!$B$14,0)&gt;$B62),SUMIF($B$4:$B62,$B62,S$4:S62),0))</f>
        <v>0</v>
      </c>
      <c r="Z62" s="149">
        <f>IF($B62="","",IF(OR($B63="",ROUNDUP(($A62+1)/Inputs!$B$14,0)&gt;$B62),SUMIF($B$4:$B62,$B62,T$4:T62),0))</f>
        <v>0</v>
      </c>
      <c r="AA62" s="18"/>
      <c r="AB62" s="18"/>
      <c r="AC62" s="18"/>
      <c r="AD62" s="18"/>
      <c r="AE62" s="18"/>
      <c r="AF62" s="18"/>
      <c r="AG62" s="18"/>
      <c r="AH62" s="18"/>
    </row>
    <row r="63" spans="1:34" ht="18" customHeight="1">
      <c r="A63" s="157">
        <f>IF(A62="","",IF(AND(A62&gt;=Inputs!$B$15,P62+L62+M62+W62&lt;=0.005),"",IF(A62&gt;=Inputs!$C$61,"",A62+1)))</f>
        <v>60</v>
      </c>
      <c r="B63" s="77">
        <f>IF(A63="","",ROUNDUP(A63/Inputs!$B$14,0))</f>
        <v>14</v>
      </c>
      <c r="C63" s="160" t="str">
        <f>IF(A63="","",IF(A63=Inputs!$C$60,"Pago inferior",IF(A63&gt;Inputs!$B$15,"Periodo adicional",IF(N62+L62+M62+W62&gt;0,"Pago normal - aplica vencidos","Pago normal"))))</f>
        <v>Pago normal - aplica vencidos</v>
      </c>
      <c r="D63" s="149">
        <f t="shared" si="13"/>
        <v>2694523.3484768574</v>
      </c>
      <c r="E63" s="149">
        <f>IF(A63="","",D63*Inputs!$B$17)</f>
        <v>32720.394547121396</v>
      </c>
      <c r="F63" s="149">
        <f>IF(A63="","",N62*Inputs!$B$17)</f>
        <v>1845.1207451388434</v>
      </c>
      <c r="G63" s="149">
        <f>IF(A63="","",IF(A63&lt;=Inputs!$B$15,INDEX(Caso1_Normal!$H$4:$H$89,A63),0))</f>
        <v>80139.548074785911</v>
      </c>
      <c r="H63" s="149">
        <f>IF(A63="","",IF(A63=Inputs!$C$60,Inputs!$C$59*(Inputs!$B$20+U63),MIN(Inputs!$B$20+U63,D63+L62+F63+M62+E63+W62+U63)))</f>
        <v>174048.99418446081</v>
      </c>
      <c r="I63" s="149">
        <f t="shared" si="14"/>
        <v>1845.1207451388434</v>
      </c>
      <c r="J63" s="149">
        <f t="shared" si="15"/>
        <v>32720.394547121396</v>
      </c>
      <c r="K63" s="149">
        <f t="shared" si="9"/>
        <v>76449.306584508246</v>
      </c>
      <c r="L63" s="149">
        <f t="shared" si="16"/>
        <v>0</v>
      </c>
      <c r="M63" s="149">
        <f t="shared" si="17"/>
        <v>0</v>
      </c>
      <c r="N63" s="149">
        <f t="shared" si="18"/>
        <v>155635.87042747586</v>
      </c>
      <c r="O63" s="149">
        <f t="shared" si="19"/>
        <v>2462438.1714648735</v>
      </c>
      <c r="P63" s="149">
        <f t="shared" si="20"/>
        <v>2618074.0418923493</v>
      </c>
      <c r="Q63" s="163" t="str">
        <f t="shared" si="21"/>
        <v>En mora</v>
      </c>
      <c r="R63" s="149">
        <f>IF($A63="","",IF($A63&lt;=Inputs!$B$15,Inputs!$B$28,0))</f>
        <v>48643.172307692315</v>
      </c>
      <c r="S63" s="149">
        <f>IF($A63="","",IF($A63&lt;=Inputs!$B$15,Inputs!$B$29,0))</f>
        <v>10984.615384615387</v>
      </c>
      <c r="T63" s="149">
        <f>IF($A63="","",IF($A63&lt;=Inputs!$B$15,Inputs!$B$30,0))</f>
        <v>3406.3846153846157</v>
      </c>
      <c r="U63" s="149">
        <f t="shared" si="10"/>
        <v>63034.172307692315</v>
      </c>
      <c r="V63" s="149">
        <f t="shared" si="11"/>
        <v>63034.172307692315</v>
      </c>
      <c r="W63" s="149">
        <f t="shared" si="12"/>
        <v>0</v>
      </c>
      <c r="X63" s="149">
        <f>IF($B63="","",IF(OR($B64="",ROUNDUP(($A63+1)/Inputs!$B$14,0)&gt;$B63),SUMIF($B$4:$B63,$B63,R$4:R63),0))</f>
        <v>194572.68923076926</v>
      </c>
      <c r="Y63" s="149">
        <f>IF($B63="","",IF(OR($B64="",ROUNDUP(($A63+1)/Inputs!$B$14,0)&gt;$B63),SUMIF($B$4:$B63,$B63,S$4:S63),0))</f>
        <v>43938.461538461546</v>
      </c>
      <c r="Z63" s="149">
        <f>IF($B63="","",IF(OR($B64="",ROUNDUP(($A63+1)/Inputs!$B$14,0)&gt;$B63),SUMIF($B$4:$B63,$B63,T$4:T63),0))</f>
        <v>13625.538461538463</v>
      </c>
      <c r="AA63" s="18"/>
      <c r="AB63" s="18"/>
      <c r="AC63" s="18"/>
      <c r="AD63" s="18"/>
      <c r="AE63" s="18"/>
      <c r="AF63" s="18"/>
      <c r="AG63" s="18"/>
      <c r="AH63" s="18"/>
    </row>
    <row r="64" spans="1:34" ht="18" customHeight="1">
      <c r="A64" s="157">
        <f>IF(A63="","",IF(AND(A63&gt;=Inputs!$B$15,P63+L63+M63+W63&lt;=0.005),"",IF(A63&gt;=Inputs!$C$61,"",A63+1)))</f>
        <v>61</v>
      </c>
      <c r="B64" s="77">
        <f>IF(A64="","",ROUNDUP(A64/Inputs!$B$14,0))</f>
        <v>15</v>
      </c>
      <c r="C64" s="160" t="str">
        <f>IF(A64="","",IF(A64=Inputs!$C$60,"Pago inferior",IF(A64&gt;Inputs!$B$15,"Periodo adicional",IF(N63+L63+M63+W63&gt;0,"Pago normal - aplica vencidos","Pago normal"))))</f>
        <v>Pago normal - aplica vencidos</v>
      </c>
      <c r="D64" s="149">
        <f t="shared" si="13"/>
        <v>2618074.0418923493</v>
      </c>
      <c r="E64" s="149">
        <f>IF(A64="","",D64*Inputs!$B$17)</f>
        <v>31792.04798975608</v>
      </c>
      <c r="F64" s="149">
        <f>IF(A64="","",N63*Inputs!$B$17)</f>
        <v>1889.9324397950791</v>
      </c>
      <c r="G64" s="149">
        <f>IF(A64="","",IF(A64&lt;=Inputs!$B$15,INDEX(Caso1_Normal!$H$4:$H$89,A64),0))</f>
        <v>81112.706326807456</v>
      </c>
      <c r="H64" s="149">
        <f>IF(A64="","",IF(A64=Inputs!$C$60,Inputs!$C$59*(Inputs!$B$20+U64),MIN(Inputs!$B$20+U64,D64+L63+F64+M63+E64+W63+U64)))</f>
        <v>174048.99418446081</v>
      </c>
      <c r="I64" s="149">
        <f t="shared" si="14"/>
        <v>1889.9324397950791</v>
      </c>
      <c r="J64" s="149">
        <f t="shared" si="15"/>
        <v>31792.04798975608</v>
      </c>
      <c r="K64" s="149">
        <f t="shared" si="9"/>
        <v>77332.841447217332</v>
      </c>
      <c r="L64" s="149">
        <f t="shared" si="16"/>
        <v>0</v>
      </c>
      <c r="M64" s="149">
        <f t="shared" si="17"/>
        <v>0</v>
      </c>
      <c r="N64" s="149">
        <f t="shared" si="18"/>
        <v>159415.735307066</v>
      </c>
      <c r="O64" s="149">
        <f t="shared" si="19"/>
        <v>2381325.4651380656</v>
      </c>
      <c r="P64" s="149">
        <f t="shared" si="20"/>
        <v>2540741.2004451319</v>
      </c>
      <c r="Q64" s="163" t="str">
        <f t="shared" si="21"/>
        <v>En mora</v>
      </c>
      <c r="R64" s="149">
        <f>IF($A64="","",IF($A64&lt;=Inputs!$B$15,Inputs!$B$28,0))</f>
        <v>48643.172307692315</v>
      </c>
      <c r="S64" s="149">
        <f>IF($A64="","",IF($A64&lt;=Inputs!$B$15,Inputs!$B$29,0))</f>
        <v>10984.615384615387</v>
      </c>
      <c r="T64" s="149">
        <f>IF($A64="","",IF($A64&lt;=Inputs!$B$15,Inputs!$B$30,0))</f>
        <v>3406.3846153846157</v>
      </c>
      <c r="U64" s="149">
        <f t="shared" si="10"/>
        <v>63034.172307692315</v>
      </c>
      <c r="V64" s="149">
        <f t="shared" si="11"/>
        <v>63034.172307692315</v>
      </c>
      <c r="W64" s="149">
        <f t="shared" si="12"/>
        <v>0</v>
      </c>
      <c r="X64" s="149">
        <f>IF($B64="","",IF(OR($B65="",ROUNDUP(($A64+1)/Inputs!$B$14,0)&gt;$B64),SUMIF($B$4:$B64,$B64,R$4:R64),0))</f>
        <v>0</v>
      </c>
      <c r="Y64" s="149">
        <f>IF($B64="","",IF(OR($B65="",ROUNDUP(($A64+1)/Inputs!$B$14,0)&gt;$B64),SUMIF($B$4:$B64,$B64,S$4:S64),0))</f>
        <v>0</v>
      </c>
      <c r="Z64" s="149">
        <f>IF($B64="","",IF(OR($B65="",ROUNDUP(($A64+1)/Inputs!$B$14,0)&gt;$B64),SUMIF($B$4:$B64,$B64,T$4:T64),0))</f>
        <v>0</v>
      </c>
      <c r="AA64" s="18"/>
      <c r="AB64" s="18"/>
      <c r="AC64" s="18"/>
      <c r="AD64" s="18"/>
      <c r="AE64" s="18"/>
      <c r="AF64" s="18"/>
      <c r="AG64" s="18"/>
      <c r="AH64" s="18"/>
    </row>
    <row r="65" spans="1:34" ht="18" customHeight="1">
      <c r="A65" s="157">
        <f>IF(A64="","",IF(AND(A64&gt;=Inputs!$B$15,P64+L64+M64+W64&lt;=0.005),"",IF(A64&gt;=Inputs!$C$61,"",A64+1)))</f>
        <v>62</v>
      </c>
      <c r="B65" s="77">
        <f>IF(A65="","",ROUNDUP(A65/Inputs!$B$14,0))</f>
        <v>15</v>
      </c>
      <c r="C65" s="160" t="str">
        <f>IF(A65="","",IF(A65=Inputs!$C$60,"Pago inferior",IF(A65&gt;Inputs!$B$15,"Periodo adicional",IF(N64+L64+M64+W64&gt;0,"Pago normal - aplica vencidos","Pago normal"))))</f>
        <v>Pago normal - aplica vencidos</v>
      </c>
      <c r="D65" s="149">
        <f t="shared" si="13"/>
        <v>2540741.2004451319</v>
      </c>
      <c r="E65" s="149">
        <f>IF(A65="","",D65*Inputs!$B$17)</f>
        <v>30852.97240704373</v>
      </c>
      <c r="F65" s="149">
        <f>IF(A65="","",N64*Inputs!$B$17)</f>
        <v>1935.8324577945182</v>
      </c>
      <c r="G65" s="149">
        <f>IF(A65="","",IF(A65&lt;=Inputs!$B$15,INDEX(Caso1_Normal!$H$4:$H$89,A65),0))</f>
        <v>82097.681927519239</v>
      </c>
      <c r="H65" s="149">
        <f>IF(A65="","",IF(A65=Inputs!$C$60,Inputs!$C$59*(Inputs!$B$20+U65),MIN(Inputs!$B$20+U65,D65+L64+F65+M64+E65+W64+U65)))</f>
        <v>174048.99418446081</v>
      </c>
      <c r="I65" s="149">
        <f t="shared" si="14"/>
        <v>1935.8324577945182</v>
      </c>
      <c r="J65" s="149">
        <f t="shared" si="15"/>
        <v>30852.97240704373</v>
      </c>
      <c r="K65" s="149">
        <f t="shared" si="9"/>
        <v>78226.017011930235</v>
      </c>
      <c r="L65" s="149">
        <f t="shared" si="16"/>
        <v>0</v>
      </c>
      <c r="M65" s="149">
        <f t="shared" si="17"/>
        <v>0</v>
      </c>
      <c r="N65" s="149">
        <f t="shared" si="18"/>
        <v>163287.40022265501</v>
      </c>
      <c r="O65" s="149">
        <f t="shared" si="19"/>
        <v>2299227.7832105467</v>
      </c>
      <c r="P65" s="149">
        <f t="shared" si="20"/>
        <v>2462515.1834332016</v>
      </c>
      <c r="Q65" s="163" t="str">
        <f t="shared" si="21"/>
        <v>En mora</v>
      </c>
      <c r="R65" s="149">
        <f>IF($A65="","",IF($A65&lt;=Inputs!$B$15,Inputs!$B$28,0))</f>
        <v>48643.172307692315</v>
      </c>
      <c r="S65" s="149">
        <f>IF($A65="","",IF($A65&lt;=Inputs!$B$15,Inputs!$B$29,0))</f>
        <v>10984.615384615387</v>
      </c>
      <c r="T65" s="149">
        <f>IF($A65="","",IF($A65&lt;=Inputs!$B$15,Inputs!$B$30,0))</f>
        <v>3406.3846153846157</v>
      </c>
      <c r="U65" s="149">
        <f t="shared" si="10"/>
        <v>63034.172307692315</v>
      </c>
      <c r="V65" s="149">
        <f t="shared" si="11"/>
        <v>63034.172307692315</v>
      </c>
      <c r="W65" s="149">
        <f t="shared" si="12"/>
        <v>0</v>
      </c>
      <c r="X65" s="149">
        <f>IF($B65="","",IF(OR($B66="",ROUNDUP(($A65+1)/Inputs!$B$14,0)&gt;$B65),SUMIF($B$4:$B65,$B65,R$4:R65),0))</f>
        <v>0</v>
      </c>
      <c r="Y65" s="149">
        <f>IF($B65="","",IF(OR($B66="",ROUNDUP(($A65+1)/Inputs!$B$14,0)&gt;$B65),SUMIF($B$4:$B65,$B65,S$4:S65),0))</f>
        <v>0</v>
      </c>
      <c r="Z65" s="149">
        <f>IF($B65="","",IF(OR($B66="",ROUNDUP(($A65+1)/Inputs!$B$14,0)&gt;$B65),SUMIF($B$4:$B65,$B65,T$4:T65),0))</f>
        <v>0</v>
      </c>
      <c r="AA65" s="18"/>
      <c r="AB65" s="18"/>
      <c r="AC65" s="18"/>
      <c r="AD65" s="18"/>
      <c r="AE65" s="18"/>
      <c r="AF65" s="18"/>
      <c r="AG65" s="18"/>
      <c r="AH65" s="18"/>
    </row>
    <row r="66" spans="1:34" ht="18" customHeight="1">
      <c r="A66" s="157">
        <f>IF(A65="","",IF(AND(A65&gt;=Inputs!$B$15,P65+L65+M65+W65&lt;=0.005),"",IF(A65&gt;=Inputs!$C$61,"",A65+1)))</f>
        <v>63</v>
      </c>
      <c r="B66" s="77">
        <f>IF(A66="","",ROUNDUP(A66/Inputs!$B$14,0))</f>
        <v>15</v>
      </c>
      <c r="C66" s="160" t="str">
        <f>IF(A66="","",IF(A66=Inputs!$C$60,"Pago inferior",IF(A66&gt;Inputs!$B$15,"Periodo adicional",IF(N65+L65+M65+W65&gt;0,"Pago normal - aplica vencidos","Pago normal"))))</f>
        <v>Pago normal - aplica vencidos</v>
      </c>
      <c r="D66" s="149">
        <f t="shared" si="13"/>
        <v>2462515.1834332016</v>
      </c>
      <c r="E66" s="149">
        <f>IF(A66="","",D66*Inputs!$B$17)</f>
        <v>29903.050729086455</v>
      </c>
      <c r="F66" s="149">
        <f>IF(A66="","",N65*Inputs!$B$17)</f>
        <v>1982.8472308021189</v>
      </c>
      <c r="G66" s="149">
        <f>IF(A66="","",IF(A66&lt;=Inputs!$B$15,INDEX(Caso1_Normal!$H$4:$H$89,A66),0))</f>
        <v>83094.618378484127</v>
      </c>
      <c r="H66" s="149">
        <f>IF(A66="","",IF(A66=Inputs!$C$60,Inputs!$C$59*(Inputs!$B$20+U66),MIN(Inputs!$B$20+U66,D66+L65+F66+M65+E66+W65+U66)))</f>
        <v>174048.99418446081</v>
      </c>
      <c r="I66" s="149">
        <f t="shared" si="14"/>
        <v>1982.8472308021189</v>
      </c>
      <c r="J66" s="149">
        <f t="shared" si="15"/>
        <v>29903.050729086455</v>
      </c>
      <c r="K66" s="149">
        <f t="shared" si="9"/>
        <v>79128.923916879925</v>
      </c>
      <c r="L66" s="149">
        <f t="shared" si="16"/>
        <v>0</v>
      </c>
      <c r="M66" s="149">
        <f t="shared" si="17"/>
        <v>0</v>
      </c>
      <c r="N66" s="149">
        <f t="shared" si="18"/>
        <v>167253.09468425921</v>
      </c>
      <c r="O66" s="149">
        <f t="shared" si="19"/>
        <v>2216133.1648320626</v>
      </c>
      <c r="P66" s="149">
        <f t="shared" si="20"/>
        <v>2383386.2595163216</v>
      </c>
      <c r="Q66" s="163" t="str">
        <f t="shared" si="21"/>
        <v>En mora</v>
      </c>
      <c r="R66" s="149">
        <f>IF($A66="","",IF($A66&lt;=Inputs!$B$15,Inputs!$B$28,0))</f>
        <v>48643.172307692315</v>
      </c>
      <c r="S66" s="149">
        <f>IF($A66="","",IF($A66&lt;=Inputs!$B$15,Inputs!$B$29,0))</f>
        <v>10984.615384615387</v>
      </c>
      <c r="T66" s="149">
        <f>IF($A66="","",IF($A66&lt;=Inputs!$B$15,Inputs!$B$30,0))</f>
        <v>3406.3846153846157</v>
      </c>
      <c r="U66" s="149">
        <f t="shared" si="10"/>
        <v>63034.172307692315</v>
      </c>
      <c r="V66" s="149">
        <f t="shared" si="11"/>
        <v>63034.172307692315</v>
      </c>
      <c r="W66" s="149">
        <f t="shared" si="12"/>
        <v>0</v>
      </c>
      <c r="X66" s="149">
        <f>IF($B66="","",IF(OR($B67="",ROUNDUP(($A66+1)/Inputs!$B$14,0)&gt;$B66),SUMIF($B$4:$B66,$B66,R$4:R66),0))</f>
        <v>0</v>
      </c>
      <c r="Y66" s="149">
        <f>IF($B66="","",IF(OR($B67="",ROUNDUP(($A66+1)/Inputs!$B$14,0)&gt;$B66),SUMIF($B$4:$B66,$B66,S$4:S66),0))</f>
        <v>0</v>
      </c>
      <c r="Z66" s="149">
        <f>IF($B66="","",IF(OR($B67="",ROUNDUP(($A66+1)/Inputs!$B$14,0)&gt;$B66),SUMIF($B$4:$B66,$B66,T$4:T66),0))</f>
        <v>0</v>
      </c>
      <c r="AA66" s="18"/>
      <c r="AB66" s="18"/>
      <c r="AC66" s="18"/>
      <c r="AD66" s="18"/>
      <c r="AE66" s="18"/>
      <c r="AF66" s="18"/>
      <c r="AG66" s="18"/>
      <c r="AH66" s="18"/>
    </row>
    <row r="67" spans="1:34" ht="18" customHeight="1">
      <c r="A67" s="157">
        <f>IF(A66="","",IF(AND(A66&gt;=Inputs!$B$15,P66+L66+M66+W66&lt;=0.005),"",IF(A66&gt;=Inputs!$C$61,"",A66+1)))</f>
        <v>64</v>
      </c>
      <c r="B67" s="77">
        <f>IF(A67="","",ROUNDUP(A67/Inputs!$B$14,0))</f>
        <v>15</v>
      </c>
      <c r="C67" s="160" t="str">
        <f>IF(A67="","",IF(A67=Inputs!$C$60,"Pago inferior",IF(A67&gt;Inputs!$B$15,"Periodo adicional",IF(N66+L66+M66+W66&gt;0,"Pago normal - aplica vencidos","Pago normal"))))</f>
        <v>Pago normal - aplica vencidos</v>
      </c>
      <c r="D67" s="149">
        <f t="shared" si="13"/>
        <v>2383386.2595163216</v>
      </c>
      <c r="E67" s="149">
        <f>IF(A67="","",D67*Inputs!$B$17)</f>
        <v>28942.164785339475</v>
      </c>
      <c r="F67" s="149">
        <f>IF(A67="","",N66*Inputs!$B$17)</f>
        <v>2031.0038324179011</v>
      </c>
      <c r="G67" s="149">
        <f>IF(A67="","",IF(A67&lt;=Inputs!$B$15,INDEX(Caso1_Normal!$H$4:$H$89,A67),0))</f>
        <v>84103.660923846881</v>
      </c>
      <c r="H67" s="149">
        <f>IF(A67="","",IF(A67=Inputs!$C$60,Inputs!$C$59*(Inputs!$B$20+U67),MIN(Inputs!$B$20+U67,D67+L66+F67+M66+E67+W66+U67)))</f>
        <v>174048.99418446081</v>
      </c>
      <c r="I67" s="149">
        <f t="shared" si="14"/>
        <v>2031.0038324179011</v>
      </c>
      <c r="J67" s="149">
        <f t="shared" si="15"/>
        <v>28942.164785339475</v>
      </c>
      <c r="K67" s="149">
        <f t="shared" si="9"/>
        <v>80041.653259011131</v>
      </c>
      <c r="L67" s="149">
        <f t="shared" si="16"/>
        <v>0</v>
      </c>
      <c r="M67" s="149">
        <f t="shared" si="17"/>
        <v>0</v>
      </c>
      <c r="N67" s="149">
        <f t="shared" si="18"/>
        <v>171315.10234909496</v>
      </c>
      <c r="O67" s="149">
        <f t="shared" si="19"/>
        <v>2132029.5039082156</v>
      </c>
      <c r="P67" s="149">
        <f t="shared" si="20"/>
        <v>2303344.6062573106</v>
      </c>
      <c r="Q67" s="163" t="str">
        <f t="shared" si="21"/>
        <v>En mora</v>
      </c>
      <c r="R67" s="149">
        <f>IF($A67="","",IF($A67&lt;=Inputs!$B$15,Inputs!$B$28,0))</f>
        <v>48643.172307692315</v>
      </c>
      <c r="S67" s="149">
        <f>IF($A67="","",IF($A67&lt;=Inputs!$B$15,Inputs!$B$29,0))</f>
        <v>10984.615384615387</v>
      </c>
      <c r="T67" s="149">
        <f>IF($A67="","",IF($A67&lt;=Inputs!$B$15,Inputs!$B$30,0))</f>
        <v>3406.3846153846157</v>
      </c>
      <c r="U67" s="149">
        <f t="shared" si="10"/>
        <v>63034.172307692315</v>
      </c>
      <c r="V67" s="149">
        <f t="shared" si="11"/>
        <v>63034.172307692315</v>
      </c>
      <c r="W67" s="149">
        <f t="shared" si="12"/>
        <v>0</v>
      </c>
      <c r="X67" s="149">
        <f>IF($B67="","",IF(OR($B68="",ROUNDUP(($A67+1)/Inputs!$B$14,0)&gt;$B67),SUMIF($B$4:$B67,$B67,R$4:R67),0))</f>
        <v>0</v>
      </c>
      <c r="Y67" s="149">
        <f>IF($B67="","",IF(OR($B68="",ROUNDUP(($A67+1)/Inputs!$B$14,0)&gt;$B67),SUMIF($B$4:$B67,$B67,S$4:S67),0))</f>
        <v>0</v>
      </c>
      <c r="Z67" s="149">
        <f>IF($B67="","",IF(OR($B68="",ROUNDUP(($A67+1)/Inputs!$B$14,0)&gt;$B67),SUMIF($B$4:$B67,$B67,T$4:T67),0))</f>
        <v>0</v>
      </c>
      <c r="AA67" s="18"/>
      <c r="AB67" s="18"/>
      <c r="AC67" s="18"/>
      <c r="AD67" s="18"/>
      <c r="AE67" s="18"/>
      <c r="AF67" s="18"/>
      <c r="AG67" s="18"/>
      <c r="AH67" s="18"/>
    </row>
    <row r="68" spans="1:34" ht="18" customHeight="1">
      <c r="A68" s="157">
        <f>IF(A67="","",IF(AND(A67&gt;=Inputs!$B$15,P67+L67+M67+W67&lt;=0.005),"",IF(A67&gt;=Inputs!$C$61,"",A67+1)))</f>
        <v>65</v>
      </c>
      <c r="B68" s="77">
        <f>IF(A68="","",ROUNDUP(A68/Inputs!$B$14,0))</f>
        <v>15</v>
      </c>
      <c r="C68" s="160" t="str">
        <f>IF(A68="","",IF(A68=Inputs!$C$60,"Pago inferior",IF(A68&gt;Inputs!$B$15,"Periodo adicional",IF(N67+L67+M67+W67&gt;0,"Pago normal - aplica vencidos","Pago normal"))))</f>
        <v>Pago normal - aplica vencidos</v>
      </c>
      <c r="D68" s="149">
        <f t="shared" ref="D68:D103" si="22">IF(A68="","",P67)</f>
        <v>2303344.6062573106</v>
      </c>
      <c r="E68" s="149">
        <f>IF(A68="","",D68*Inputs!$B$17)</f>
        <v>27970.195299040839</v>
      </c>
      <c r="F68" s="149">
        <f>IF(A68="","",N67*Inputs!$B$17)</f>
        <v>2080.3299937673614</v>
      </c>
      <c r="G68" s="149">
        <f>IF(A68="","",IF(A68&lt;=Inputs!$B$15,INDEX(Caso1_Normal!$H$4:$H$89,A68),0))</f>
        <v>85124.956571494986</v>
      </c>
      <c r="H68" s="149">
        <f>IF(A68="","",IF(A68=Inputs!$C$60,Inputs!$C$59*(Inputs!$B$20+U68),MIN(Inputs!$B$20+U68,D68+L67+F68+M67+E68+W67+U68)))</f>
        <v>174048.99418446081</v>
      </c>
      <c r="I68" s="149">
        <f t="shared" ref="I68:I99" si="23">IF(A68="","",MIN(H68,L67+F68))</f>
        <v>2080.3299937673614</v>
      </c>
      <c r="J68" s="149">
        <f t="shared" ref="J68:J99" si="24">IF(A68="","",MIN(MAX(0,H68-I68),M67+E68))</f>
        <v>27970.195299040839</v>
      </c>
      <c r="K68" s="149">
        <f t="shared" si="9"/>
        <v>80964.296583960269</v>
      </c>
      <c r="L68" s="149">
        <f t="shared" ref="L68:L103" si="25">IF(A68="","",MAX(0,L67+F68-I68))</f>
        <v>0</v>
      </c>
      <c r="M68" s="149">
        <f t="shared" ref="M68:M103" si="26">IF(A68="","",MAX(0,M67+E68-J68))</f>
        <v>0</v>
      </c>
      <c r="N68" s="149">
        <f t="shared" ref="N68:N103" si="27">IF(A68="","",MAX(0,N67+G68-K68))</f>
        <v>175475.76233662968</v>
      </c>
      <c r="O68" s="149">
        <f t="shared" ref="O68:O99" si="28">IF(A68="","",MAX(0,P68-N68))</f>
        <v>2046904.5473367206</v>
      </c>
      <c r="P68" s="149">
        <f t="shared" ref="P68:P103" si="29">IF(A68="","",MAX(0,D68-K68))</f>
        <v>2222380.3096733503</v>
      </c>
      <c r="Q68" s="163" t="str">
        <f t="shared" ref="Q68:Q99" si="30">IF(A68="","",IF(P68+L68+M68+W68&lt;=0.005,"Cancelado",IF(N68+L68+M68+W68&gt;0,"En mora","Vigente al día")))</f>
        <v>En mora</v>
      </c>
      <c r="R68" s="149">
        <f>IF($A68="","",IF($A68&lt;=Inputs!$B$15,Inputs!$B$28,0))</f>
        <v>48643.172307692315</v>
      </c>
      <c r="S68" s="149">
        <f>IF($A68="","",IF($A68&lt;=Inputs!$B$15,Inputs!$B$29,0))</f>
        <v>10984.615384615387</v>
      </c>
      <c r="T68" s="149">
        <f>IF($A68="","",IF($A68&lt;=Inputs!$B$15,Inputs!$B$30,0))</f>
        <v>3406.3846153846157</v>
      </c>
      <c r="U68" s="149">
        <f t="shared" si="10"/>
        <v>63034.172307692315</v>
      </c>
      <c r="V68" s="149">
        <f t="shared" si="11"/>
        <v>63034.172307692315</v>
      </c>
      <c r="W68" s="149">
        <f t="shared" si="12"/>
        <v>0</v>
      </c>
      <c r="X68" s="149">
        <f>IF($B68="","",IF(OR($B69="",ROUNDUP(($A68+1)/Inputs!$B$14,0)&gt;$B68),SUMIF($B$4:$B68,$B68,R$4:R68),0))</f>
        <v>243215.86153846158</v>
      </c>
      <c r="Y68" s="149">
        <f>IF($B68="","",IF(OR($B69="",ROUNDUP(($A68+1)/Inputs!$B$14,0)&gt;$B68),SUMIF($B$4:$B68,$B68,S$4:S68),0))</f>
        <v>54923.076923076937</v>
      </c>
      <c r="Z68" s="149">
        <f>IF($B68="","",IF(OR($B69="",ROUNDUP(($A68+1)/Inputs!$B$14,0)&gt;$B68),SUMIF($B$4:$B68,$B68,T$4:T68),0))</f>
        <v>17031.923076923078</v>
      </c>
      <c r="AA68" s="18"/>
      <c r="AB68" s="18"/>
      <c r="AC68" s="18"/>
      <c r="AD68" s="18"/>
      <c r="AE68" s="18"/>
      <c r="AF68" s="18"/>
      <c r="AG68" s="18"/>
      <c r="AH68" s="18"/>
    </row>
    <row r="69" spans="1:34" ht="18" customHeight="1">
      <c r="A69" s="157">
        <f>IF(A68="","",IF(AND(A68&gt;=Inputs!$B$15,P68+L68+M68+W68&lt;=0.005),"",IF(A68&gt;=Inputs!$C$61,"",A68+1)))</f>
        <v>66</v>
      </c>
      <c r="B69" s="77">
        <f>IF(A69="","",ROUNDUP(A69/Inputs!$B$14,0))</f>
        <v>16</v>
      </c>
      <c r="C69" s="160" t="str">
        <f>IF(A69="","",IF(A69=Inputs!$C$60,"Pago inferior",IF(A69&gt;Inputs!$B$15,"Periodo adicional",IF(N68+L68+M68+W68&gt;0,"Pago normal - aplica vencidos","Pago normal"))))</f>
        <v>Pago normal - aplica vencidos</v>
      </c>
      <c r="D69" s="149">
        <f t="shared" si="22"/>
        <v>2222380.3096733503</v>
      </c>
      <c r="E69" s="149">
        <f>IF(A69="","",D69*Inputs!$B$17)</f>
        <v>26987.021881762848</v>
      </c>
      <c r="F69" s="149">
        <f>IF(A69="","",N68*Inputs!$B$17)</f>
        <v>2130.8541194705263</v>
      </c>
      <c r="G69" s="149">
        <f>IF(A69="","",IF(A69&lt;=Inputs!$B$15,INDEX(Caso1_Normal!$H$4:$H$89,A69),0))</f>
        <v>86158.654114476143</v>
      </c>
      <c r="H69" s="149">
        <f>IF(A69="","",IF(A69=Inputs!$C$60,Inputs!$C$59*(Inputs!$B$20+U69),MIN(Inputs!$B$20+U69,D69+L68+F69+M68+E69+W68+U69)))</f>
        <v>174048.99418446081</v>
      </c>
      <c r="I69" s="149">
        <f t="shared" si="23"/>
        <v>2130.8541194705263</v>
      </c>
      <c r="J69" s="149">
        <f t="shared" si="24"/>
        <v>26987.021881762848</v>
      </c>
      <c r="K69" s="149">
        <f t="shared" ref="K69:K103" si="31">IF(A69="","",MIN(MAX(0,H69-I69-J69-V69),D69))</f>
        <v>81896.945875535108</v>
      </c>
      <c r="L69" s="149">
        <f t="shared" si="25"/>
        <v>0</v>
      </c>
      <c r="M69" s="149">
        <f t="shared" si="26"/>
        <v>0</v>
      </c>
      <c r="N69" s="149">
        <f t="shared" si="27"/>
        <v>179737.47057557071</v>
      </c>
      <c r="O69" s="149">
        <f t="shared" si="28"/>
        <v>1960745.8932222445</v>
      </c>
      <c r="P69" s="149">
        <f t="shared" si="29"/>
        <v>2140483.3637978151</v>
      </c>
      <c r="Q69" s="163" t="str">
        <f t="shared" si="30"/>
        <v>En mora</v>
      </c>
      <c r="R69" s="149">
        <f>IF($A69="","",IF($A69&lt;=Inputs!$B$15,Inputs!$B$28,0))</f>
        <v>48643.172307692315</v>
      </c>
      <c r="S69" s="149">
        <f>IF($A69="","",IF($A69&lt;=Inputs!$B$15,Inputs!$B$29,0))</f>
        <v>10984.615384615387</v>
      </c>
      <c r="T69" s="149">
        <f>IF($A69="","",IF($A69&lt;=Inputs!$B$15,Inputs!$B$30,0))</f>
        <v>3406.3846153846157</v>
      </c>
      <c r="U69" s="149">
        <f t="shared" ref="U69:U103" si="32">IF($A69="","",SUM(R69:T69))</f>
        <v>63034.172307692315</v>
      </c>
      <c r="V69" s="149">
        <f t="shared" ref="V69:V103" si="33">IF($A69="","",MIN(MAX(0,H69-I69-J69),W68+U69))</f>
        <v>63034.172307692315</v>
      </c>
      <c r="W69" s="149">
        <f t="shared" ref="W69:W103" si="34">IF($A69="","",MAX(0,W68+U69-V69))</f>
        <v>0</v>
      </c>
      <c r="X69" s="149">
        <f>IF($B69="","",IF(OR($B70="",ROUNDUP(($A69+1)/Inputs!$B$14,0)&gt;$B69),SUMIF($B$4:$B69,$B69,R$4:R69),0))</f>
        <v>0</v>
      </c>
      <c r="Y69" s="149">
        <f>IF($B69="","",IF(OR($B70="",ROUNDUP(($A69+1)/Inputs!$B$14,0)&gt;$B69),SUMIF($B$4:$B69,$B69,S$4:S69),0))</f>
        <v>0</v>
      </c>
      <c r="Z69" s="149">
        <f>IF($B69="","",IF(OR($B70="",ROUNDUP(($A69+1)/Inputs!$B$14,0)&gt;$B69),SUMIF($B$4:$B69,$B69,T$4:T69),0))</f>
        <v>0</v>
      </c>
      <c r="AA69" s="18"/>
      <c r="AB69" s="18"/>
      <c r="AC69" s="18"/>
      <c r="AD69" s="18"/>
      <c r="AE69" s="18"/>
      <c r="AF69" s="18"/>
      <c r="AG69" s="18"/>
      <c r="AH69" s="18"/>
    </row>
    <row r="70" spans="1:34" ht="18" customHeight="1">
      <c r="A70" s="157">
        <f>IF(A69="","",IF(AND(A69&gt;=Inputs!$B$15,P69+L69+M69+W69&lt;=0.005),"",IF(A69&gt;=Inputs!$C$61,"",A69+1)))</f>
        <v>67</v>
      </c>
      <c r="B70" s="77">
        <f>IF(A70="","",ROUNDUP(A70/Inputs!$B$14,0))</f>
        <v>16</v>
      </c>
      <c r="C70" s="160" t="str">
        <f>IF(A70="","",IF(A70=Inputs!$C$60,"Pago inferior",IF(A70&gt;Inputs!$B$15,"Periodo adicional",IF(N69+L69+M69+W69&gt;0,"Pago normal - aplica vencidos","Pago normal"))))</f>
        <v>Pago normal - aplica vencidos</v>
      </c>
      <c r="D70" s="149">
        <f t="shared" si="22"/>
        <v>2140483.3637978151</v>
      </c>
      <c r="E70" s="149">
        <f>IF(A70="","",D70*Inputs!$B$17)</f>
        <v>25992.523028091186</v>
      </c>
      <c r="F70" s="149">
        <f>IF(A70="","",N69*Inputs!$B$17)</f>
        <v>2182.6053039988369</v>
      </c>
      <c r="G70" s="149">
        <f>IF(A70="","",IF(A70&lt;=Inputs!$B$15,INDEX(Caso1_Normal!$H$4:$H$89,A70),0))</f>
        <v>87204.904152676114</v>
      </c>
      <c r="H70" s="149">
        <f>IF(A70="","",IF(A70=Inputs!$C$60,Inputs!$C$59*(Inputs!$B$20+U70),MIN(Inputs!$B$20+U70,D70+L69+F70+M69+E70+W69+U70)))</f>
        <v>174048.99418446081</v>
      </c>
      <c r="I70" s="149">
        <f t="shared" si="23"/>
        <v>2182.6053039988369</v>
      </c>
      <c r="J70" s="149">
        <f t="shared" si="24"/>
        <v>25992.523028091186</v>
      </c>
      <c r="K70" s="149">
        <f t="shared" si="31"/>
        <v>82839.693544678477</v>
      </c>
      <c r="L70" s="149">
        <f t="shared" si="25"/>
        <v>0</v>
      </c>
      <c r="M70" s="149">
        <f t="shared" si="26"/>
        <v>0</v>
      </c>
      <c r="N70" s="149">
        <f t="shared" si="27"/>
        <v>184102.68118356835</v>
      </c>
      <c r="O70" s="149">
        <f t="shared" si="28"/>
        <v>1873540.9890695682</v>
      </c>
      <c r="P70" s="149">
        <f t="shared" si="29"/>
        <v>2057643.6702531367</v>
      </c>
      <c r="Q70" s="163" t="str">
        <f t="shared" si="30"/>
        <v>En mora</v>
      </c>
      <c r="R70" s="149">
        <f>IF($A70="","",IF($A70&lt;=Inputs!$B$15,Inputs!$B$28,0))</f>
        <v>48643.172307692315</v>
      </c>
      <c r="S70" s="149">
        <f>IF($A70="","",IF($A70&lt;=Inputs!$B$15,Inputs!$B$29,0))</f>
        <v>10984.615384615387</v>
      </c>
      <c r="T70" s="149">
        <f>IF($A70="","",IF($A70&lt;=Inputs!$B$15,Inputs!$B$30,0))</f>
        <v>3406.3846153846157</v>
      </c>
      <c r="U70" s="149">
        <f t="shared" si="32"/>
        <v>63034.172307692315</v>
      </c>
      <c r="V70" s="149">
        <f t="shared" si="33"/>
        <v>63034.172307692315</v>
      </c>
      <c r="W70" s="149">
        <f t="shared" si="34"/>
        <v>0</v>
      </c>
      <c r="X70" s="149">
        <f>IF($B70="","",IF(OR($B71="",ROUNDUP(($A70+1)/Inputs!$B$14,0)&gt;$B70),SUMIF($B$4:$B70,$B70,R$4:R70),0))</f>
        <v>0</v>
      </c>
      <c r="Y70" s="149">
        <f>IF($B70="","",IF(OR($B71="",ROUNDUP(($A70+1)/Inputs!$B$14,0)&gt;$B70),SUMIF($B$4:$B70,$B70,S$4:S70),0))</f>
        <v>0</v>
      </c>
      <c r="Z70" s="149">
        <f>IF($B70="","",IF(OR($B71="",ROUNDUP(($A70+1)/Inputs!$B$14,0)&gt;$B70),SUMIF($B$4:$B70,$B70,T$4:T70),0))</f>
        <v>0</v>
      </c>
      <c r="AA70" s="18"/>
      <c r="AB70" s="18"/>
      <c r="AC70" s="18"/>
      <c r="AD70" s="18"/>
      <c r="AE70" s="18"/>
      <c r="AF70" s="18"/>
      <c r="AG70" s="18"/>
      <c r="AH70" s="18"/>
    </row>
    <row r="71" spans="1:34" ht="18" customHeight="1">
      <c r="A71" s="157">
        <f>IF(A70="","",IF(AND(A70&gt;=Inputs!$B$15,P70+L70+M70+W70&lt;=0.005),"",IF(A70&gt;=Inputs!$C$61,"",A70+1)))</f>
        <v>68</v>
      </c>
      <c r="B71" s="77">
        <f>IF(A71="","",ROUNDUP(A71/Inputs!$B$14,0))</f>
        <v>16</v>
      </c>
      <c r="C71" s="160" t="str">
        <f>IF(A71="","",IF(A71=Inputs!$C$60,"Pago inferior",IF(A71&gt;Inputs!$B$15,"Periodo adicional",IF(N70+L70+M70+W70&gt;0,"Pago normal - aplica vencidos","Pago normal"))))</f>
        <v>Pago normal - aplica vencidos</v>
      </c>
      <c r="D71" s="149">
        <f t="shared" si="22"/>
        <v>2057643.6702531367</v>
      </c>
      <c r="E71" s="149">
        <f>IF(A71="","",D71*Inputs!$B$17)</f>
        <v>24986.576110438124</v>
      </c>
      <c r="F71" s="149">
        <f>IF(A71="","",N70*Inputs!$B$17)</f>
        <v>2235.6133484292932</v>
      </c>
      <c r="G71" s="149">
        <f>IF(A71="","",IF(A71&lt;=Inputs!$B$15,INDEX(Caso1_Normal!$H$4:$H$89,A71),0))</f>
        <v>88263.859114759631</v>
      </c>
      <c r="H71" s="149">
        <f>IF(A71="","",IF(A71=Inputs!$C$60,Inputs!$C$59*(Inputs!$B$20+U71),MIN(Inputs!$B$20+U71,D71+L70+F71+M70+E71+W70+U71)))</f>
        <v>174048.99418446081</v>
      </c>
      <c r="I71" s="149">
        <f t="shared" si="23"/>
        <v>2235.6133484292932</v>
      </c>
      <c r="J71" s="149">
        <f t="shared" si="24"/>
        <v>24986.576110438124</v>
      </c>
      <c r="K71" s="149">
        <f t="shared" si="31"/>
        <v>83792.63241790107</v>
      </c>
      <c r="L71" s="149">
        <f t="shared" si="25"/>
        <v>0</v>
      </c>
      <c r="M71" s="149">
        <f t="shared" si="26"/>
        <v>0</v>
      </c>
      <c r="N71" s="149">
        <f t="shared" si="27"/>
        <v>188573.90788042691</v>
      </c>
      <c r="O71" s="149">
        <f t="shared" si="28"/>
        <v>1785277.1299548089</v>
      </c>
      <c r="P71" s="149">
        <f t="shared" si="29"/>
        <v>1973851.0378352357</v>
      </c>
      <c r="Q71" s="163" t="str">
        <f t="shared" si="30"/>
        <v>En mora</v>
      </c>
      <c r="R71" s="149">
        <f>IF($A71="","",IF($A71&lt;=Inputs!$B$15,Inputs!$B$28,0))</f>
        <v>48643.172307692315</v>
      </c>
      <c r="S71" s="149">
        <f>IF($A71="","",IF($A71&lt;=Inputs!$B$15,Inputs!$B$29,0))</f>
        <v>10984.615384615387</v>
      </c>
      <c r="T71" s="149">
        <f>IF($A71="","",IF($A71&lt;=Inputs!$B$15,Inputs!$B$30,0))</f>
        <v>3406.3846153846157</v>
      </c>
      <c r="U71" s="149">
        <f t="shared" si="32"/>
        <v>63034.172307692315</v>
      </c>
      <c r="V71" s="149">
        <f t="shared" si="33"/>
        <v>63034.172307692315</v>
      </c>
      <c r="W71" s="149">
        <f t="shared" si="34"/>
        <v>0</v>
      </c>
      <c r="X71" s="149">
        <f>IF($B71="","",IF(OR($B72="",ROUNDUP(($A71+1)/Inputs!$B$14,0)&gt;$B71),SUMIF($B$4:$B71,$B71,R$4:R71),0))</f>
        <v>0</v>
      </c>
      <c r="Y71" s="149">
        <f>IF($B71="","",IF(OR($B72="",ROUNDUP(($A71+1)/Inputs!$B$14,0)&gt;$B71),SUMIF($B$4:$B71,$B71,S$4:S71),0))</f>
        <v>0</v>
      </c>
      <c r="Z71" s="149">
        <f>IF($B71="","",IF(OR($B72="",ROUNDUP(($A71+1)/Inputs!$B$14,0)&gt;$B71),SUMIF($B$4:$B71,$B71,T$4:T71),0))</f>
        <v>0</v>
      </c>
      <c r="AA71" s="18"/>
      <c r="AB71" s="18"/>
      <c r="AC71" s="18"/>
      <c r="AD71" s="18"/>
      <c r="AE71" s="18"/>
      <c r="AF71" s="18"/>
      <c r="AG71" s="18"/>
      <c r="AH71" s="18"/>
    </row>
    <row r="72" spans="1:34" ht="18" customHeight="1">
      <c r="A72" s="157">
        <f>IF(A71="","",IF(AND(A71&gt;=Inputs!$B$15,P71+L71+M71+W71&lt;=0.005),"",IF(A71&gt;=Inputs!$C$61,"",A71+1)))</f>
        <v>69</v>
      </c>
      <c r="B72" s="77">
        <f>IF(A72="","",ROUNDUP(A72/Inputs!$B$14,0))</f>
        <v>16</v>
      </c>
      <c r="C72" s="160" t="str">
        <f>IF(A72="","",IF(A72=Inputs!$C$60,"Pago inferior",IF(A72&gt;Inputs!$B$15,"Periodo adicional",IF(N71+L71+M71+W71&gt;0,"Pago normal - aplica vencidos","Pago normal"))))</f>
        <v>Pago normal - aplica vencidos</v>
      </c>
      <c r="D72" s="149">
        <f t="shared" si="22"/>
        <v>1973851.0378352357</v>
      </c>
      <c r="E72" s="149">
        <f>IF(A72="","",D72*Inputs!$B$17)</f>
        <v>23969.057373996126</v>
      </c>
      <c r="F72" s="149">
        <f>IF(A72="","",N71*Inputs!$B$17)</f>
        <v>2289.9087776054903</v>
      </c>
      <c r="G72" s="149">
        <f>IF(A72="","",IF(A72&lt;=Inputs!$B$15,INDEX(Caso1_Normal!$H$4:$H$89,A72),0))</f>
        <v>89335.673280377829</v>
      </c>
      <c r="H72" s="149">
        <f>IF(A72="","",IF(A72=Inputs!$C$60,Inputs!$C$59*(Inputs!$B$20+U72),MIN(Inputs!$B$20+U72,D72+L71+F72+M71+E72+W71+U72)))</f>
        <v>174048.99418446081</v>
      </c>
      <c r="I72" s="149">
        <f t="shared" si="23"/>
        <v>2289.9087776054903</v>
      </c>
      <c r="J72" s="149">
        <f t="shared" si="24"/>
        <v>23969.057373996126</v>
      </c>
      <c r="K72" s="149">
        <f t="shared" si="31"/>
        <v>84755.855725166883</v>
      </c>
      <c r="L72" s="149">
        <f t="shared" si="25"/>
        <v>0</v>
      </c>
      <c r="M72" s="149">
        <f t="shared" si="26"/>
        <v>0</v>
      </c>
      <c r="N72" s="149">
        <f t="shared" si="27"/>
        <v>193153.72543563784</v>
      </c>
      <c r="O72" s="149">
        <f t="shared" si="28"/>
        <v>1695941.456674431</v>
      </c>
      <c r="P72" s="149">
        <f t="shared" si="29"/>
        <v>1889095.1821100689</v>
      </c>
      <c r="Q72" s="163" t="str">
        <f t="shared" si="30"/>
        <v>En mora</v>
      </c>
      <c r="R72" s="149">
        <f>IF($A72="","",IF($A72&lt;=Inputs!$B$15,Inputs!$B$28,0))</f>
        <v>48643.172307692315</v>
      </c>
      <c r="S72" s="149">
        <f>IF($A72="","",IF($A72&lt;=Inputs!$B$15,Inputs!$B$29,0))</f>
        <v>10984.615384615387</v>
      </c>
      <c r="T72" s="149">
        <f>IF($A72="","",IF($A72&lt;=Inputs!$B$15,Inputs!$B$30,0))</f>
        <v>3406.3846153846157</v>
      </c>
      <c r="U72" s="149">
        <f t="shared" si="32"/>
        <v>63034.172307692315</v>
      </c>
      <c r="V72" s="149">
        <f t="shared" si="33"/>
        <v>63034.172307692315</v>
      </c>
      <c r="W72" s="149">
        <f t="shared" si="34"/>
        <v>0</v>
      </c>
      <c r="X72" s="149">
        <f>IF($B72="","",IF(OR($B73="",ROUNDUP(($A72+1)/Inputs!$B$14,0)&gt;$B72),SUMIF($B$4:$B72,$B72,R$4:R72),0))</f>
        <v>194572.68923076926</v>
      </c>
      <c r="Y72" s="149">
        <f>IF($B72="","",IF(OR($B73="",ROUNDUP(($A72+1)/Inputs!$B$14,0)&gt;$B72),SUMIF($B$4:$B72,$B72,S$4:S72),0))</f>
        <v>43938.461538461546</v>
      </c>
      <c r="Z72" s="149">
        <f>IF($B72="","",IF(OR($B73="",ROUNDUP(($A72+1)/Inputs!$B$14,0)&gt;$B72),SUMIF($B$4:$B72,$B72,T$4:T72),0))</f>
        <v>13625.538461538463</v>
      </c>
      <c r="AA72" s="18"/>
      <c r="AB72" s="18"/>
      <c r="AC72" s="18"/>
      <c r="AD72" s="18"/>
      <c r="AE72" s="18"/>
      <c r="AF72" s="18"/>
      <c r="AG72" s="18"/>
      <c r="AH72" s="18"/>
    </row>
    <row r="73" spans="1:34" ht="18" customHeight="1">
      <c r="A73" s="157">
        <f>IF(A72="","",IF(AND(A72&gt;=Inputs!$B$15,P72+L72+M72+W72&lt;=0.005),"",IF(A72&gt;=Inputs!$C$61,"",A72+1)))</f>
        <v>70</v>
      </c>
      <c r="B73" s="77">
        <f>IF(A73="","",ROUNDUP(A73/Inputs!$B$14,0))</f>
        <v>17</v>
      </c>
      <c r="C73" s="160" t="str">
        <f>IF(A73="","",IF(A73=Inputs!$C$60,"Pago inferior",IF(A73&gt;Inputs!$B$15,"Periodo adicional",IF(N72+L72+M72+W72&gt;0,"Pago normal - aplica vencidos","Pago normal"))))</f>
        <v>Pago normal - aplica vencidos</v>
      </c>
      <c r="D73" s="149">
        <f t="shared" si="22"/>
        <v>1889095.1821100689</v>
      </c>
      <c r="E73" s="149">
        <f>IF(A73="","",D73*Inputs!$B$17)</f>
        <v>22939.841931838611</v>
      </c>
      <c r="F73" s="149">
        <f>IF(A73="","",N72*Inputs!$B$17)</f>
        <v>2345.5228577154444</v>
      </c>
      <c r="G73" s="149">
        <f>IF(A73="","",IF(A73&lt;=Inputs!$B$15,INDEX(Caso1_Normal!$H$4:$H$89,A73),0))</f>
        <v>90420.502802645293</v>
      </c>
      <c r="H73" s="149">
        <f>IF(A73="","",IF(A73=Inputs!$C$60,Inputs!$C$59*(Inputs!$B$20+U73),MIN(Inputs!$B$20+U73,D73+L72+F73+M72+E73+W72+U73)))</f>
        <v>174048.99418446081</v>
      </c>
      <c r="I73" s="149">
        <f t="shared" si="23"/>
        <v>2345.5228577154444</v>
      </c>
      <c r="J73" s="149">
        <f t="shared" si="24"/>
        <v>22939.841931838611</v>
      </c>
      <c r="K73" s="149">
        <f t="shared" si="31"/>
        <v>85729.457087214454</v>
      </c>
      <c r="L73" s="149">
        <f t="shared" si="25"/>
        <v>0</v>
      </c>
      <c r="M73" s="149">
        <f t="shared" si="26"/>
        <v>0</v>
      </c>
      <c r="N73" s="149">
        <f t="shared" si="27"/>
        <v>197844.77115106868</v>
      </c>
      <c r="O73" s="149">
        <f t="shared" si="28"/>
        <v>1605520.9538717857</v>
      </c>
      <c r="P73" s="149">
        <f t="shared" si="29"/>
        <v>1803365.7250228543</v>
      </c>
      <c r="Q73" s="163" t="str">
        <f t="shared" si="30"/>
        <v>En mora</v>
      </c>
      <c r="R73" s="149">
        <f>IF($A73="","",IF($A73&lt;=Inputs!$B$15,Inputs!$B$28,0))</f>
        <v>48643.172307692315</v>
      </c>
      <c r="S73" s="149">
        <f>IF($A73="","",IF($A73&lt;=Inputs!$B$15,Inputs!$B$29,0))</f>
        <v>10984.615384615387</v>
      </c>
      <c r="T73" s="149">
        <f>IF($A73="","",IF($A73&lt;=Inputs!$B$15,Inputs!$B$30,0))</f>
        <v>3406.3846153846157</v>
      </c>
      <c r="U73" s="149">
        <f t="shared" si="32"/>
        <v>63034.172307692315</v>
      </c>
      <c r="V73" s="149">
        <f t="shared" si="33"/>
        <v>63034.172307692315</v>
      </c>
      <c r="W73" s="149">
        <f t="shared" si="34"/>
        <v>0</v>
      </c>
      <c r="X73" s="149">
        <f>IF($B73="","",IF(OR($B74="",ROUNDUP(($A73+1)/Inputs!$B$14,0)&gt;$B73),SUMIF($B$4:$B73,$B73,R$4:R73),0))</f>
        <v>0</v>
      </c>
      <c r="Y73" s="149">
        <f>IF($B73="","",IF(OR($B74="",ROUNDUP(($A73+1)/Inputs!$B$14,0)&gt;$B73),SUMIF($B$4:$B73,$B73,S$4:S73),0))</f>
        <v>0</v>
      </c>
      <c r="Z73" s="149">
        <f>IF($B73="","",IF(OR($B74="",ROUNDUP(($A73+1)/Inputs!$B$14,0)&gt;$B73),SUMIF($B$4:$B73,$B73,T$4:T73),0))</f>
        <v>0</v>
      </c>
      <c r="AA73" s="18"/>
      <c r="AB73" s="18"/>
      <c r="AC73" s="18"/>
      <c r="AD73" s="18"/>
      <c r="AE73" s="18"/>
      <c r="AF73" s="18"/>
      <c r="AG73" s="18"/>
      <c r="AH73" s="18"/>
    </row>
    <row r="74" spans="1:34" ht="18" customHeight="1">
      <c r="A74" s="157">
        <f>IF(A73="","",IF(AND(A73&gt;=Inputs!$B$15,P73+L73+M73+W73&lt;=0.005),"",IF(A73&gt;=Inputs!$C$61,"",A73+1)))</f>
        <v>71</v>
      </c>
      <c r="B74" s="77">
        <f>IF(A74="","",ROUNDUP(A74/Inputs!$B$14,0))</f>
        <v>17</v>
      </c>
      <c r="C74" s="160" t="str">
        <f>IF(A74="","",IF(A74=Inputs!$C$60,"Pago inferior",IF(A74&gt;Inputs!$B$15,"Periodo adicional",IF(N73+L73+M73+W73&gt;0,"Pago normal - aplica vencidos","Pago normal"))))</f>
        <v>Pago normal - aplica vencidos</v>
      </c>
      <c r="D74" s="149">
        <f t="shared" si="22"/>
        <v>1803365.7250228543</v>
      </c>
      <c r="E74" s="149">
        <f>IF(A74="","",D74*Inputs!$B$17)</f>
        <v>21898.803760174662</v>
      </c>
      <c r="F74" s="149">
        <f>IF(A74="","",N73*Inputs!$B$17)</f>
        <v>2402.487614296324</v>
      </c>
      <c r="G74" s="149">
        <f>IF(A74="","",IF(A74&lt;=Inputs!$B$15,INDEX(Caso1_Normal!$H$4:$H$89,A74),0))</f>
        <v>91518.505730890116</v>
      </c>
      <c r="H74" s="149">
        <f>IF(A74="","",IF(A74=Inputs!$C$60,Inputs!$C$59*(Inputs!$B$20+U74),MIN(Inputs!$B$20+U74,D74+L73+F74+M73+E74+W73+U74)))</f>
        <v>174048.99418446081</v>
      </c>
      <c r="I74" s="149">
        <f t="shared" si="23"/>
        <v>2402.487614296324</v>
      </c>
      <c r="J74" s="149">
        <f t="shared" si="24"/>
        <v>21898.803760174662</v>
      </c>
      <c r="K74" s="149">
        <f t="shared" si="31"/>
        <v>86713.530502297508</v>
      </c>
      <c r="L74" s="149">
        <f t="shared" si="25"/>
        <v>0</v>
      </c>
      <c r="M74" s="149">
        <f t="shared" si="26"/>
        <v>0</v>
      </c>
      <c r="N74" s="149">
        <f t="shared" si="27"/>
        <v>202649.74637966132</v>
      </c>
      <c r="O74" s="149">
        <f t="shared" si="28"/>
        <v>1514002.4481408955</v>
      </c>
      <c r="P74" s="149">
        <f t="shared" si="29"/>
        <v>1716652.1945205568</v>
      </c>
      <c r="Q74" s="163" t="str">
        <f t="shared" si="30"/>
        <v>En mora</v>
      </c>
      <c r="R74" s="149">
        <f>IF($A74="","",IF($A74&lt;=Inputs!$B$15,Inputs!$B$28,0))</f>
        <v>48643.172307692315</v>
      </c>
      <c r="S74" s="149">
        <f>IF($A74="","",IF($A74&lt;=Inputs!$B$15,Inputs!$B$29,0))</f>
        <v>10984.615384615387</v>
      </c>
      <c r="T74" s="149">
        <f>IF($A74="","",IF($A74&lt;=Inputs!$B$15,Inputs!$B$30,0))</f>
        <v>3406.3846153846157</v>
      </c>
      <c r="U74" s="149">
        <f t="shared" si="32"/>
        <v>63034.172307692315</v>
      </c>
      <c r="V74" s="149">
        <f t="shared" si="33"/>
        <v>63034.172307692315</v>
      </c>
      <c r="W74" s="149">
        <f t="shared" si="34"/>
        <v>0</v>
      </c>
      <c r="X74" s="149">
        <f>IF($B74="","",IF(OR($B75="",ROUNDUP(($A74+1)/Inputs!$B$14,0)&gt;$B74),SUMIF($B$4:$B74,$B74,R$4:R74),0))</f>
        <v>0</v>
      </c>
      <c r="Y74" s="149">
        <f>IF($B74="","",IF(OR($B75="",ROUNDUP(($A74+1)/Inputs!$B$14,0)&gt;$B74),SUMIF($B$4:$B74,$B74,S$4:S74),0))</f>
        <v>0</v>
      </c>
      <c r="Z74" s="149">
        <f>IF($B74="","",IF(OR($B75="",ROUNDUP(($A74+1)/Inputs!$B$14,0)&gt;$B74),SUMIF($B$4:$B74,$B74,T$4:T74),0))</f>
        <v>0</v>
      </c>
      <c r="AA74" s="18"/>
      <c r="AB74" s="18"/>
      <c r="AC74" s="18"/>
      <c r="AD74" s="18"/>
      <c r="AE74" s="18"/>
      <c r="AF74" s="18"/>
      <c r="AG74" s="18"/>
      <c r="AH74" s="18"/>
    </row>
    <row r="75" spans="1:34" ht="18" customHeight="1">
      <c r="A75" s="157">
        <f>IF(A74="","",IF(AND(A74&gt;=Inputs!$B$15,P74+L74+M74+W74&lt;=0.005),"",IF(A74&gt;=Inputs!$C$61,"",A74+1)))</f>
        <v>72</v>
      </c>
      <c r="B75" s="77">
        <f>IF(A75="","",ROUNDUP(A75/Inputs!$B$14,0))</f>
        <v>17</v>
      </c>
      <c r="C75" s="160" t="str">
        <f>IF(A75="","",IF(A75=Inputs!$C$60,"Pago inferior",IF(A75&gt;Inputs!$B$15,"Periodo adicional",IF(N74+L74+M74+W74&gt;0,"Pago normal - aplica vencidos","Pago normal"))))</f>
        <v>Pago normal - aplica vencidos</v>
      </c>
      <c r="D75" s="149">
        <f t="shared" si="22"/>
        <v>1716652.1945205568</v>
      </c>
      <c r="E75" s="149">
        <f>IF(A75="","",D75*Inputs!$B$17)</f>
        <v>20845.815693764744</v>
      </c>
      <c r="F75" s="149">
        <f>IF(A75="","",N74*Inputs!$B$17)</f>
        <v>2460.8358506764498</v>
      </c>
      <c r="G75" s="149">
        <f>IF(A75="","",IF(A75&lt;=Inputs!$B$15,INDEX(Caso1_Normal!$H$4:$H$89,A75),0))</f>
        <v>92629.842033680165</v>
      </c>
      <c r="H75" s="149">
        <f>IF(A75="","",IF(A75=Inputs!$C$60,Inputs!$C$59*(Inputs!$B$20+U75),MIN(Inputs!$B$20+U75,D75+L74+F75+M74+E75+W74+U75)))</f>
        <v>174048.99418446081</v>
      </c>
      <c r="I75" s="149">
        <f t="shared" si="23"/>
        <v>2460.8358506764498</v>
      </c>
      <c r="J75" s="149">
        <f t="shared" si="24"/>
        <v>20845.815693764744</v>
      </c>
      <c r="K75" s="149">
        <f t="shared" si="31"/>
        <v>87708.170332327281</v>
      </c>
      <c r="L75" s="149">
        <f t="shared" si="25"/>
        <v>0</v>
      </c>
      <c r="M75" s="149">
        <f t="shared" si="26"/>
        <v>0</v>
      </c>
      <c r="N75" s="149">
        <f t="shared" si="27"/>
        <v>207571.41808101421</v>
      </c>
      <c r="O75" s="149">
        <f t="shared" si="28"/>
        <v>1421372.6061072154</v>
      </c>
      <c r="P75" s="149">
        <f t="shared" si="29"/>
        <v>1628944.0241882296</v>
      </c>
      <c r="Q75" s="163" t="str">
        <f t="shared" si="30"/>
        <v>En mora</v>
      </c>
      <c r="R75" s="149">
        <f>IF($A75="","",IF($A75&lt;=Inputs!$B$15,Inputs!$B$28,0))</f>
        <v>48643.172307692315</v>
      </c>
      <c r="S75" s="149">
        <f>IF($A75="","",IF($A75&lt;=Inputs!$B$15,Inputs!$B$29,0))</f>
        <v>10984.615384615387</v>
      </c>
      <c r="T75" s="149">
        <f>IF($A75="","",IF($A75&lt;=Inputs!$B$15,Inputs!$B$30,0))</f>
        <v>3406.3846153846157</v>
      </c>
      <c r="U75" s="149">
        <f t="shared" si="32"/>
        <v>63034.172307692315</v>
      </c>
      <c r="V75" s="149">
        <f t="shared" si="33"/>
        <v>63034.172307692315</v>
      </c>
      <c r="W75" s="149">
        <f t="shared" si="34"/>
        <v>0</v>
      </c>
      <c r="X75" s="149">
        <f>IF($B75="","",IF(OR($B76="",ROUNDUP(($A75+1)/Inputs!$B$14,0)&gt;$B75),SUMIF($B$4:$B75,$B75,R$4:R75),0))</f>
        <v>0</v>
      </c>
      <c r="Y75" s="149">
        <f>IF($B75="","",IF(OR($B76="",ROUNDUP(($A75+1)/Inputs!$B$14,0)&gt;$B75),SUMIF($B$4:$B75,$B75,S$4:S75),0))</f>
        <v>0</v>
      </c>
      <c r="Z75" s="149">
        <f>IF($B75="","",IF(OR($B76="",ROUNDUP(($A75+1)/Inputs!$B$14,0)&gt;$B75),SUMIF($B$4:$B75,$B75,T$4:T75),0))</f>
        <v>0</v>
      </c>
      <c r="AA75" s="18"/>
      <c r="AB75" s="18"/>
      <c r="AC75" s="18"/>
      <c r="AD75" s="18"/>
      <c r="AE75" s="18"/>
      <c r="AF75" s="18"/>
      <c r="AG75" s="18"/>
      <c r="AH75" s="18"/>
    </row>
    <row r="76" spans="1:34" ht="18" customHeight="1">
      <c r="A76" s="157">
        <f>IF(A75="","",IF(AND(A75&gt;=Inputs!$B$15,P75+L75+M75+W75&lt;=0.005),"",IF(A75&gt;=Inputs!$C$61,"",A75+1)))</f>
        <v>73</v>
      </c>
      <c r="B76" s="77">
        <f>IF(A76="","",ROUNDUP(A76/Inputs!$B$14,0))</f>
        <v>17</v>
      </c>
      <c r="C76" s="160" t="str">
        <f>IF(A76="","",IF(A76=Inputs!$C$60,"Pago inferior",IF(A76&gt;Inputs!$B$15,"Periodo adicional",IF(N75+L75+M75+W75&gt;0,"Pago normal - aplica vencidos","Pago normal"))))</f>
        <v>Pago normal - aplica vencidos</v>
      </c>
      <c r="D76" s="149">
        <f t="shared" si="22"/>
        <v>1628944.0241882296</v>
      </c>
      <c r="E76" s="149">
        <f>IF(A76="","",D76*Inputs!$B$17)</f>
        <v>19780.749421504708</v>
      </c>
      <c r="F76" s="149">
        <f>IF(A76="","",N75*Inputs!$B$17)</f>
        <v>2520.6011668651927</v>
      </c>
      <c r="G76" s="149">
        <f>IF(A76="","",IF(A76&lt;=Inputs!$B$15,INDEX(Caso1_Normal!$H$4:$H$89,A76),0))</f>
        <v>93754.673622128947</v>
      </c>
      <c r="H76" s="149">
        <f>IF(A76="","",IF(A76=Inputs!$C$60,Inputs!$C$59*(Inputs!$B$20+U76),MIN(Inputs!$B$20+U76,D76+L75+F76+M75+E76+W75+U76)))</f>
        <v>174048.99418446081</v>
      </c>
      <c r="I76" s="149">
        <f t="shared" si="23"/>
        <v>2520.6011668651927</v>
      </c>
      <c r="J76" s="149">
        <f t="shared" si="24"/>
        <v>19780.749421504708</v>
      </c>
      <c r="K76" s="149">
        <f t="shared" si="31"/>
        <v>88713.471288398578</v>
      </c>
      <c r="L76" s="149">
        <f t="shared" si="25"/>
        <v>0</v>
      </c>
      <c r="M76" s="149">
        <f t="shared" si="26"/>
        <v>0</v>
      </c>
      <c r="N76" s="149">
        <f t="shared" si="27"/>
        <v>212612.62041474457</v>
      </c>
      <c r="O76" s="149">
        <f t="shared" si="28"/>
        <v>1327617.9324850864</v>
      </c>
      <c r="P76" s="149">
        <f t="shared" si="29"/>
        <v>1540230.552899831</v>
      </c>
      <c r="Q76" s="163" t="str">
        <f t="shared" si="30"/>
        <v>En mora</v>
      </c>
      <c r="R76" s="149">
        <f>IF($A76="","",IF($A76&lt;=Inputs!$B$15,Inputs!$B$28,0))</f>
        <v>48643.172307692315</v>
      </c>
      <c r="S76" s="149">
        <f>IF($A76="","",IF($A76&lt;=Inputs!$B$15,Inputs!$B$29,0))</f>
        <v>10984.615384615387</v>
      </c>
      <c r="T76" s="149">
        <f>IF($A76="","",IF($A76&lt;=Inputs!$B$15,Inputs!$B$30,0))</f>
        <v>3406.3846153846157</v>
      </c>
      <c r="U76" s="149">
        <f t="shared" si="32"/>
        <v>63034.172307692315</v>
      </c>
      <c r="V76" s="149">
        <f t="shared" si="33"/>
        <v>63034.172307692315</v>
      </c>
      <c r="W76" s="149">
        <f t="shared" si="34"/>
        <v>0</v>
      </c>
      <c r="X76" s="149">
        <f>IF($B76="","",IF(OR($B77="",ROUNDUP(($A76+1)/Inputs!$B$14,0)&gt;$B76),SUMIF($B$4:$B76,$B76,R$4:R76),0))</f>
        <v>194572.68923076926</v>
      </c>
      <c r="Y76" s="149">
        <f>IF($B76="","",IF(OR($B77="",ROUNDUP(($A76+1)/Inputs!$B$14,0)&gt;$B76),SUMIF($B$4:$B76,$B76,S$4:S76),0))</f>
        <v>43938.461538461546</v>
      </c>
      <c r="Z76" s="149">
        <f>IF($B76="","",IF(OR($B77="",ROUNDUP(($A76+1)/Inputs!$B$14,0)&gt;$B76),SUMIF($B$4:$B76,$B76,T$4:T76),0))</f>
        <v>13625.538461538463</v>
      </c>
      <c r="AA76" s="18"/>
      <c r="AB76" s="18"/>
      <c r="AC76" s="18"/>
      <c r="AD76" s="18"/>
      <c r="AE76" s="18"/>
      <c r="AF76" s="18"/>
      <c r="AG76" s="18"/>
      <c r="AH76" s="18"/>
    </row>
    <row r="77" spans="1:34" ht="18" customHeight="1">
      <c r="A77" s="157">
        <f>IF(A76="","",IF(AND(A76&gt;=Inputs!$B$15,P76+L76+M76+W76&lt;=0.005),"",IF(A76&gt;=Inputs!$C$61,"",A76+1)))</f>
        <v>74</v>
      </c>
      <c r="B77" s="77">
        <f>IF(A77="","",ROUNDUP(A77/Inputs!$B$14,0))</f>
        <v>18</v>
      </c>
      <c r="C77" s="160" t="str">
        <f>IF(A77="","",IF(A77=Inputs!$C$60,"Pago inferior",IF(A77&gt;Inputs!$B$15,"Periodo adicional",IF(N76+L76+M76+W76&gt;0,"Pago normal - aplica vencidos","Pago normal"))))</f>
        <v>Pago normal - aplica vencidos</v>
      </c>
      <c r="D77" s="149">
        <f t="shared" si="22"/>
        <v>1540230.552899831</v>
      </c>
      <c r="E77" s="149">
        <f>IF(A77="","",D77*Inputs!$B$17)</f>
        <v>18703.475482185546</v>
      </c>
      <c r="F77" s="149">
        <f>IF(A77="","",N76*Inputs!$B$17)</f>
        <v>2581.8179789016399</v>
      </c>
      <c r="G77" s="149">
        <f>IF(A77="","",IF(A77&lt;=Inputs!$B$15,INDEX(Caso1_Normal!$H$4:$H$89,A77),0))</f>
        <v>94893.164373484557</v>
      </c>
      <c r="H77" s="149">
        <f>IF(A77="","",IF(A77=Inputs!$C$60,Inputs!$C$59*(Inputs!$B$20+U77),MIN(Inputs!$B$20+U77,D77+L76+F77+M76+E77+W76+U77)))</f>
        <v>174048.99418446081</v>
      </c>
      <c r="I77" s="149">
        <f t="shared" si="23"/>
        <v>2581.8179789016399</v>
      </c>
      <c r="J77" s="149">
        <f t="shared" si="24"/>
        <v>18703.475482185546</v>
      </c>
      <c r="K77" s="149">
        <f t="shared" si="31"/>
        <v>89729.5284156813</v>
      </c>
      <c r="L77" s="149">
        <f t="shared" si="25"/>
        <v>0</v>
      </c>
      <c r="M77" s="149">
        <f t="shared" si="26"/>
        <v>0</v>
      </c>
      <c r="N77" s="149">
        <f t="shared" si="27"/>
        <v>217776.25637254785</v>
      </c>
      <c r="O77" s="149">
        <f t="shared" si="28"/>
        <v>1232724.7681116017</v>
      </c>
      <c r="P77" s="149">
        <f t="shared" si="29"/>
        <v>1450501.0244841496</v>
      </c>
      <c r="Q77" s="163" t="str">
        <f t="shared" si="30"/>
        <v>En mora</v>
      </c>
      <c r="R77" s="149">
        <f>IF($A77="","",IF($A77&lt;=Inputs!$B$15,Inputs!$B$28,0))</f>
        <v>48643.172307692315</v>
      </c>
      <c r="S77" s="149">
        <f>IF($A77="","",IF($A77&lt;=Inputs!$B$15,Inputs!$B$29,0))</f>
        <v>10984.615384615387</v>
      </c>
      <c r="T77" s="149">
        <f>IF($A77="","",IF($A77&lt;=Inputs!$B$15,Inputs!$B$30,0))</f>
        <v>3406.3846153846157</v>
      </c>
      <c r="U77" s="149">
        <f t="shared" si="32"/>
        <v>63034.172307692315</v>
      </c>
      <c r="V77" s="149">
        <f t="shared" si="33"/>
        <v>63034.172307692315</v>
      </c>
      <c r="W77" s="149">
        <f t="shared" si="34"/>
        <v>0</v>
      </c>
      <c r="X77" s="149">
        <f>IF($B77="","",IF(OR($B78="",ROUNDUP(($A77+1)/Inputs!$B$14,0)&gt;$B77),SUMIF($B$4:$B77,$B77,R$4:R77),0))</f>
        <v>0</v>
      </c>
      <c r="Y77" s="149">
        <f>IF($B77="","",IF(OR($B78="",ROUNDUP(($A77+1)/Inputs!$B$14,0)&gt;$B77),SUMIF($B$4:$B77,$B77,S$4:S77),0))</f>
        <v>0</v>
      </c>
      <c r="Z77" s="149">
        <f>IF($B77="","",IF(OR($B78="",ROUNDUP(($A77+1)/Inputs!$B$14,0)&gt;$B77),SUMIF($B$4:$B77,$B77,T$4:T77),0))</f>
        <v>0</v>
      </c>
      <c r="AA77" s="18"/>
      <c r="AB77" s="18"/>
      <c r="AC77" s="18"/>
      <c r="AD77" s="18"/>
      <c r="AE77" s="18"/>
      <c r="AF77" s="18"/>
      <c r="AG77" s="18"/>
      <c r="AH77" s="18"/>
    </row>
    <row r="78" spans="1:34" ht="18" customHeight="1">
      <c r="A78" s="157">
        <f>IF(A77="","",IF(AND(A77&gt;=Inputs!$B$15,P77+L77+M77+W77&lt;=0.005),"",IF(A77&gt;=Inputs!$C$61,"",A77+1)))</f>
        <v>75</v>
      </c>
      <c r="B78" s="77">
        <f>IF(A78="","",ROUNDUP(A78/Inputs!$B$14,0))</f>
        <v>18</v>
      </c>
      <c r="C78" s="160" t="str">
        <f>IF(A78="","",IF(A78=Inputs!$C$60,"Pago inferior",IF(A78&gt;Inputs!$B$15,"Periodo adicional",IF(N77+L77+M77+W77&gt;0,"Pago normal - aplica vencidos","Pago normal"))))</f>
        <v>Pago normal - aplica vencidos</v>
      </c>
      <c r="D78" s="149">
        <f t="shared" si="22"/>
        <v>1450501.0244841496</v>
      </c>
      <c r="E78" s="149">
        <f>IF(A78="","",D78*Inputs!$B$17)</f>
        <v>17613.863260436614</v>
      </c>
      <c r="F78" s="149">
        <f>IF(A78="","",N77*Inputs!$B$17)</f>
        <v>2644.5215386731788</v>
      </c>
      <c r="G78" s="149">
        <f>IF(A78="","",IF(A78&lt;=Inputs!$B$15,INDEX(Caso1_Normal!$H$4:$H$89,A78),0))</f>
        <v>96045.480155005018</v>
      </c>
      <c r="H78" s="149">
        <f>IF(A78="","",IF(A78=Inputs!$C$60,Inputs!$C$59*(Inputs!$B$20+U78),MIN(Inputs!$B$20+U78,D78+L77+F78+M77+E78+W77+U78)))</f>
        <v>174048.99418446081</v>
      </c>
      <c r="I78" s="149">
        <f t="shared" si="23"/>
        <v>2644.5215386731788</v>
      </c>
      <c r="J78" s="149">
        <f t="shared" si="24"/>
        <v>17613.863260436614</v>
      </c>
      <c r="K78" s="149">
        <f t="shared" si="31"/>
        <v>90756.437077658687</v>
      </c>
      <c r="L78" s="149">
        <f t="shared" si="25"/>
        <v>0</v>
      </c>
      <c r="M78" s="149">
        <f t="shared" si="26"/>
        <v>0</v>
      </c>
      <c r="N78" s="149">
        <f t="shared" si="27"/>
        <v>223065.2994498942</v>
      </c>
      <c r="O78" s="149">
        <f t="shared" si="28"/>
        <v>1136679.2879565968</v>
      </c>
      <c r="P78" s="149">
        <f t="shared" si="29"/>
        <v>1359744.5874064909</v>
      </c>
      <c r="Q78" s="163" t="str">
        <f t="shared" si="30"/>
        <v>En mora</v>
      </c>
      <c r="R78" s="149">
        <f>IF($A78="","",IF($A78&lt;=Inputs!$B$15,Inputs!$B$28,0))</f>
        <v>48643.172307692315</v>
      </c>
      <c r="S78" s="149">
        <f>IF($A78="","",IF($A78&lt;=Inputs!$B$15,Inputs!$B$29,0))</f>
        <v>10984.615384615387</v>
      </c>
      <c r="T78" s="149">
        <f>IF($A78="","",IF($A78&lt;=Inputs!$B$15,Inputs!$B$30,0))</f>
        <v>3406.3846153846157</v>
      </c>
      <c r="U78" s="149">
        <f t="shared" si="32"/>
        <v>63034.172307692315</v>
      </c>
      <c r="V78" s="149">
        <f t="shared" si="33"/>
        <v>63034.172307692315</v>
      </c>
      <c r="W78" s="149">
        <f t="shared" si="34"/>
        <v>0</v>
      </c>
      <c r="X78" s="149">
        <f>IF($B78="","",IF(OR($B79="",ROUNDUP(($A78+1)/Inputs!$B$14,0)&gt;$B78),SUMIF($B$4:$B78,$B78,R$4:R78),0))</f>
        <v>0</v>
      </c>
      <c r="Y78" s="149">
        <f>IF($B78="","",IF(OR($B79="",ROUNDUP(($A78+1)/Inputs!$B$14,0)&gt;$B78),SUMIF($B$4:$B78,$B78,S$4:S78),0))</f>
        <v>0</v>
      </c>
      <c r="Z78" s="149">
        <f>IF($B78="","",IF(OR($B79="",ROUNDUP(($A78+1)/Inputs!$B$14,0)&gt;$B78),SUMIF($B$4:$B78,$B78,T$4:T78),0))</f>
        <v>0</v>
      </c>
      <c r="AA78" s="18"/>
      <c r="AB78" s="18"/>
      <c r="AC78" s="18"/>
      <c r="AD78" s="18"/>
      <c r="AE78" s="18"/>
      <c r="AF78" s="18"/>
      <c r="AG78" s="18"/>
      <c r="AH78" s="18"/>
    </row>
    <row r="79" spans="1:34" ht="18" customHeight="1">
      <c r="A79" s="157">
        <f>IF(A78="","",IF(AND(A78&gt;=Inputs!$B$15,P78+L78+M78+W78&lt;=0.005),"",IF(A78&gt;=Inputs!$C$61,"",A78+1)))</f>
        <v>76</v>
      </c>
      <c r="B79" s="77">
        <f>IF(A79="","",ROUNDUP(A79/Inputs!$B$14,0))</f>
        <v>18</v>
      </c>
      <c r="C79" s="160" t="str">
        <f>IF(A79="","",IF(A79=Inputs!$C$60,"Pago inferior",IF(A79&gt;Inputs!$B$15,"Periodo adicional",IF(N78+L78+M78+W78&gt;0,"Pago normal - aplica vencidos","Pago normal"))))</f>
        <v>Pago normal - aplica vencidos</v>
      </c>
      <c r="D79" s="149">
        <f t="shared" si="22"/>
        <v>1359744.5874064909</v>
      </c>
      <c r="E79" s="149">
        <f>IF(A79="","",D79*Inputs!$B$17)</f>
        <v>16511.78098286028</v>
      </c>
      <c r="F79" s="149">
        <f>IF(A79="","",N78*Inputs!$B$17)</f>
        <v>2708.747954215401</v>
      </c>
      <c r="G79" s="149">
        <f>IF(A79="","",IF(A79&lt;=Inputs!$B$15,INDEX(Caso1_Normal!$H$4:$H$89,A79),0))</f>
        <v>97211.788848123586</v>
      </c>
      <c r="H79" s="149">
        <f>IF(A79="","",IF(A79=Inputs!$C$60,Inputs!$C$59*(Inputs!$B$20+U79),MIN(Inputs!$B$20+U79,D79+L78+F79+M78+E79+W78+U79)))</f>
        <v>174048.99418446081</v>
      </c>
      <c r="I79" s="149">
        <f t="shared" si="23"/>
        <v>2708.747954215401</v>
      </c>
      <c r="J79" s="149">
        <f t="shared" si="24"/>
        <v>16511.78098286028</v>
      </c>
      <c r="K79" s="149">
        <f t="shared" si="31"/>
        <v>91794.292939692823</v>
      </c>
      <c r="L79" s="149">
        <f t="shared" si="25"/>
        <v>0</v>
      </c>
      <c r="M79" s="149">
        <f t="shared" si="26"/>
        <v>0</v>
      </c>
      <c r="N79" s="149">
        <f t="shared" si="27"/>
        <v>228482.79535832498</v>
      </c>
      <c r="O79" s="149">
        <f t="shared" si="28"/>
        <v>1039467.4991084732</v>
      </c>
      <c r="P79" s="149">
        <f t="shared" si="29"/>
        <v>1267950.2944667982</v>
      </c>
      <c r="Q79" s="163" t="str">
        <f t="shared" si="30"/>
        <v>En mora</v>
      </c>
      <c r="R79" s="149">
        <f>IF($A79="","",IF($A79&lt;=Inputs!$B$15,Inputs!$B$28,0))</f>
        <v>48643.172307692315</v>
      </c>
      <c r="S79" s="149">
        <f>IF($A79="","",IF($A79&lt;=Inputs!$B$15,Inputs!$B$29,0))</f>
        <v>10984.615384615387</v>
      </c>
      <c r="T79" s="149">
        <f>IF($A79="","",IF($A79&lt;=Inputs!$B$15,Inputs!$B$30,0))</f>
        <v>3406.3846153846157</v>
      </c>
      <c r="U79" s="149">
        <f t="shared" si="32"/>
        <v>63034.172307692315</v>
      </c>
      <c r="V79" s="149">
        <f t="shared" si="33"/>
        <v>63034.172307692315</v>
      </c>
      <c r="W79" s="149">
        <f t="shared" si="34"/>
        <v>0</v>
      </c>
      <c r="X79" s="149">
        <f>IF($B79="","",IF(OR($B80="",ROUNDUP(($A79+1)/Inputs!$B$14,0)&gt;$B79),SUMIF($B$4:$B79,$B79,R$4:R79),0))</f>
        <v>0</v>
      </c>
      <c r="Y79" s="149">
        <f>IF($B79="","",IF(OR($B80="",ROUNDUP(($A79+1)/Inputs!$B$14,0)&gt;$B79),SUMIF($B$4:$B79,$B79,S$4:S79),0))</f>
        <v>0</v>
      </c>
      <c r="Z79" s="149">
        <f>IF($B79="","",IF(OR($B80="",ROUNDUP(($A79+1)/Inputs!$B$14,0)&gt;$B79),SUMIF($B$4:$B79,$B79,T$4:T79),0))</f>
        <v>0</v>
      </c>
      <c r="AA79" s="18"/>
      <c r="AB79" s="18"/>
      <c r="AC79" s="18"/>
      <c r="AD79" s="18"/>
      <c r="AE79" s="18"/>
      <c r="AF79" s="18"/>
      <c r="AG79" s="18"/>
      <c r="AH79" s="18"/>
    </row>
    <row r="80" spans="1:34" ht="18" customHeight="1">
      <c r="A80" s="157">
        <f>IF(A79="","",IF(AND(A79&gt;=Inputs!$B$15,P79+L79+M79+W79&lt;=0.005),"",IF(A79&gt;=Inputs!$C$61,"",A79+1)))</f>
        <v>77</v>
      </c>
      <c r="B80" s="77">
        <f>IF(A80="","",ROUNDUP(A80/Inputs!$B$14,0))</f>
        <v>18</v>
      </c>
      <c r="C80" s="160" t="str">
        <f>IF(A80="","",IF(A80=Inputs!$C$60,"Pago inferior",IF(A80&gt;Inputs!$B$15,"Periodo adicional",IF(N79+L79+M79+W79&gt;0,"Pago normal - aplica vencidos","Pago normal"))))</f>
        <v>Pago normal - aplica vencidos</v>
      </c>
      <c r="D80" s="149">
        <f t="shared" si="22"/>
        <v>1267950.2944667982</v>
      </c>
      <c r="E80" s="149">
        <f>IF(A80="","",D80*Inputs!$B$17)</f>
        <v>15397.095714366091</v>
      </c>
      <c r="F80" s="149">
        <f>IF(A80="","",N79*Inputs!$B$17)</f>
        <v>2774.5342105050236</v>
      </c>
      <c r="G80" s="149">
        <f>IF(A80="","",IF(A80&lt;=Inputs!$B$15,INDEX(Caso1_Normal!$H$4:$H$89,A80),0))</f>
        <v>98392.260372907389</v>
      </c>
      <c r="H80" s="149">
        <f>IF(A80="","",IF(A80=Inputs!$C$60,Inputs!$C$59*(Inputs!$B$20+U80),MIN(Inputs!$B$20+U80,D80+L79+F80+M79+E80+W79+U80)))</f>
        <v>174048.99418446081</v>
      </c>
      <c r="I80" s="149">
        <f t="shared" si="23"/>
        <v>2774.5342105050236</v>
      </c>
      <c r="J80" s="149">
        <f t="shared" si="24"/>
        <v>15397.095714366091</v>
      </c>
      <c r="K80" s="149">
        <f t="shared" si="31"/>
        <v>92843.191951897374</v>
      </c>
      <c r="L80" s="149">
        <f t="shared" si="25"/>
        <v>0</v>
      </c>
      <c r="M80" s="149">
        <f t="shared" si="26"/>
        <v>0</v>
      </c>
      <c r="N80" s="149">
        <f t="shared" si="27"/>
        <v>234031.86377933502</v>
      </c>
      <c r="O80" s="149">
        <f t="shared" si="28"/>
        <v>941075.23873556568</v>
      </c>
      <c r="P80" s="149">
        <f t="shared" si="29"/>
        <v>1175107.1025149007</v>
      </c>
      <c r="Q80" s="163" t="str">
        <f t="shared" si="30"/>
        <v>En mora</v>
      </c>
      <c r="R80" s="149">
        <f>IF($A80="","",IF($A80&lt;=Inputs!$B$15,Inputs!$B$28,0))</f>
        <v>48643.172307692315</v>
      </c>
      <c r="S80" s="149">
        <f>IF($A80="","",IF($A80&lt;=Inputs!$B$15,Inputs!$B$29,0))</f>
        <v>10984.615384615387</v>
      </c>
      <c r="T80" s="149">
        <f>IF($A80="","",IF($A80&lt;=Inputs!$B$15,Inputs!$B$30,0))</f>
        <v>3406.3846153846157</v>
      </c>
      <c r="U80" s="149">
        <f t="shared" si="32"/>
        <v>63034.172307692315</v>
      </c>
      <c r="V80" s="149">
        <f t="shared" si="33"/>
        <v>63034.172307692315</v>
      </c>
      <c r="W80" s="149">
        <f t="shared" si="34"/>
        <v>0</v>
      </c>
      <c r="X80" s="149">
        <f>IF($B80="","",IF(OR($B81="",ROUNDUP(($A80+1)/Inputs!$B$14,0)&gt;$B80),SUMIF($B$4:$B80,$B80,R$4:R80),0))</f>
        <v>0</v>
      </c>
      <c r="Y80" s="149">
        <f>IF($B80="","",IF(OR($B81="",ROUNDUP(($A80+1)/Inputs!$B$14,0)&gt;$B80),SUMIF($B$4:$B80,$B80,S$4:S80),0))</f>
        <v>0</v>
      </c>
      <c r="Z80" s="149">
        <f>IF($B80="","",IF(OR($B81="",ROUNDUP(($A80+1)/Inputs!$B$14,0)&gt;$B80),SUMIF($B$4:$B80,$B80,T$4:T80),0))</f>
        <v>0</v>
      </c>
      <c r="AA80" s="18"/>
      <c r="AB80" s="18"/>
      <c r="AC80" s="18"/>
      <c r="AD80" s="18"/>
      <c r="AE80" s="18"/>
      <c r="AF80" s="18"/>
      <c r="AG80" s="18"/>
      <c r="AH80" s="18"/>
    </row>
    <row r="81" spans="1:34" ht="18" customHeight="1">
      <c r="A81" s="157">
        <f>IF(A80="","",IF(AND(A80&gt;=Inputs!$B$15,P80+L80+M80+W80&lt;=0.005),"",IF(A80&gt;=Inputs!$C$61,"",A80+1)))</f>
        <v>78</v>
      </c>
      <c r="B81" s="77">
        <f>IF(A81="","",ROUNDUP(A81/Inputs!$B$14,0))</f>
        <v>18</v>
      </c>
      <c r="C81" s="160" t="str">
        <f>IF(A81="","",IF(A81=Inputs!$C$60,"Pago inferior",IF(A81&gt;Inputs!$B$15,"Periodo adicional",IF(N80+L80+M80+W80&gt;0,"Pago normal - aplica vencidos","Pago normal"))))</f>
        <v>Pago normal - aplica vencidos</v>
      </c>
      <c r="D81" s="149">
        <f t="shared" si="22"/>
        <v>1175107.1025149007</v>
      </c>
      <c r="E81" s="149">
        <f>IF(A81="","",D81*Inputs!$B$17)</f>
        <v>14269.673354712968</v>
      </c>
      <c r="F81" s="149">
        <f>IF(A81="","",N80*Inputs!$B$17)</f>
        <v>2841.918190757804</v>
      </c>
      <c r="G81" s="149">
        <f>IF(A81="","",IF(A81&lt;=Inputs!$B$15,INDEX(Caso1_Normal!$H$4:$H$89,A81),0))</f>
        <v>99587.066712813292</v>
      </c>
      <c r="H81" s="149">
        <f>IF(A81="","",IF(A81=Inputs!$C$60,Inputs!$C$59*(Inputs!$B$20+U81),MIN(Inputs!$B$20+U81,D81+L80+F81+M80+E81+W80+U81)))</f>
        <v>174048.99418446081</v>
      </c>
      <c r="I81" s="149">
        <f t="shared" si="23"/>
        <v>2841.918190757804</v>
      </c>
      <c r="J81" s="149">
        <f t="shared" si="24"/>
        <v>14269.673354712968</v>
      </c>
      <c r="K81" s="149">
        <f t="shared" si="31"/>
        <v>93903.230331297731</v>
      </c>
      <c r="L81" s="149">
        <f t="shared" si="25"/>
        <v>0</v>
      </c>
      <c r="M81" s="149">
        <f t="shared" si="26"/>
        <v>0</v>
      </c>
      <c r="N81" s="149">
        <f t="shared" si="27"/>
        <v>239715.7001608506</v>
      </c>
      <c r="O81" s="149">
        <f t="shared" si="28"/>
        <v>841488.17202275246</v>
      </c>
      <c r="P81" s="149">
        <f t="shared" si="29"/>
        <v>1081203.872183603</v>
      </c>
      <c r="Q81" s="163" t="str">
        <f t="shared" si="30"/>
        <v>En mora</v>
      </c>
      <c r="R81" s="149">
        <f>IF($A81="","",IF($A81&lt;=Inputs!$B$15,Inputs!$B$28,0))</f>
        <v>48643.172307692315</v>
      </c>
      <c r="S81" s="149">
        <f>IF($A81="","",IF($A81&lt;=Inputs!$B$15,Inputs!$B$29,0))</f>
        <v>10984.615384615387</v>
      </c>
      <c r="T81" s="149">
        <f>IF($A81="","",IF($A81&lt;=Inputs!$B$15,Inputs!$B$30,0))</f>
        <v>3406.3846153846157</v>
      </c>
      <c r="U81" s="149">
        <f t="shared" si="32"/>
        <v>63034.172307692315</v>
      </c>
      <c r="V81" s="149">
        <f t="shared" si="33"/>
        <v>63034.172307692315</v>
      </c>
      <c r="W81" s="149">
        <f t="shared" si="34"/>
        <v>0</v>
      </c>
      <c r="X81" s="149">
        <f>IF($B81="","",IF(OR($B82="",ROUNDUP(($A81+1)/Inputs!$B$14,0)&gt;$B81),SUMIF($B$4:$B81,$B81,R$4:R81),0))</f>
        <v>243215.86153846158</v>
      </c>
      <c r="Y81" s="149">
        <f>IF($B81="","",IF(OR($B82="",ROUNDUP(($A81+1)/Inputs!$B$14,0)&gt;$B81),SUMIF($B$4:$B81,$B81,S$4:S81),0))</f>
        <v>54923.076923076937</v>
      </c>
      <c r="Z81" s="149">
        <f>IF($B81="","",IF(OR($B82="",ROUNDUP(($A81+1)/Inputs!$B$14,0)&gt;$B81),SUMIF($B$4:$B81,$B81,T$4:T81),0))</f>
        <v>17031.923076923078</v>
      </c>
      <c r="AA81" s="18"/>
      <c r="AB81" s="18"/>
      <c r="AC81" s="18"/>
      <c r="AD81" s="18"/>
      <c r="AE81" s="18"/>
      <c r="AF81" s="18"/>
      <c r="AG81" s="18"/>
      <c r="AH81" s="18"/>
    </row>
    <row r="82" spans="1:34" ht="18" customHeight="1">
      <c r="A82" s="157">
        <f>IF(A81="","",IF(AND(A81&gt;=Inputs!$B$15,P81+L81+M81+W81&lt;=0.005),"",IF(A81&gt;=Inputs!$C$61,"",A81+1)))</f>
        <v>79</v>
      </c>
      <c r="B82" s="77">
        <f>IF(A82="","",ROUNDUP(A82/Inputs!$B$14,0))</f>
        <v>19</v>
      </c>
      <c r="C82" s="160" t="str">
        <f>IF(A82="","",IF(A82=Inputs!$C$60,"Pago inferior",IF(A82&gt;Inputs!$B$15,"Periodo adicional",IF(N81+L81+M81+W81&gt;0,"Pago normal - aplica vencidos","Pago normal"))))</f>
        <v>Pago normal - aplica vencidos</v>
      </c>
      <c r="D82" s="149">
        <f t="shared" si="22"/>
        <v>1081203.872183603</v>
      </c>
      <c r="E82" s="149">
        <f>IF(A82="","",D82*Inputs!$B$17)</f>
        <v>13129.378635268022</v>
      </c>
      <c r="F82" s="149">
        <f>IF(A82="","",N81*Inputs!$B$17)</f>
        <v>2910.9386982437013</v>
      </c>
      <c r="G82" s="149">
        <f>IF(A82="","",IF(A82&lt;=Inputs!$B$15,INDEX(Caso1_Normal!$H$4:$H$89,A82),0))</f>
        <v>100796.38193974414</v>
      </c>
      <c r="H82" s="149">
        <f>IF(A82="","",IF(A82=Inputs!$C$60,Inputs!$C$59*(Inputs!$B$20+U82),MIN(Inputs!$B$20+U82,D82+L81+F82+M81+E82+W81+U82)))</f>
        <v>174048.99418446081</v>
      </c>
      <c r="I82" s="149">
        <f t="shared" si="23"/>
        <v>2910.9386982437013</v>
      </c>
      <c r="J82" s="149">
        <f t="shared" si="24"/>
        <v>13129.378635268022</v>
      </c>
      <c r="K82" s="149">
        <f t="shared" si="31"/>
        <v>94974.504543256771</v>
      </c>
      <c r="L82" s="149">
        <f t="shared" si="25"/>
        <v>0</v>
      </c>
      <c r="M82" s="149">
        <f t="shared" si="26"/>
        <v>0</v>
      </c>
      <c r="N82" s="149">
        <f t="shared" si="27"/>
        <v>245537.57755733799</v>
      </c>
      <c r="O82" s="149">
        <f t="shared" si="28"/>
        <v>740691.79008300835</v>
      </c>
      <c r="P82" s="149">
        <f t="shared" si="29"/>
        <v>986229.36764034629</v>
      </c>
      <c r="Q82" s="163" t="str">
        <f t="shared" si="30"/>
        <v>En mora</v>
      </c>
      <c r="R82" s="149">
        <f>IF($A82="","",IF($A82&lt;=Inputs!$B$15,Inputs!$B$28,0))</f>
        <v>48643.172307692315</v>
      </c>
      <c r="S82" s="149">
        <f>IF($A82="","",IF($A82&lt;=Inputs!$B$15,Inputs!$B$29,0))</f>
        <v>10984.615384615387</v>
      </c>
      <c r="T82" s="149">
        <f>IF($A82="","",IF($A82&lt;=Inputs!$B$15,Inputs!$B$30,0))</f>
        <v>3406.3846153846157</v>
      </c>
      <c r="U82" s="149">
        <f t="shared" si="32"/>
        <v>63034.172307692315</v>
      </c>
      <c r="V82" s="149">
        <f t="shared" si="33"/>
        <v>63034.172307692315</v>
      </c>
      <c r="W82" s="149">
        <f t="shared" si="34"/>
        <v>0</v>
      </c>
      <c r="X82" s="149">
        <f>IF($B82="","",IF(OR($B83="",ROUNDUP(($A82+1)/Inputs!$B$14,0)&gt;$B82),SUMIF($B$4:$B82,$B82,R$4:R82),0))</f>
        <v>0</v>
      </c>
      <c r="Y82" s="149">
        <f>IF($B82="","",IF(OR($B83="",ROUNDUP(($A82+1)/Inputs!$B$14,0)&gt;$B82),SUMIF($B$4:$B82,$B82,S$4:S82),0))</f>
        <v>0</v>
      </c>
      <c r="Z82" s="149">
        <f>IF($B82="","",IF(OR($B83="",ROUNDUP(($A82+1)/Inputs!$B$14,0)&gt;$B82),SUMIF($B$4:$B82,$B82,T$4:T82),0))</f>
        <v>0</v>
      </c>
      <c r="AA82" s="18"/>
      <c r="AB82" s="18"/>
      <c r="AC82" s="18"/>
      <c r="AD82" s="18"/>
      <c r="AE82" s="18"/>
      <c r="AF82" s="18"/>
      <c r="AG82" s="18"/>
      <c r="AH82" s="18"/>
    </row>
    <row r="83" spans="1:34" ht="18" customHeight="1">
      <c r="A83" s="157">
        <f>IF(A82="","",IF(AND(A82&gt;=Inputs!$B$15,P82+L82+M82+W82&lt;=0.005),"",IF(A82&gt;=Inputs!$C$61,"",A82+1)))</f>
        <v>80</v>
      </c>
      <c r="B83" s="77">
        <f>IF(A83="","",ROUNDUP(A83/Inputs!$B$14,0))</f>
        <v>19</v>
      </c>
      <c r="C83" s="160" t="str">
        <f>IF(A83="","",IF(A83=Inputs!$C$60,"Pago inferior",IF(A83&gt;Inputs!$B$15,"Periodo adicional",IF(N82+L82+M82+W82&gt;0,"Pago normal - aplica vencidos","Pago normal"))))</f>
        <v>Pago normal - aplica vencidos</v>
      </c>
      <c r="D83" s="149">
        <f t="shared" si="22"/>
        <v>986229.36764034629</v>
      </c>
      <c r="E83" s="149">
        <f>IF(A83="","",D83*Inputs!$B$17)</f>
        <v>11976.0751159909</v>
      </c>
      <c r="F83" s="149">
        <f>IF(A83="","",N82*Inputs!$B$17)</f>
        <v>2981.6354786318607</v>
      </c>
      <c r="G83" s="149">
        <f>IF(A83="","",IF(A83&lt;=Inputs!$B$15,INDEX(Caso1_Normal!$H$4:$H$89,A83),0))</f>
        <v>102020.38223940942</v>
      </c>
      <c r="H83" s="149">
        <f>IF(A83="","",IF(A83=Inputs!$C$60,Inputs!$C$59*(Inputs!$B$20+U83),MIN(Inputs!$B$20+U83,D83+L82+F83+M82+E83+W82+U83)))</f>
        <v>174048.99418446081</v>
      </c>
      <c r="I83" s="149">
        <f t="shared" si="23"/>
        <v>2981.6354786318607</v>
      </c>
      <c r="J83" s="149">
        <f t="shared" si="24"/>
        <v>11976.0751159909</v>
      </c>
      <c r="K83" s="149">
        <f t="shared" si="31"/>
        <v>96057.111282145721</v>
      </c>
      <c r="L83" s="149">
        <f t="shared" si="25"/>
        <v>0</v>
      </c>
      <c r="M83" s="149">
        <f t="shared" si="26"/>
        <v>0</v>
      </c>
      <c r="N83" s="149">
        <f t="shared" si="27"/>
        <v>251500.8485146017</v>
      </c>
      <c r="O83" s="149">
        <f t="shared" si="28"/>
        <v>638671.40784359886</v>
      </c>
      <c r="P83" s="149">
        <f t="shared" si="29"/>
        <v>890172.25635820057</v>
      </c>
      <c r="Q83" s="163" t="str">
        <f t="shared" si="30"/>
        <v>En mora</v>
      </c>
      <c r="R83" s="149">
        <f>IF($A83="","",IF($A83&lt;=Inputs!$B$15,Inputs!$B$28,0))</f>
        <v>48643.172307692315</v>
      </c>
      <c r="S83" s="149">
        <f>IF($A83="","",IF($A83&lt;=Inputs!$B$15,Inputs!$B$29,0))</f>
        <v>10984.615384615387</v>
      </c>
      <c r="T83" s="149">
        <f>IF($A83="","",IF($A83&lt;=Inputs!$B$15,Inputs!$B$30,0))</f>
        <v>3406.3846153846157</v>
      </c>
      <c r="U83" s="149">
        <f t="shared" si="32"/>
        <v>63034.172307692315</v>
      </c>
      <c r="V83" s="149">
        <f t="shared" si="33"/>
        <v>63034.172307692315</v>
      </c>
      <c r="W83" s="149">
        <f t="shared" si="34"/>
        <v>0</v>
      </c>
      <c r="X83" s="149">
        <f>IF($B83="","",IF(OR($B84="",ROUNDUP(($A83+1)/Inputs!$B$14,0)&gt;$B83),SUMIF($B$4:$B83,$B83,R$4:R83),0))</f>
        <v>0</v>
      </c>
      <c r="Y83" s="149">
        <f>IF($B83="","",IF(OR($B84="",ROUNDUP(($A83+1)/Inputs!$B$14,0)&gt;$B83),SUMIF($B$4:$B83,$B83,S$4:S83),0))</f>
        <v>0</v>
      </c>
      <c r="Z83" s="149">
        <f>IF($B83="","",IF(OR($B84="",ROUNDUP(($A83+1)/Inputs!$B$14,0)&gt;$B83),SUMIF($B$4:$B83,$B83,T$4:T83),0))</f>
        <v>0</v>
      </c>
      <c r="AA83" s="18"/>
      <c r="AB83" s="18"/>
      <c r="AC83" s="18"/>
      <c r="AD83" s="18"/>
      <c r="AE83" s="18"/>
      <c r="AF83" s="18"/>
      <c r="AG83" s="18"/>
      <c r="AH83" s="18"/>
    </row>
    <row r="84" spans="1:34" ht="18" customHeight="1">
      <c r="A84" s="157">
        <f>IF(A83="","",IF(AND(A83&gt;=Inputs!$B$15,P83+L83+M83+W83&lt;=0.005),"",IF(A83&gt;=Inputs!$C$61,"",A83+1)))</f>
        <v>81</v>
      </c>
      <c r="B84" s="77">
        <f>IF(A84="","",ROUNDUP(A84/Inputs!$B$14,0))</f>
        <v>19</v>
      </c>
      <c r="C84" s="160" t="str">
        <f>IF(A84="","",IF(A84=Inputs!$C$60,"Pago inferior",IF(A84&gt;Inputs!$B$15,"Periodo adicional",IF(N83+L83+M83+W83&gt;0,"Pago normal - aplica vencidos","Pago normal"))))</f>
        <v>Pago normal - aplica vencidos</v>
      </c>
      <c r="D84" s="149">
        <f t="shared" si="22"/>
        <v>890172.25635820057</v>
      </c>
      <c r="E84" s="149">
        <f>IF(A84="","",D84*Inputs!$B$17)</f>
        <v>10809.625182652886</v>
      </c>
      <c r="F84" s="149">
        <f>IF(A84="","",N83*Inputs!$B$17)</f>
        <v>3054.0492428782736</v>
      </c>
      <c r="G84" s="149">
        <f>IF(A84="","",IF(A84&lt;=Inputs!$B$15,INDEX(Caso1_Normal!$H$4:$H$89,A84),0))</f>
        <v>103259.24593699384</v>
      </c>
      <c r="H84" s="149">
        <f>IF(A84="","",IF(A84=Inputs!$C$60,Inputs!$C$59*(Inputs!$B$20+U84),MIN(Inputs!$B$20+U84,D84+L83+F84+M83+E84+W83+U84)))</f>
        <v>174048.99418446081</v>
      </c>
      <c r="I84" s="149">
        <f t="shared" si="23"/>
        <v>3054.0492428782736</v>
      </c>
      <c r="J84" s="149">
        <f t="shared" si="24"/>
        <v>10809.625182652886</v>
      </c>
      <c r="K84" s="149">
        <f t="shared" si="31"/>
        <v>97151.147451237339</v>
      </c>
      <c r="L84" s="149">
        <f t="shared" si="25"/>
        <v>0</v>
      </c>
      <c r="M84" s="149">
        <f t="shared" si="26"/>
        <v>0</v>
      </c>
      <c r="N84" s="149">
        <f t="shared" si="27"/>
        <v>257608.94700035822</v>
      </c>
      <c r="O84" s="149">
        <f t="shared" si="28"/>
        <v>535412.161906605</v>
      </c>
      <c r="P84" s="149">
        <f t="shared" si="29"/>
        <v>793021.10890696326</v>
      </c>
      <c r="Q84" s="163" t="str">
        <f t="shared" si="30"/>
        <v>En mora</v>
      </c>
      <c r="R84" s="149">
        <f>IF($A84="","",IF($A84&lt;=Inputs!$B$15,Inputs!$B$28,0))</f>
        <v>48643.172307692315</v>
      </c>
      <c r="S84" s="149">
        <f>IF($A84="","",IF($A84&lt;=Inputs!$B$15,Inputs!$B$29,0))</f>
        <v>10984.615384615387</v>
      </c>
      <c r="T84" s="149">
        <f>IF($A84="","",IF($A84&lt;=Inputs!$B$15,Inputs!$B$30,0))</f>
        <v>3406.3846153846157</v>
      </c>
      <c r="U84" s="149">
        <f t="shared" si="32"/>
        <v>63034.172307692315</v>
      </c>
      <c r="V84" s="149">
        <f t="shared" si="33"/>
        <v>63034.172307692315</v>
      </c>
      <c r="W84" s="149">
        <f t="shared" si="34"/>
        <v>0</v>
      </c>
      <c r="X84" s="149">
        <f>IF($B84="","",IF(OR($B85="",ROUNDUP(($A84+1)/Inputs!$B$14,0)&gt;$B84),SUMIF($B$4:$B84,$B84,R$4:R84),0))</f>
        <v>0</v>
      </c>
      <c r="Y84" s="149">
        <f>IF($B84="","",IF(OR($B85="",ROUNDUP(($A84+1)/Inputs!$B$14,0)&gt;$B84),SUMIF($B$4:$B84,$B84,S$4:S84),0))</f>
        <v>0</v>
      </c>
      <c r="Z84" s="149">
        <f>IF($B84="","",IF(OR($B85="",ROUNDUP(($A84+1)/Inputs!$B$14,0)&gt;$B84),SUMIF($B$4:$B84,$B84,T$4:T84),0))</f>
        <v>0</v>
      </c>
      <c r="AA84" s="18"/>
      <c r="AB84" s="18"/>
      <c r="AC84" s="18"/>
      <c r="AD84" s="18"/>
      <c r="AE84" s="18"/>
      <c r="AF84" s="18"/>
      <c r="AG84" s="18"/>
      <c r="AH84" s="18"/>
    </row>
    <row r="85" spans="1:34" ht="18" customHeight="1">
      <c r="A85" s="157">
        <f>IF(A84="","",IF(AND(A84&gt;=Inputs!$B$15,P84+L84+M84+W84&lt;=0.005),"",IF(A84&gt;=Inputs!$C$61,"",A84+1)))</f>
        <v>82</v>
      </c>
      <c r="B85" s="77">
        <f>IF(A85="","",ROUNDUP(A85/Inputs!$B$14,0))</f>
        <v>19</v>
      </c>
      <c r="C85" s="160" t="str">
        <f>IF(A85="","",IF(A85=Inputs!$C$60,"Pago inferior",IF(A85&gt;Inputs!$B$15,"Periodo adicional",IF(N84+L84+M84+W84&gt;0,"Pago normal - aplica vencidos","Pago normal"))))</f>
        <v>Pago normal - aplica vencidos</v>
      </c>
      <c r="D85" s="149">
        <f t="shared" si="22"/>
        <v>793021.10890696326</v>
      </c>
      <c r="E85" s="149">
        <f>IF(A85="","",D85*Inputs!$B$17)</f>
        <v>9629.8900443001385</v>
      </c>
      <c r="F85" s="149">
        <f>IF(A85="","",N84*Inputs!$B$17)</f>
        <v>3128.2216906693102</v>
      </c>
      <c r="G85" s="149">
        <f>IF(A85="","",IF(A85&lt;=Inputs!$B$15,INDEX(Caso1_Normal!$H$4:$H$89,A85),0))</f>
        <v>104513.15352313763</v>
      </c>
      <c r="H85" s="149">
        <f>IF(A85="","",IF(A85=Inputs!$C$60,Inputs!$C$59*(Inputs!$B$20+U85),MIN(Inputs!$B$20+U85,D85+L84+F85+M84+E85+W84+U85)))</f>
        <v>174048.99418446081</v>
      </c>
      <c r="I85" s="149">
        <f t="shared" si="23"/>
        <v>3128.2216906693102</v>
      </c>
      <c r="J85" s="149">
        <f t="shared" si="24"/>
        <v>9629.8900443001385</v>
      </c>
      <c r="K85" s="149">
        <f t="shared" si="31"/>
        <v>98256.710141799034</v>
      </c>
      <c r="L85" s="149">
        <f t="shared" si="25"/>
        <v>0</v>
      </c>
      <c r="M85" s="149">
        <f t="shared" si="26"/>
        <v>0</v>
      </c>
      <c r="N85" s="149">
        <f t="shared" si="27"/>
        <v>263865.39038169687</v>
      </c>
      <c r="O85" s="149">
        <f t="shared" si="28"/>
        <v>430899.00838346733</v>
      </c>
      <c r="P85" s="149">
        <f t="shared" si="29"/>
        <v>694764.39876516419</v>
      </c>
      <c r="Q85" s="163" t="str">
        <f t="shared" si="30"/>
        <v>En mora</v>
      </c>
      <c r="R85" s="149">
        <f>IF($A85="","",IF($A85&lt;=Inputs!$B$15,Inputs!$B$28,0))</f>
        <v>48643.172307692315</v>
      </c>
      <c r="S85" s="149">
        <f>IF($A85="","",IF($A85&lt;=Inputs!$B$15,Inputs!$B$29,0))</f>
        <v>10984.615384615387</v>
      </c>
      <c r="T85" s="149">
        <f>IF($A85="","",IF($A85&lt;=Inputs!$B$15,Inputs!$B$30,0))</f>
        <v>3406.3846153846157</v>
      </c>
      <c r="U85" s="149">
        <f t="shared" si="32"/>
        <v>63034.172307692315</v>
      </c>
      <c r="V85" s="149">
        <f t="shared" si="33"/>
        <v>63034.172307692315</v>
      </c>
      <c r="W85" s="149">
        <f t="shared" si="34"/>
        <v>0</v>
      </c>
      <c r="X85" s="149">
        <f>IF($B85="","",IF(OR($B86="",ROUNDUP(($A85+1)/Inputs!$B$14,0)&gt;$B85),SUMIF($B$4:$B85,$B85,R$4:R85),0))</f>
        <v>194572.68923076926</v>
      </c>
      <c r="Y85" s="149">
        <f>IF($B85="","",IF(OR($B86="",ROUNDUP(($A85+1)/Inputs!$B$14,0)&gt;$B85),SUMIF($B$4:$B85,$B85,S$4:S85),0))</f>
        <v>43938.461538461546</v>
      </c>
      <c r="Z85" s="149">
        <f>IF($B85="","",IF(OR($B86="",ROUNDUP(($A85+1)/Inputs!$B$14,0)&gt;$B85),SUMIF($B$4:$B85,$B85,T$4:T85),0))</f>
        <v>13625.538461538463</v>
      </c>
      <c r="AA85" s="18"/>
      <c r="AB85" s="18"/>
      <c r="AC85" s="18"/>
      <c r="AD85" s="18"/>
      <c r="AE85" s="18"/>
      <c r="AF85" s="18"/>
      <c r="AG85" s="18"/>
      <c r="AH85" s="18"/>
    </row>
    <row r="86" spans="1:34" ht="18" customHeight="1">
      <c r="A86" s="157">
        <f>IF(A85="","",IF(AND(A85&gt;=Inputs!$B$15,P85+L85+M85+W85&lt;=0.005),"",IF(A85&gt;=Inputs!$C$61,"",A85+1)))</f>
        <v>83</v>
      </c>
      <c r="B86" s="77">
        <f>IF(A86="","",ROUNDUP(A86/Inputs!$B$14,0))</f>
        <v>20</v>
      </c>
      <c r="C86" s="160" t="str">
        <f>IF(A86="","",IF(A86=Inputs!$C$60,"Pago inferior",IF(A86&gt;Inputs!$B$15,"Periodo adicional",IF(N85+L85+M85+W85&gt;0,"Pago normal - aplica vencidos","Pago normal"))))</f>
        <v>Pago normal - aplica vencidos</v>
      </c>
      <c r="D86" s="149">
        <f t="shared" si="22"/>
        <v>694764.39876516419</v>
      </c>
      <c r="E86" s="149">
        <f>IF(A86="","",D86*Inputs!$B$17)</f>
        <v>8436.729730970821</v>
      </c>
      <c r="F86" s="149">
        <f>IF(A86="","",N85*Inputs!$B$17)</f>
        <v>3204.1955344346075</v>
      </c>
      <c r="G86" s="149">
        <f>IF(A86="","",IF(A86&lt;=Inputs!$B$15,INDEX(Caso1_Normal!$H$4:$H$89,A86),0))</f>
        <v>105782.28768023224</v>
      </c>
      <c r="H86" s="149">
        <f>IF(A86="","",IF(A86=Inputs!$C$60,Inputs!$C$59*(Inputs!$B$20+U86),MIN(Inputs!$B$20+U86,D86+L85+F86+M85+E86+W85+U86)))</f>
        <v>174048.99418446081</v>
      </c>
      <c r="I86" s="149">
        <f t="shared" si="23"/>
        <v>3204.1955344346075</v>
      </c>
      <c r="J86" s="149">
        <f t="shared" si="24"/>
        <v>8436.729730970821</v>
      </c>
      <c r="K86" s="149">
        <f t="shared" si="31"/>
        <v>99373.896611363074</v>
      </c>
      <c r="L86" s="149">
        <f t="shared" si="25"/>
        <v>0</v>
      </c>
      <c r="M86" s="149">
        <f t="shared" si="26"/>
        <v>0</v>
      </c>
      <c r="N86" s="149">
        <f t="shared" si="27"/>
        <v>270273.78145056602</v>
      </c>
      <c r="O86" s="149">
        <f t="shared" si="28"/>
        <v>325116.72070323513</v>
      </c>
      <c r="P86" s="149">
        <f t="shared" si="29"/>
        <v>595390.50215380115</v>
      </c>
      <c r="Q86" s="163" t="str">
        <f t="shared" si="30"/>
        <v>En mora</v>
      </c>
      <c r="R86" s="149">
        <f>IF($A86="","",IF($A86&lt;=Inputs!$B$15,Inputs!$B$28,0))</f>
        <v>48643.172307692315</v>
      </c>
      <c r="S86" s="149">
        <f>IF($A86="","",IF($A86&lt;=Inputs!$B$15,Inputs!$B$29,0))</f>
        <v>10984.615384615387</v>
      </c>
      <c r="T86" s="149">
        <f>IF($A86="","",IF($A86&lt;=Inputs!$B$15,Inputs!$B$30,0))</f>
        <v>3406.3846153846157</v>
      </c>
      <c r="U86" s="149">
        <f t="shared" si="32"/>
        <v>63034.172307692315</v>
      </c>
      <c r="V86" s="149">
        <f t="shared" si="33"/>
        <v>63034.172307692315</v>
      </c>
      <c r="W86" s="149">
        <f t="shared" si="34"/>
        <v>0</v>
      </c>
      <c r="X86" s="149">
        <f>IF($B86="","",IF(OR($B87="",ROUNDUP(($A86+1)/Inputs!$B$14,0)&gt;$B86),SUMIF($B$4:$B86,$B86,R$4:R86),0))</f>
        <v>0</v>
      </c>
      <c r="Y86" s="149">
        <f>IF($B86="","",IF(OR($B87="",ROUNDUP(($A86+1)/Inputs!$B$14,0)&gt;$B86),SUMIF($B$4:$B86,$B86,S$4:S86),0))</f>
        <v>0</v>
      </c>
      <c r="Z86" s="149">
        <f>IF($B86="","",IF(OR($B87="",ROUNDUP(($A86+1)/Inputs!$B$14,0)&gt;$B86),SUMIF($B$4:$B86,$B86,T$4:T86),0))</f>
        <v>0</v>
      </c>
      <c r="AA86" s="18"/>
      <c r="AB86" s="18"/>
      <c r="AC86" s="18"/>
      <c r="AD86" s="18"/>
      <c r="AE86" s="18"/>
      <c r="AF86" s="18"/>
      <c r="AG86" s="18"/>
      <c r="AH86" s="18"/>
    </row>
    <row r="87" spans="1:34" ht="18" customHeight="1">
      <c r="A87" s="157">
        <f>IF(A86="","",IF(AND(A86&gt;=Inputs!$B$15,P86+L86+M86+W86&lt;=0.005),"",IF(A86&gt;=Inputs!$C$61,"",A86+1)))</f>
        <v>84</v>
      </c>
      <c r="B87" s="77">
        <f>IF(A87="","",ROUNDUP(A87/Inputs!$B$14,0))</f>
        <v>20</v>
      </c>
      <c r="C87" s="160" t="str">
        <f>IF(A87="","",IF(A87=Inputs!$C$60,"Pago inferior",IF(A87&gt;Inputs!$B$15,"Periodo adicional",IF(N86+L86+M86+W86&gt;0,"Pago normal - aplica vencidos","Pago normal"))))</f>
        <v>Pago normal - aplica vencidos</v>
      </c>
      <c r="D87" s="149">
        <f t="shared" si="22"/>
        <v>595390.50215380115</v>
      </c>
      <c r="E87" s="149">
        <f>IF(A87="","",D87*Inputs!$B$17)</f>
        <v>7230.0030916760952</v>
      </c>
      <c r="F87" s="149">
        <f>IF(A87="","",N86*Inputs!$B$17)</f>
        <v>3282.0145239431517</v>
      </c>
      <c r="G87" s="149">
        <f>IF(A87="","",IF(A87&lt;=Inputs!$B$15,INDEX(Caso1_Normal!$H$4:$H$89,A87),0))</f>
        <v>107066.83330903552</v>
      </c>
      <c r="H87" s="149">
        <f>IF(A87="","",IF(A87=Inputs!$C$60,Inputs!$C$59*(Inputs!$B$20+U87),MIN(Inputs!$B$20+U87,D87+L86+F87+M86+E87+W86+U87)))</f>
        <v>174048.99418446081</v>
      </c>
      <c r="I87" s="149">
        <f t="shared" si="23"/>
        <v>3282.0145239431517</v>
      </c>
      <c r="J87" s="149">
        <f t="shared" si="24"/>
        <v>7230.0030916760952</v>
      </c>
      <c r="K87" s="149">
        <f t="shared" si="31"/>
        <v>100502.80426114923</v>
      </c>
      <c r="L87" s="149">
        <f t="shared" si="25"/>
        <v>0</v>
      </c>
      <c r="M87" s="149">
        <f t="shared" si="26"/>
        <v>0</v>
      </c>
      <c r="N87" s="149">
        <f t="shared" si="27"/>
        <v>276837.81049845228</v>
      </c>
      <c r="O87" s="149">
        <f t="shared" si="28"/>
        <v>218049.88739419961</v>
      </c>
      <c r="P87" s="149">
        <f t="shared" si="29"/>
        <v>494887.69789265189</v>
      </c>
      <c r="Q87" s="163" t="str">
        <f t="shared" si="30"/>
        <v>En mora</v>
      </c>
      <c r="R87" s="149">
        <f>IF($A87="","",IF($A87&lt;=Inputs!$B$15,Inputs!$B$28,0))</f>
        <v>48643.172307692315</v>
      </c>
      <c r="S87" s="149">
        <f>IF($A87="","",IF($A87&lt;=Inputs!$B$15,Inputs!$B$29,0))</f>
        <v>10984.615384615387</v>
      </c>
      <c r="T87" s="149">
        <f>IF($A87="","",IF($A87&lt;=Inputs!$B$15,Inputs!$B$30,0))</f>
        <v>3406.3846153846157</v>
      </c>
      <c r="U87" s="149">
        <f t="shared" si="32"/>
        <v>63034.172307692315</v>
      </c>
      <c r="V87" s="149">
        <f t="shared" si="33"/>
        <v>63034.172307692315</v>
      </c>
      <c r="W87" s="149">
        <f t="shared" si="34"/>
        <v>0</v>
      </c>
      <c r="X87" s="149">
        <f>IF($B87="","",IF(OR($B88="",ROUNDUP(($A87+1)/Inputs!$B$14,0)&gt;$B87),SUMIF($B$4:$B87,$B87,R$4:R87),0))</f>
        <v>0</v>
      </c>
      <c r="Y87" s="149">
        <f>IF($B87="","",IF(OR($B88="",ROUNDUP(($A87+1)/Inputs!$B$14,0)&gt;$B87),SUMIF($B$4:$B87,$B87,S$4:S87),0))</f>
        <v>0</v>
      </c>
      <c r="Z87" s="149">
        <f>IF($B87="","",IF(OR($B88="",ROUNDUP(($A87+1)/Inputs!$B$14,0)&gt;$B87),SUMIF($B$4:$B87,$B87,T$4:T87),0))</f>
        <v>0</v>
      </c>
      <c r="AA87" s="18"/>
      <c r="AB87" s="18"/>
      <c r="AC87" s="18"/>
      <c r="AD87" s="18"/>
      <c r="AE87" s="18"/>
      <c r="AF87" s="18"/>
      <c r="AG87" s="18"/>
      <c r="AH87" s="18"/>
    </row>
    <row r="88" spans="1:34" ht="18" customHeight="1">
      <c r="A88" s="157">
        <f>IF(A87="","",IF(AND(A87&gt;=Inputs!$B$15,P87+L87+M87+W87&lt;=0.005),"",IF(A87&gt;=Inputs!$C$61,"",A87+1)))</f>
        <v>85</v>
      </c>
      <c r="B88" s="77">
        <f>IF(A88="","",ROUNDUP(A88/Inputs!$B$14,0))</f>
        <v>20</v>
      </c>
      <c r="C88" s="160" t="str">
        <f>IF(A88="","",IF(A88=Inputs!$C$60,"Pago inferior",IF(A88&gt;Inputs!$B$15,"Periodo adicional",IF(N87+L87+M87+W87&gt;0,"Pago normal - aplica vencidos","Pago normal"))))</f>
        <v>Pago normal - aplica vencidos</v>
      </c>
      <c r="D88" s="149">
        <f t="shared" si="22"/>
        <v>494887.69789265189</v>
      </c>
      <c r="E88" s="149">
        <f>IF(A88="","",D88*Inputs!$B$17)</f>
        <v>6009.5677926552817</v>
      </c>
      <c r="F88" s="149">
        <f>IF(A88="","",N87*Inputs!$B$17)</f>
        <v>3361.723471496719</v>
      </c>
      <c r="G88" s="149">
        <f>IF(A88="","",IF(A88&lt;=Inputs!$B$15,INDEX(Caso1_Normal!$H$4:$H$89,A88),0))</f>
        <v>108366.97755560989</v>
      </c>
      <c r="H88" s="149">
        <f>IF(A88="","",IF(A88=Inputs!$C$60,Inputs!$C$59*(Inputs!$B$20+U88),MIN(Inputs!$B$20+U88,D88+L87+F88+M87+E88+W87+U88)))</f>
        <v>174048.99418446081</v>
      </c>
      <c r="I88" s="149">
        <f t="shared" si="23"/>
        <v>3361.723471496719</v>
      </c>
      <c r="J88" s="149">
        <f t="shared" si="24"/>
        <v>6009.5677926552817</v>
      </c>
      <c r="K88" s="149">
        <f t="shared" si="31"/>
        <v>101643.53061261648</v>
      </c>
      <c r="L88" s="149">
        <f t="shared" si="25"/>
        <v>0</v>
      </c>
      <c r="M88" s="149">
        <f t="shared" si="26"/>
        <v>0</v>
      </c>
      <c r="N88" s="149">
        <f t="shared" si="27"/>
        <v>283561.25744144572</v>
      </c>
      <c r="O88" s="149">
        <f t="shared" si="28"/>
        <v>109682.90983858972</v>
      </c>
      <c r="P88" s="149">
        <f t="shared" si="29"/>
        <v>393244.16728003544</v>
      </c>
      <c r="Q88" s="163" t="str">
        <f t="shared" si="30"/>
        <v>En mora</v>
      </c>
      <c r="R88" s="149">
        <f>IF($A88="","",IF($A88&lt;=Inputs!$B$15,Inputs!$B$28,0))</f>
        <v>48643.172307692315</v>
      </c>
      <c r="S88" s="149">
        <f>IF($A88="","",IF($A88&lt;=Inputs!$B$15,Inputs!$B$29,0))</f>
        <v>10984.615384615387</v>
      </c>
      <c r="T88" s="149">
        <f>IF($A88="","",IF($A88&lt;=Inputs!$B$15,Inputs!$B$30,0))</f>
        <v>3406.3846153846157</v>
      </c>
      <c r="U88" s="149">
        <f t="shared" si="32"/>
        <v>63034.172307692315</v>
      </c>
      <c r="V88" s="149">
        <f t="shared" si="33"/>
        <v>63034.172307692315</v>
      </c>
      <c r="W88" s="149">
        <f t="shared" si="34"/>
        <v>0</v>
      </c>
      <c r="X88" s="149">
        <f>IF($B88="","",IF(OR($B89="",ROUNDUP(($A88+1)/Inputs!$B$14,0)&gt;$B88),SUMIF($B$4:$B88,$B88,R$4:R88),0))</f>
        <v>0</v>
      </c>
      <c r="Y88" s="149">
        <f>IF($B88="","",IF(OR($B89="",ROUNDUP(($A88+1)/Inputs!$B$14,0)&gt;$B88),SUMIF($B$4:$B88,$B88,S$4:S88),0))</f>
        <v>0</v>
      </c>
      <c r="Z88" s="149">
        <f>IF($B88="","",IF(OR($B89="",ROUNDUP(($A88+1)/Inputs!$B$14,0)&gt;$B88),SUMIF($B$4:$B88,$B88,T$4:T88),0))</f>
        <v>0</v>
      </c>
      <c r="AA88" s="18"/>
      <c r="AB88" s="18"/>
      <c r="AC88" s="18"/>
      <c r="AD88" s="18"/>
      <c r="AE88" s="18"/>
      <c r="AF88" s="18"/>
      <c r="AG88" s="18"/>
      <c r="AH88" s="18"/>
    </row>
    <row r="89" spans="1:34" ht="18" customHeight="1">
      <c r="A89" s="157">
        <f>IF(A88="","",IF(AND(A88&gt;=Inputs!$B$15,P88+L88+M88+W88&lt;=0.005),"",IF(A88&gt;=Inputs!$C$61,"",A88+1)))</f>
        <v>86</v>
      </c>
      <c r="B89" s="77">
        <f>IF(A89="","",ROUNDUP(A89/Inputs!$B$14,0))</f>
        <v>20</v>
      </c>
      <c r="C89" s="160" t="str">
        <f>IF(A89="","",IF(A89=Inputs!$C$60,"Pago inferior",IF(A89&gt;Inputs!$B$15,"Periodo adicional",IF(N88+L88+M88+W88&gt;0,"Pago normal - aplica vencidos","Pago normal"))))</f>
        <v>Pago normal - aplica vencidos</v>
      </c>
      <c r="D89" s="149">
        <f t="shared" si="22"/>
        <v>393244.16728003544</v>
      </c>
      <c r="E89" s="149">
        <f>IF(A89="","",D89*Inputs!$B$17)</f>
        <v>4775.280315915762</v>
      </c>
      <c r="F89" s="149">
        <f>IF(A89="","",N88*Inputs!$B$17)</f>
        <v>3443.3682777351723</v>
      </c>
      <c r="G89" s="149">
        <f>IF(A89="","",IF(A89&lt;=Inputs!$B$15,INDEX(Caso1_Normal!$H$4:$H$89,A89),0))</f>
        <v>109682.90983858788</v>
      </c>
      <c r="H89" s="149">
        <f>IF(A89="","",IF(A89=Inputs!$C$60,Inputs!$C$59*(Inputs!$B$20+U89),MIN(Inputs!$B$20+U89,D89+L88+F89+M88+E89+W88+U89)))</f>
        <v>174048.99418446081</v>
      </c>
      <c r="I89" s="149">
        <f t="shared" si="23"/>
        <v>3443.3682777351723</v>
      </c>
      <c r="J89" s="149">
        <f t="shared" si="24"/>
        <v>4775.280315915762</v>
      </c>
      <c r="K89" s="149">
        <f t="shared" si="31"/>
        <v>102796.17328311756</v>
      </c>
      <c r="L89" s="149">
        <f t="shared" si="25"/>
        <v>0</v>
      </c>
      <c r="M89" s="149">
        <f t="shared" si="26"/>
        <v>0</v>
      </c>
      <c r="N89" s="149">
        <f t="shared" si="27"/>
        <v>290447.99399691599</v>
      </c>
      <c r="O89" s="149">
        <f t="shared" si="28"/>
        <v>1.862645149230957E-9</v>
      </c>
      <c r="P89" s="149">
        <f t="shared" si="29"/>
        <v>290447.99399691785</v>
      </c>
      <c r="Q89" s="163" t="str">
        <f t="shared" si="30"/>
        <v>En mora</v>
      </c>
      <c r="R89" s="149">
        <f>IF($A89="","",IF($A89&lt;=Inputs!$B$15,Inputs!$B$28,0))</f>
        <v>48643.172307692315</v>
      </c>
      <c r="S89" s="149">
        <f>IF($A89="","",IF($A89&lt;=Inputs!$B$15,Inputs!$B$29,0))</f>
        <v>10984.615384615387</v>
      </c>
      <c r="T89" s="149">
        <f>IF($A89="","",IF($A89&lt;=Inputs!$B$15,Inputs!$B$30,0))</f>
        <v>3406.3846153846157</v>
      </c>
      <c r="U89" s="149">
        <f t="shared" si="32"/>
        <v>63034.172307692315</v>
      </c>
      <c r="V89" s="149">
        <f t="shared" si="33"/>
        <v>63034.172307692315</v>
      </c>
      <c r="W89" s="149">
        <f t="shared" si="34"/>
        <v>0</v>
      </c>
      <c r="X89" s="149">
        <f>IF($B89="","",IF(OR($B90="",ROUNDUP(($A89+1)/Inputs!$B$14,0)&gt;$B89),SUMIF($B$4:$B89,$B89,R$4:R89),0))</f>
        <v>194572.68923076926</v>
      </c>
      <c r="Y89" s="149">
        <f>IF($B89="","",IF(OR($B90="",ROUNDUP(($A89+1)/Inputs!$B$14,0)&gt;$B89),SUMIF($B$4:$B89,$B89,S$4:S89),0))</f>
        <v>43938.461538461546</v>
      </c>
      <c r="Z89" s="149">
        <f>IF($B89="","",IF(OR($B90="",ROUNDUP(($A89+1)/Inputs!$B$14,0)&gt;$B89),SUMIF($B$4:$B89,$B89,T$4:T89),0))</f>
        <v>13625.538461538463</v>
      </c>
      <c r="AA89" s="18"/>
      <c r="AB89" s="18"/>
      <c r="AC89" s="18"/>
      <c r="AD89" s="18"/>
      <c r="AE89" s="18"/>
      <c r="AF89" s="18"/>
      <c r="AG89" s="18"/>
      <c r="AH89" s="18"/>
    </row>
    <row r="90" spans="1:34" ht="18" customHeight="1">
      <c r="A90" s="157">
        <f>IF(A89="","",IF(AND(A89&gt;=Inputs!$B$15,P89+L89+M89+W89&lt;=0.005),"",IF(A89&gt;=Inputs!$C$61,"",A89+1)))</f>
        <v>87</v>
      </c>
      <c r="B90" s="77">
        <f>IF(A90="","",ROUNDUP(A90/Inputs!$B$14,0))</f>
        <v>21</v>
      </c>
      <c r="C90" s="160" t="str">
        <f>IF(A90="","",IF(A90=Inputs!$C$60,"Pago inferior",IF(A90&gt;Inputs!$B$15,"Periodo adicional",IF(N89+L89+M89+W89&gt;0,"Pago normal - aplica vencidos","Pago normal"))))</f>
        <v>Periodo adicional</v>
      </c>
      <c r="D90" s="149">
        <f t="shared" si="22"/>
        <v>290447.99399691785</v>
      </c>
      <c r="E90" s="149">
        <f>IF(A90="","",D90*Inputs!$B$17)</f>
        <v>3526.9959580685081</v>
      </c>
      <c r="F90" s="149">
        <f>IF(A90="","",N89*Inputs!$B$17)</f>
        <v>3526.9959580684854</v>
      </c>
      <c r="G90" s="149">
        <f>IF(A90="","",IF(A90&lt;=Inputs!$B$15,INDEX(Caso1_Normal!$H$4:$H$89,A90),0))</f>
        <v>0</v>
      </c>
      <c r="H90" s="149">
        <f>IF(A90="","",IF(A90=Inputs!$C$60,Inputs!$C$59*(Inputs!$B$20+U90),MIN(Inputs!$B$20+U90,D90+L89+F90+M89+E90+W89+U90)))</f>
        <v>111014.82187676849</v>
      </c>
      <c r="I90" s="149">
        <f t="shared" si="23"/>
        <v>3526.9959580684854</v>
      </c>
      <c r="J90" s="149">
        <f t="shared" si="24"/>
        <v>3526.9959580685081</v>
      </c>
      <c r="K90" s="149">
        <f t="shared" si="31"/>
        <v>103960.8299606315</v>
      </c>
      <c r="L90" s="149">
        <f t="shared" si="25"/>
        <v>0</v>
      </c>
      <c r="M90" s="149">
        <f t="shared" si="26"/>
        <v>0</v>
      </c>
      <c r="N90" s="149">
        <f t="shared" si="27"/>
        <v>186487.16403628449</v>
      </c>
      <c r="O90" s="149">
        <f t="shared" si="28"/>
        <v>1.862645149230957E-9</v>
      </c>
      <c r="P90" s="149">
        <f t="shared" si="29"/>
        <v>186487.16403628635</v>
      </c>
      <c r="Q90" s="163" t="str">
        <f t="shared" si="30"/>
        <v>En mora</v>
      </c>
      <c r="R90" s="149">
        <f>IF($A90="","",IF($A90&lt;=Inputs!$B$15,Inputs!$B$28,0))</f>
        <v>0</v>
      </c>
      <c r="S90" s="149">
        <f>IF($A90="","",IF($A90&lt;=Inputs!$B$15,Inputs!$B$29,0))</f>
        <v>0</v>
      </c>
      <c r="T90" s="149">
        <f>IF($A90="","",IF($A90&lt;=Inputs!$B$15,Inputs!$B$30,0))</f>
        <v>0</v>
      </c>
      <c r="U90" s="149">
        <f t="shared" si="32"/>
        <v>0</v>
      </c>
      <c r="V90" s="149">
        <f t="shared" si="33"/>
        <v>0</v>
      </c>
      <c r="W90" s="149">
        <f t="shared" si="34"/>
        <v>0</v>
      </c>
      <c r="X90" s="149">
        <f>IF($B90="","",IF(OR($B91="",ROUNDUP(($A90+1)/Inputs!$B$14,0)&gt;$B90),SUMIF($B$4:$B90,$B90,R$4:R90),0))</f>
        <v>0</v>
      </c>
      <c r="Y90" s="149">
        <f>IF($B90="","",IF(OR($B91="",ROUNDUP(($A90+1)/Inputs!$B$14,0)&gt;$B90),SUMIF($B$4:$B90,$B90,S$4:S90),0))</f>
        <v>0</v>
      </c>
      <c r="Z90" s="149">
        <f>IF($B90="","",IF(OR($B91="",ROUNDUP(($A90+1)/Inputs!$B$14,0)&gt;$B90),SUMIF($B$4:$B90,$B90,T$4:T90),0))</f>
        <v>0</v>
      </c>
      <c r="AA90" s="18"/>
      <c r="AB90" s="18"/>
      <c r="AC90" s="18"/>
      <c r="AD90" s="18"/>
      <c r="AE90" s="18"/>
      <c r="AF90" s="18"/>
      <c r="AG90" s="18"/>
      <c r="AH90" s="18"/>
    </row>
    <row r="91" spans="1:34" ht="18" customHeight="1">
      <c r="A91" s="157">
        <f>IF(A90="","",IF(AND(A90&gt;=Inputs!$B$15,P90+L90+M90+W90&lt;=0.005),"",IF(A90&gt;=Inputs!$C$61,"",A90+1)))</f>
        <v>88</v>
      </c>
      <c r="B91" s="77">
        <f>IF(A91="","",ROUNDUP(A91/Inputs!$B$14,0))</f>
        <v>21</v>
      </c>
      <c r="C91" s="160" t="str">
        <f>IF(A91="","",IF(A91=Inputs!$C$60,"Pago inferior",IF(A91&gt;Inputs!$B$15,"Periodo adicional",IF(N90+L90+M90+W90&gt;0,"Pago normal - aplica vencidos","Pago normal"))))</f>
        <v>Periodo adicional</v>
      </c>
      <c r="D91" s="149">
        <f t="shared" si="22"/>
        <v>186487.16403628635</v>
      </c>
      <c r="E91" s="149">
        <f>IF(A91="","",D91*Inputs!$B$17)</f>
        <v>2264.568829470451</v>
      </c>
      <c r="F91" s="149">
        <f>IF(A91="","",N90*Inputs!$B$17)</f>
        <v>2264.5688294704282</v>
      </c>
      <c r="G91" s="149">
        <f>IF(A91="","",IF(A91&lt;=Inputs!$B$15,INDEX(Caso1_Normal!$H$4:$H$89,A91),0))</f>
        <v>0</v>
      </c>
      <c r="H91" s="149">
        <f>IF(A91="","",IF(A91=Inputs!$C$60,Inputs!$C$59*(Inputs!$B$20+U91),MIN(Inputs!$B$20+U91,D91+L90+F91+M90+E91+W90+U91)))</f>
        <v>111014.82187676849</v>
      </c>
      <c r="I91" s="149">
        <f t="shared" si="23"/>
        <v>2264.5688294704282</v>
      </c>
      <c r="J91" s="149">
        <f t="shared" si="24"/>
        <v>2264.568829470451</v>
      </c>
      <c r="K91" s="149">
        <f t="shared" si="31"/>
        <v>106485.68421782761</v>
      </c>
      <c r="L91" s="149">
        <f t="shared" si="25"/>
        <v>0</v>
      </c>
      <c r="M91" s="149">
        <f t="shared" si="26"/>
        <v>0</v>
      </c>
      <c r="N91" s="149">
        <f t="shared" si="27"/>
        <v>80001.479818456879</v>
      </c>
      <c r="O91" s="149">
        <f t="shared" si="28"/>
        <v>1.862645149230957E-9</v>
      </c>
      <c r="P91" s="149">
        <f t="shared" si="29"/>
        <v>80001.479818458742</v>
      </c>
      <c r="Q91" s="163" t="str">
        <f t="shared" si="30"/>
        <v>En mora</v>
      </c>
      <c r="R91" s="149">
        <f>IF($A91="","",IF($A91&lt;=Inputs!$B$15,Inputs!$B$28,0))</f>
        <v>0</v>
      </c>
      <c r="S91" s="149">
        <f>IF($A91="","",IF($A91&lt;=Inputs!$B$15,Inputs!$B$29,0))</f>
        <v>0</v>
      </c>
      <c r="T91" s="149">
        <f>IF($A91="","",IF($A91&lt;=Inputs!$B$15,Inputs!$B$30,0))</f>
        <v>0</v>
      </c>
      <c r="U91" s="149">
        <f t="shared" si="32"/>
        <v>0</v>
      </c>
      <c r="V91" s="149">
        <f t="shared" si="33"/>
        <v>0</v>
      </c>
      <c r="W91" s="149">
        <f t="shared" si="34"/>
        <v>0</v>
      </c>
      <c r="X91" s="149">
        <f>IF($B91="","",IF(OR($B92="",ROUNDUP(($A91+1)/Inputs!$B$14,0)&gt;$B91),SUMIF($B$4:$B91,$B91,R$4:R91),0))</f>
        <v>0</v>
      </c>
      <c r="Y91" s="149">
        <f>IF($B91="","",IF(OR($B92="",ROUNDUP(($A91+1)/Inputs!$B$14,0)&gt;$B91),SUMIF($B$4:$B91,$B91,S$4:S91),0))</f>
        <v>0</v>
      </c>
      <c r="Z91" s="149">
        <f>IF($B91="","",IF(OR($B92="",ROUNDUP(($A91+1)/Inputs!$B$14,0)&gt;$B91),SUMIF($B$4:$B91,$B91,T$4:T91),0))</f>
        <v>0</v>
      </c>
      <c r="AA91" s="18"/>
      <c r="AB91" s="18"/>
      <c r="AC91" s="18"/>
      <c r="AD91" s="18"/>
      <c r="AE91" s="18"/>
      <c r="AF91" s="18"/>
      <c r="AG91" s="18"/>
      <c r="AH91" s="18"/>
    </row>
    <row r="92" spans="1:34" ht="18" customHeight="1">
      <c r="A92" s="157">
        <f>IF(A91="","",IF(AND(A91&gt;=Inputs!$B$15,P91+L91+M91+W91&lt;=0.005),"",IF(A91&gt;=Inputs!$C$61,"",A91+1)))</f>
        <v>89</v>
      </c>
      <c r="B92" s="77">
        <f>IF(A92="","",ROUNDUP(A92/Inputs!$B$14,0))</f>
        <v>21</v>
      </c>
      <c r="C92" s="160" t="str">
        <f>IF(A92="","",IF(A92=Inputs!$C$60,"Pago inferior",IF(A92&gt;Inputs!$B$15,"Periodo adicional",IF(N91+L91+M91+W91&gt;0,"Pago normal - aplica vencidos","Pago normal"))))</f>
        <v>Periodo adicional</v>
      </c>
      <c r="D92" s="149">
        <f t="shared" si="22"/>
        <v>80001.479818458742</v>
      </c>
      <c r="E92" s="149">
        <f>IF(A92="","",D92*Inputs!$B$17)</f>
        <v>971.48164831944939</v>
      </c>
      <c r="F92" s="149">
        <f>IF(A92="","",N91*Inputs!$B$17)</f>
        <v>971.48164831942677</v>
      </c>
      <c r="G92" s="149">
        <f>IF(A92="","",IF(A92&lt;=Inputs!$B$15,INDEX(Caso1_Normal!$H$4:$H$89,A92),0))</f>
        <v>0</v>
      </c>
      <c r="H92" s="149">
        <f>IF(A92="","",IF(A92=Inputs!$C$60,Inputs!$C$59*(Inputs!$B$20+U92),MIN(Inputs!$B$20+U92,D92+L91+F92+M91+E92+W91+U92)))</f>
        <v>81944.443115097616</v>
      </c>
      <c r="I92" s="149">
        <f t="shared" si="23"/>
        <v>971.48164831942677</v>
      </c>
      <c r="J92" s="149">
        <f t="shared" si="24"/>
        <v>971.48164831944939</v>
      </c>
      <c r="K92" s="149">
        <f t="shared" si="31"/>
        <v>80001.479818458742</v>
      </c>
      <c r="L92" s="149">
        <f t="shared" si="25"/>
        <v>0</v>
      </c>
      <c r="M92" s="149">
        <f t="shared" si="26"/>
        <v>0</v>
      </c>
      <c r="N92" s="149">
        <f t="shared" si="27"/>
        <v>0</v>
      </c>
      <c r="O92" s="149">
        <f t="shared" si="28"/>
        <v>0</v>
      </c>
      <c r="P92" s="149">
        <f t="shared" si="29"/>
        <v>0</v>
      </c>
      <c r="Q92" s="163" t="str">
        <f t="shared" si="30"/>
        <v>Cancelado</v>
      </c>
      <c r="R92" s="149">
        <f>IF($A92="","",IF($A92&lt;=Inputs!$B$15,Inputs!$B$28,0))</f>
        <v>0</v>
      </c>
      <c r="S92" s="149">
        <f>IF($A92="","",IF($A92&lt;=Inputs!$B$15,Inputs!$B$29,0))</f>
        <v>0</v>
      </c>
      <c r="T92" s="149">
        <f>IF($A92="","",IF($A92&lt;=Inputs!$B$15,Inputs!$B$30,0))</f>
        <v>0</v>
      </c>
      <c r="U92" s="149">
        <f t="shared" si="32"/>
        <v>0</v>
      </c>
      <c r="V92" s="149">
        <f t="shared" si="33"/>
        <v>0</v>
      </c>
      <c r="W92" s="149">
        <f t="shared" si="34"/>
        <v>0</v>
      </c>
      <c r="X92" s="149">
        <f>IF($B92="","",IF(OR($B93="",ROUNDUP(($A92+1)/Inputs!$B$14,0)&gt;$B92),SUMIF($B$4:$B92,$B92,R$4:R92),0))</f>
        <v>0</v>
      </c>
      <c r="Y92" s="149">
        <f>IF($B92="","",IF(OR($B93="",ROUNDUP(($A92+1)/Inputs!$B$14,0)&gt;$B92),SUMIF($B$4:$B92,$B92,S$4:S92),0))</f>
        <v>0</v>
      </c>
      <c r="Z92" s="149">
        <f>IF($B92="","",IF(OR($B93="",ROUNDUP(($A92+1)/Inputs!$B$14,0)&gt;$B92),SUMIF($B$4:$B92,$B92,T$4:T92),0))</f>
        <v>0</v>
      </c>
      <c r="AA92" s="18"/>
      <c r="AB92" s="18"/>
      <c r="AC92" s="18"/>
      <c r="AD92" s="18"/>
      <c r="AE92" s="18"/>
      <c r="AF92" s="18"/>
      <c r="AG92" s="18"/>
      <c r="AH92" s="18"/>
    </row>
    <row r="93" spans="1:34" ht="18" customHeight="1">
      <c r="A93" s="157" t="str">
        <f>IF(A92="","",IF(AND(A92&gt;=Inputs!$B$15,P92+L92+M92+W92&lt;=0.005),"",IF(A92&gt;=Inputs!$C$61,"",A92+1)))</f>
        <v/>
      </c>
      <c r="B93" s="77" t="str">
        <f>IF(A93="","",ROUNDUP(A93/Inputs!$B$14,0))</f>
        <v/>
      </c>
      <c r="C93" s="160" t="str">
        <f>IF(A93="","",IF(A93=Inputs!$C$60,"Pago inferior",IF(A93&gt;Inputs!$B$15,"Periodo adicional",IF(N92+L92+M92+W92&gt;0,"Pago normal - aplica vencidos","Pago normal"))))</f>
        <v/>
      </c>
      <c r="D93" s="149" t="str">
        <f t="shared" si="22"/>
        <v/>
      </c>
      <c r="E93" s="149" t="str">
        <f>IF(A93="","",D93*Inputs!$B$17)</f>
        <v/>
      </c>
      <c r="F93" s="149" t="str">
        <f>IF(A93="","",N92*Inputs!$B$17)</f>
        <v/>
      </c>
      <c r="G93" s="149" t="str">
        <f>IF(A93="","",IF(A93&lt;=Inputs!$B$15,INDEX(Caso1_Normal!$H$4:$H$89,A93),0))</f>
        <v/>
      </c>
      <c r="H93" s="149" t="str">
        <f>IF(A93="","",IF(A93=Inputs!$C$60,Inputs!$C$59*(Inputs!$B$20+U93),MIN(Inputs!$B$20+U93,D93+L92+F93+M92+E93+W92+U93)))</f>
        <v/>
      </c>
      <c r="I93" s="149" t="str">
        <f t="shared" si="23"/>
        <v/>
      </c>
      <c r="J93" s="149" t="str">
        <f t="shared" si="24"/>
        <v/>
      </c>
      <c r="K93" s="149" t="str">
        <f t="shared" si="31"/>
        <v/>
      </c>
      <c r="L93" s="149" t="str">
        <f t="shared" si="25"/>
        <v/>
      </c>
      <c r="M93" s="149" t="str">
        <f t="shared" si="26"/>
        <v/>
      </c>
      <c r="N93" s="149" t="str">
        <f t="shared" si="27"/>
        <v/>
      </c>
      <c r="O93" s="149" t="str">
        <f t="shared" si="28"/>
        <v/>
      </c>
      <c r="P93" s="149" t="str">
        <f t="shared" si="29"/>
        <v/>
      </c>
      <c r="Q93" s="163" t="str">
        <f t="shared" si="30"/>
        <v/>
      </c>
      <c r="R93" s="149" t="str">
        <f>IF($A93="","",IF($A93&lt;=Inputs!$B$15,Inputs!$B$28,0))</f>
        <v/>
      </c>
      <c r="S93" s="149" t="str">
        <f>IF($A93="","",IF($A93&lt;=Inputs!$B$15,Inputs!$B$29,0))</f>
        <v/>
      </c>
      <c r="T93" s="149" t="str">
        <f>IF($A93="","",IF($A93&lt;=Inputs!$B$15,Inputs!$B$30,0))</f>
        <v/>
      </c>
      <c r="U93" s="149" t="str">
        <f t="shared" si="32"/>
        <v/>
      </c>
      <c r="V93" s="149" t="str">
        <f t="shared" si="33"/>
        <v/>
      </c>
      <c r="W93" s="149" t="str">
        <f t="shared" si="34"/>
        <v/>
      </c>
      <c r="X93" s="149" t="str">
        <f>IF($B93="","",IF(OR($B94="",ROUNDUP(($A93+1)/Inputs!$B$14,0)&gt;$B93),SUMIF($B$4:$B93,$B93,R$4:R93),0))</f>
        <v/>
      </c>
      <c r="Y93" s="149" t="str">
        <f>IF($B93="","",IF(OR($B94="",ROUNDUP(($A93+1)/Inputs!$B$14,0)&gt;$B93),SUMIF($B$4:$B93,$B93,S$4:S93),0))</f>
        <v/>
      </c>
      <c r="Z93" s="149" t="str">
        <f>IF($B93="","",IF(OR($B94="",ROUNDUP(($A93+1)/Inputs!$B$14,0)&gt;$B93),SUMIF($B$4:$B93,$B93,T$4:T93),0))</f>
        <v/>
      </c>
      <c r="AA93" s="18"/>
      <c r="AB93" s="18"/>
      <c r="AC93" s="18"/>
      <c r="AD93" s="18"/>
      <c r="AE93" s="18"/>
      <c r="AF93" s="18"/>
      <c r="AG93" s="18"/>
      <c r="AH93" s="18"/>
    </row>
    <row r="94" spans="1:34" ht="18" customHeight="1">
      <c r="A94" s="157" t="str">
        <f>IF(A93="","",IF(AND(A93&gt;=Inputs!$B$15,P93+L93+M93+W93&lt;=0.005),"",IF(A93&gt;=Inputs!$C$61,"",A93+1)))</f>
        <v/>
      </c>
      <c r="B94" s="77" t="str">
        <f>IF(A94="","",ROUNDUP(A94/Inputs!$B$14,0))</f>
        <v/>
      </c>
      <c r="C94" s="160" t="str">
        <f>IF(A94="","",IF(A94=Inputs!$C$60,"Pago inferior",IF(A94&gt;Inputs!$B$15,"Periodo adicional",IF(N93+L93+M93+W93&gt;0,"Pago normal - aplica vencidos","Pago normal"))))</f>
        <v/>
      </c>
      <c r="D94" s="149" t="str">
        <f t="shared" si="22"/>
        <v/>
      </c>
      <c r="E94" s="149" t="str">
        <f>IF(A94="","",D94*Inputs!$B$17)</f>
        <v/>
      </c>
      <c r="F94" s="149" t="str">
        <f>IF(A94="","",N93*Inputs!$B$17)</f>
        <v/>
      </c>
      <c r="G94" s="149" t="str">
        <f>IF(A94="","",IF(A94&lt;=Inputs!$B$15,INDEX(Caso1_Normal!$H$4:$H$89,A94),0))</f>
        <v/>
      </c>
      <c r="H94" s="149" t="str">
        <f>IF(A94="","",IF(A94=Inputs!$C$60,Inputs!$C$59*(Inputs!$B$20+U94),MIN(Inputs!$B$20+U94,D94+L93+F94+M93+E94+W93+U94)))</f>
        <v/>
      </c>
      <c r="I94" s="149" t="str">
        <f t="shared" si="23"/>
        <v/>
      </c>
      <c r="J94" s="149" t="str">
        <f t="shared" si="24"/>
        <v/>
      </c>
      <c r="K94" s="149" t="str">
        <f t="shared" si="31"/>
        <v/>
      </c>
      <c r="L94" s="149" t="str">
        <f t="shared" si="25"/>
        <v/>
      </c>
      <c r="M94" s="149" t="str">
        <f t="shared" si="26"/>
        <v/>
      </c>
      <c r="N94" s="149" t="str">
        <f t="shared" si="27"/>
        <v/>
      </c>
      <c r="O94" s="149" t="str">
        <f t="shared" si="28"/>
        <v/>
      </c>
      <c r="P94" s="149" t="str">
        <f t="shared" si="29"/>
        <v/>
      </c>
      <c r="Q94" s="163" t="str">
        <f t="shared" si="30"/>
        <v/>
      </c>
      <c r="R94" s="149" t="str">
        <f>IF($A94="","",IF($A94&lt;=Inputs!$B$15,Inputs!$B$28,0))</f>
        <v/>
      </c>
      <c r="S94" s="149" t="str">
        <f>IF($A94="","",IF($A94&lt;=Inputs!$B$15,Inputs!$B$29,0))</f>
        <v/>
      </c>
      <c r="T94" s="149" t="str">
        <f>IF($A94="","",IF($A94&lt;=Inputs!$B$15,Inputs!$B$30,0))</f>
        <v/>
      </c>
      <c r="U94" s="149" t="str">
        <f t="shared" si="32"/>
        <v/>
      </c>
      <c r="V94" s="149" t="str">
        <f t="shared" si="33"/>
        <v/>
      </c>
      <c r="W94" s="149" t="str">
        <f t="shared" si="34"/>
        <v/>
      </c>
      <c r="X94" s="149" t="str">
        <f>IF($B94="","",IF(OR($B95="",ROUNDUP(($A94+1)/Inputs!$B$14,0)&gt;$B94),SUMIF($B$4:$B94,$B94,R$4:R94),0))</f>
        <v/>
      </c>
      <c r="Y94" s="149" t="str">
        <f>IF($B94="","",IF(OR($B95="",ROUNDUP(($A94+1)/Inputs!$B$14,0)&gt;$B94),SUMIF($B$4:$B94,$B94,S$4:S94),0))</f>
        <v/>
      </c>
      <c r="Z94" s="149" t="str">
        <f>IF($B94="","",IF(OR($B95="",ROUNDUP(($A94+1)/Inputs!$B$14,0)&gt;$B94),SUMIF($B$4:$B94,$B94,T$4:T94),0))</f>
        <v/>
      </c>
      <c r="AA94" s="18"/>
      <c r="AB94" s="18"/>
      <c r="AC94" s="18"/>
      <c r="AD94" s="18"/>
      <c r="AE94" s="18"/>
      <c r="AF94" s="18"/>
      <c r="AG94" s="18"/>
      <c r="AH94" s="18"/>
    </row>
    <row r="95" spans="1:34" ht="18" customHeight="1">
      <c r="A95" s="157" t="str">
        <f>IF(A94="","",IF(AND(A94&gt;=Inputs!$B$15,P94+L94+M94+W94&lt;=0.005),"",IF(A94&gt;=Inputs!$C$61,"",A94+1)))</f>
        <v/>
      </c>
      <c r="B95" s="77" t="str">
        <f>IF(A95="","",ROUNDUP(A95/Inputs!$B$14,0))</f>
        <v/>
      </c>
      <c r="C95" s="160" t="str">
        <f>IF(A95="","",IF(A95=Inputs!$C$60,"Pago inferior",IF(A95&gt;Inputs!$B$15,"Periodo adicional",IF(N94+L94+M94+W94&gt;0,"Pago normal - aplica vencidos","Pago normal"))))</f>
        <v/>
      </c>
      <c r="D95" s="149" t="str">
        <f t="shared" si="22"/>
        <v/>
      </c>
      <c r="E95" s="149" t="str">
        <f>IF(A95="","",D95*Inputs!$B$17)</f>
        <v/>
      </c>
      <c r="F95" s="149" t="str">
        <f>IF(A95="","",N94*Inputs!$B$17)</f>
        <v/>
      </c>
      <c r="G95" s="149" t="str">
        <f>IF(A95="","",IF(A95&lt;=Inputs!$B$15,INDEX(Caso1_Normal!$H$4:$H$89,A95),0))</f>
        <v/>
      </c>
      <c r="H95" s="149" t="str">
        <f>IF(A95="","",IF(A95=Inputs!$C$60,Inputs!$C$59*(Inputs!$B$20+U95),MIN(Inputs!$B$20+U95,D95+L94+F95+M94+E95+W94+U95)))</f>
        <v/>
      </c>
      <c r="I95" s="149" t="str">
        <f t="shared" si="23"/>
        <v/>
      </c>
      <c r="J95" s="149" t="str">
        <f t="shared" si="24"/>
        <v/>
      </c>
      <c r="K95" s="149" t="str">
        <f t="shared" si="31"/>
        <v/>
      </c>
      <c r="L95" s="149" t="str">
        <f t="shared" si="25"/>
        <v/>
      </c>
      <c r="M95" s="149" t="str">
        <f t="shared" si="26"/>
        <v/>
      </c>
      <c r="N95" s="149" t="str">
        <f t="shared" si="27"/>
        <v/>
      </c>
      <c r="O95" s="149" t="str">
        <f t="shared" si="28"/>
        <v/>
      </c>
      <c r="P95" s="149" t="str">
        <f t="shared" si="29"/>
        <v/>
      </c>
      <c r="Q95" s="163" t="str">
        <f t="shared" si="30"/>
        <v/>
      </c>
      <c r="R95" s="149" t="str">
        <f>IF($A95="","",IF($A95&lt;=Inputs!$B$15,Inputs!$B$28,0))</f>
        <v/>
      </c>
      <c r="S95" s="149" t="str">
        <f>IF($A95="","",IF($A95&lt;=Inputs!$B$15,Inputs!$B$29,0))</f>
        <v/>
      </c>
      <c r="T95" s="149" t="str">
        <f>IF($A95="","",IF($A95&lt;=Inputs!$B$15,Inputs!$B$30,0))</f>
        <v/>
      </c>
      <c r="U95" s="149" t="str">
        <f t="shared" si="32"/>
        <v/>
      </c>
      <c r="V95" s="149" t="str">
        <f t="shared" si="33"/>
        <v/>
      </c>
      <c r="W95" s="149" t="str">
        <f t="shared" si="34"/>
        <v/>
      </c>
      <c r="X95" s="149" t="str">
        <f>IF($B95="","",IF(OR($B96="",ROUNDUP(($A95+1)/Inputs!$B$14,0)&gt;$B95),SUMIF($B$4:$B95,$B95,R$4:R95),0))</f>
        <v/>
      </c>
      <c r="Y95" s="149" t="str">
        <f>IF($B95="","",IF(OR($B96="",ROUNDUP(($A95+1)/Inputs!$B$14,0)&gt;$B95),SUMIF($B$4:$B95,$B95,S$4:S95),0))</f>
        <v/>
      </c>
      <c r="Z95" s="149" t="str">
        <f>IF($B95="","",IF(OR($B96="",ROUNDUP(($A95+1)/Inputs!$B$14,0)&gt;$B95),SUMIF($B$4:$B95,$B95,T$4:T95),0))</f>
        <v/>
      </c>
      <c r="AA95" s="18"/>
      <c r="AB95" s="18"/>
      <c r="AC95" s="18"/>
      <c r="AD95" s="18"/>
      <c r="AE95" s="18"/>
      <c r="AF95" s="18"/>
      <c r="AG95" s="18"/>
      <c r="AH95" s="18"/>
    </row>
    <row r="96" spans="1:34" ht="18" customHeight="1">
      <c r="A96" s="157" t="str">
        <f>IF(A95="","",IF(AND(A95&gt;=Inputs!$B$15,P95+L95+M95+W95&lt;=0.005),"",IF(A95&gt;=Inputs!$C$61,"",A95+1)))</f>
        <v/>
      </c>
      <c r="B96" s="77" t="str">
        <f>IF(A96="","",ROUNDUP(A96/Inputs!$B$14,0))</f>
        <v/>
      </c>
      <c r="C96" s="160" t="str">
        <f>IF(A96="","",IF(A96=Inputs!$C$60,"Pago inferior",IF(A96&gt;Inputs!$B$15,"Periodo adicional",IF(N95+L95+M95+W95&gt;0,"Pago normal - aplica vencidos","Pago normal"))))</f>
        <v/>
      </c>
      <c r="D96" s="149" t="str">
        <f t="shared" si="22"/>
        <v/>
      </c>
      <c r="E96" s="149" t="str">
        <f>IF(A96="","",D96*Inputs!$B$17)</f>
        <v/>
      </c>
      <c r="F96" s="149" t="str">
        <f>IF(A96="","",N95*Inputs!$B$17)</f>
        <v/>
      </c>
      <c r="G96" s="149" t="str">
        <f>IF(A96="","",IF(A96&lt;=Inputs!$B$15,INDEX(Caso1_Normal!$H$4:$H$89,A96),0))</f>
        <v/>
      </c>
      <c r="H96" s="149" t="str">
        <f>IF(A96="","",IF(A96=Inputs!$C$60,Inputs!$C$59*(Inputs!$B$20+U96),MIN(Inputs!$B$20+U96,D96+L95+F96+M95+E96+W95+U96)))</f>
        <v/>
      </c>
      <c r="I96" s="149" t="str">
        <f t="shared" si="23"/>
        <v/>
      </c>
      <c r="J96" s="149" t="str">
        <f t="shared" si="24"/>
        <v/>
      </c>
      <c r="K96" s="149" t="str">
        <f t="shared" si="31"/>
        <v/>
      </c>
      <c r="L96" s="149" t="str">
        <f t="shared" si="25"/>
        <v/>
      </c>
      <c r="M96" s="149" t="str">
        <f t="shared" si="26"/>
        <v/>
      </c>
      <c r="N96" s="149" t="str">
        <f t="shared" si="27"/>
        <v/>
      </c>
      <c r="O96" s="149" t="str">
        <f t="shared" si="28"/>
        <v/>
      </c>
      <c r="P96" s="149" t="str">
        <f t="shared" si="29"/>
        <v/>
      </c>
      <c r="Q96" s="163" t="str">
        <f t="shared" si="30"/>
        <v/>
      </c>
      <c r="R96" s="149" t="str">
        <f>IF($A96="","",IF($A96&lt;=Inputs!$B$15,Inputs!$B$28,0))</f>
        <v/>
      </c>
      <c r="S96" s="149" t="str">
        <f>IF($A96="","",IF($A96&lt;=Inputs!$B$15,Inputs!$B$29,0))</f>
        <v/>
      </c>
      <c r="T96" s="149" t="str">
        <f>IF($A96="","",IF($A96&lt;=Inputs!$B$15,Inputs!$B$30,0))</f>
        <v/>
      </c>
      <c r="U96" s="149" t="str">
        <f t="shared" si="32"/>
        <v/>
      </c>
      <c r="V96" s="149" t="str">
        <f t="shared" si="33"/>
        <v/>
      </c>
      <c r="W96" s="149" t="str">
        <f t="shared" si="34"/>
        <v/>
      </c>
      <c r="X96" s="149" t="str">
        <f>IF($B96="","",IF(OR($B97="",ROUNDUP(($A96+1)/Inputs!$B$14,0)&gt;$B96),SUMIF($B$4:$B96,$B96,R$4:R96),0))</f>
        <v/>
      </c>
      <c r="Y96" s="149" t="str">
        <f>IF($B96="","",IF(OR($B97="",ROUNDUP(($A96+1)/Inputs!$B$14,0)&gt;$B96),SUMIF($B$4:$B96,$B96,S$4:S96),0))</f>
        <v/>
      </c>
      <c r="Z96" s="149" t="str">
        <f>IF($B96="","",IF(OR($B97="",ROUNDUP(($A96+1)/Inputs!$B$14,0)&gt;$B96),SUMIF($B$4:$B96,$B96,T$4:T96),0))</f>
        <v/>
      </c>
      <c r="AA96" s="18"/>
      <c r="AB96" s="18"/>
      <c r="AC96" s="18"/>
      <c r="AD96" s="18"/>
      <c r="AE96" s="18"/>
      <c r="AF96" s="18"/>
      <c r="AG96" s="18"/>
      <c r="AH96" s="18"/>
    </row>
    <row r="97" spans="1:34" ht="18" customHeight="1">
      <c r="A97" s="157" t="str">
        <f>IF(A96="","",IF(AND(A96&gt;=Inputs!$B$15,P96+L96+M96+W96&lt;=0.005),"",IF(A96&gt;=Inputs!$C$61,"",A96+1)))</f>
        <v/>
      </c>
      <c r="B97" s="77" t="str">
        <f>IF(A97="","",ROUNDUP(A97/Inputs!$B$14,0))</f>
        <v/>
      </c>
      <c r="C97" s="160" t="str">
        <f>IF(A97="","",IF(A97=Inputs!$C$60,"Pago inferior",IF(A97&gt;Inputs!$B$15,"Periodo adicional",IF(N96+L96+M96+W96&gt;0,"Pago normal - aplica vencidos","Pago normal"))))</f>
        <v/>
      </c>
      <c r="D97" s="149" t="str">
        <f t="shared" si="22"/>
        <v/>
      </c>
      <c r="E97" s="149" t="str">
        <f>IF(A97="","",D97*Inputs!$B$17)</f>
        <v/>
      </c>
      <c r="F97" s="149" t="str">
        <f>IF(A97="","",N96*Inputs!$B$17)</f>
        <v/>
      </c>
      <c r="G97" s="149" t="str">
        <f>IF(A97="","",IF(A97&lt;=Inputs!$B$15,INDEX(Caso1_Normal!$H$4:$H$89,A97),0))</f>
        <v/>
      </c>
      <c r="H97" s="149" t="str">
        <f>IF(A97="","",IF(A97=Inputs!$C$60,Inputs!$C$59*(Inputs!$B$20+U97),MIN(Inputs!$B$20+U97,D97+L96+F97+M96+E97+W96+U97)))</f>
        <v/>
      </c>
      <c r="I97" s="149" t="str">
        <f t="shared" si="23"/>
        <v/>
      </c>
      <c r="J97" s="149" t="str">
        <f t="shared" si="24"/>
        <v/>
      </c>
      <c r="K97" s="149" t="str">
        <f t="shared" si="31"/>
        <v/>
      </c>
      <c r="L97" s="149" t="str">
        <f t="shared" si="25"/>
        <v/>
      </c>
      <c r="M97" s="149" t="str">
        <f t="shared" si="26"/>
        <v/>
      </c>
      <c r="N97" s="149" t="str">
        <f t="shared" si="27"/>
        <v/>
      </c>
      <c r="O97" s="149" t="str">
        <f t="shared" si="28"/>
        <v/>
      </c>
      <c r="P97" s="149" t="str">
        <f t="shared" si="29"/>
        <v/>
      </c>
      <c r="Q97" s="163" t="str">
        <f t="shared" si="30"/>
        <v/>
      </c>
      <c r="R97" s="149" t="str">
        <f>IF($A97="","",IF($A97&lt;=Inputs!$B$15,Inputs!$B$28,0))</f>
        <v/>
      </c>
      <c r="S97" s="149" t="str">
        <f>IF($A97="","",IF($A97&lt;=Inputs!$B$15,Inputs!$B$29,0))</f>
        <v/>
      </c>
      <c r="T97" s="149" t="str">
        <f>IF($A97="","",IF($A97&lt;=Inputs!$B$15,Inputs!$B$30,0))</f>
        <v/>
      </c>
      <c r="U97" s="149" t="str">
        <f t="shared" si="32"/>
        <v/>
      </c>
      <c r="V97" s="149" t="str">
        <f t="shared" si="33"/>
        <v/>
      </c>
      <c r="W97" s="149" t="str">
        <f t="shared" si="34"/>
        <v/>
      </c>
      <c r="X97" s="149" t="str">
        <f>IF($B97="","",IF(OR($B98="",ROUNDUP(($A97+1)/Inputs!$B$14,0)&gt;$B97),SUMIF($B$4:$B97,$B97,R$4:R97),0))</f>
        <v/>
      </c>
      <c r="Y97" s="149" t="str">
        <f>IF($B97="","",IF(OR($B98="",ROUNDUP(($A97+1)/Inputs!$B$14,0)&gt;$B97),SUMIF($B$4:$B97,$B97,S$4:S97),0))</f>
        <v/>
      </c>
      <c r="Z97" s="149" t="str">
        <f>IF($B97="","",IF(OR($B98="",ROUNDUP(($A97+1)/Inputs!$B$14,0)&gt;$B97),SUMIF($B$4:$B97,$B97,T$4:T97),0))</f>
        <v/>
      </c>
      <c r="AA97" s="18"/>
      <c r="AB97" s="18"/>
      <c r="AC97" s="18"/>
      <c r="AD97" s="18"/>
      <c r="AE97" s="18"/>
      <c r="AF97" s="18"/>
      <c r="AG97" s="18"/>
      <c r="AH97" s="18"/>
    </row>
    <row r="98" spans="1:34" ht="18" customHeight="1">
      <c r="A98" s="157" t="str">
        <f>IF(A97="","",IF(AND(A97&gt;=Inputs!$B$15,P97+L97+M97+W97&lt;=0.005),"",IF(A97&gt;=Inputs!$C$61,"",A97+1)))</f>
        <v/>
      </c>
      <c r="B98" s="77" t="str">
        <f>IF(A98="","",ROUNDUP(A98/Inputs!$B$14,0))</f>
        <v/>
      </c>
      <c r="C98" s="160" t="str">
        <f>IF(A98="","",IF(A98=Inputs!$C$60,"Pago inferior",IF(A98&gt;Inputs!$B$15,"Periodo adicional",IF(N97+L97+M97+W97&gt;0,"Pago normal - aplica vencidos","Pago normal"))))</f>
        <v/>
      </c>
      <c r="D98" s="149" t="str">
        <f t="shared" si="22"/>
        <v/>
      </c>
      <c r="E98" s="149" t="str">
        <f>IF(A98="","",D98*Inputs!$B$17)</f>
        <v/>
      </c>
      <c r="F98" s="149" t="str">
        <f>IF(A98="","",N97*Inputs!$B$17)</f>
        <v/>
      </c>
      <c r="G98" s="149" t="str">
        <f>IF(A98="","",IF(A98&lt;=Inputs!$B$15,INDEX(Caso1_Normal!$H$4:$H$89,A98),0))</f>
        <v/>
      </c>
      <c r="H98" s="149" t="str">
        <f>IF(A98="","",IF(A98=Inputs!$C$60,Inputs!$C$59*(Inputs!$B$20+U98),MIN(Inputs!$B$20+U98,D98+L97+F98+M97+E98+W97+U98)))</f>
        <v/>
      </c>
      <c r="I98" s="149" t="str">
        <f t="shared" si="23"/>
        <v/>
      </c>
      <c r="J98" s="149" t="str">
        <f t="shared" si="24"/>
        <v/>
      </c>
      <c r="K98" s="149" t="str">
        <f t="shared" si="31"/>
        <v/>
      </c>
      <c r="L98" s="149" t="str">
        <f t="shared" si="25"/>
        <v/>
      </c>
      <c r="M98" s="149" t="str">
        <f t="shared" si="26"/>
        <v/>
      </c>
      <c r="N98" s="149" t="str">
        <f t="shared" si="27"/>
        <v/>
      </c>
      <c r="O98" s="149" t="str">
        <f t="shared" si="28"/>
        <v/>
      </c>
      <c r="P98" s="149" t="str">
        <f t="shared" si="29"/>
        <v/>
      </c>
      <c r="Q98" s="163" t="str">
        <f t="shared" si="30"/>
        <v/>
      </c>
      <c r="R98" s="149" t="str">
        <f>IF($A98="","",IF($A98&lt;=Inputs!$B$15,Inputs!$B$28,0))</f>
        <v/>
      </c>
      <c r="S98" s="149" t="str">
        <f>IF($A98="","",IF($A98&lt;=Inputs!$B$15,Inputs!$B$29,0))</f>
        <v/>
      </c>
      <c r="T98" s="149" t="str">
        <f>IF($A98="","",IF($A98&lt;=Inputs!$B$15,Inputs!$B$30,0))</f>
        <v/>
      </c>
      <c r="U98" s="149" t="str">
        <f t="shared" si="32"/>
        <v/>
      </c>
      <c r="V98" s="149" t="str">
        <f t="shared" si="33"/>
        <v/>
      </c>
      <c r="W98" s="149" t="str">
        <f t="shared" si="34"/>
        <v/>
      </c>
      <c r="X98" s="149" t="str">
        <f>IF($B98="","",IF(OR($B99="",ROUNDUP(($A98+1)/Inputs!$B$14,0)&gt;$B98),SUMIF($B$4:$B98,$B98,R$4:R98),0))</f>
        <v/>
      </c>
      <c r="Y98" s="149" t="str">
        <f>IF($B98="","",IF(OR($B99="",ROUNDUP(($A98+1)/Inputs!$B$14,0)&gt;$B98),SUMIF($B$4:$B98,$B98,S$4:S98),0))</f>
        <v/>
      </c>
      <c r="Z98" s="149" t="str">
        <f>IF($B98="","",IF(OR($B99="",ROUNDUP(($A98+1)/Inputs!$B$14,0)&gt;$B98),SUMIF($B$4:$B98,$B98,T$4:T98),0))</f>
        <v/>
      </c>
      <c r="AA98" s="18"/>
      <c r="AB98" s="18"/>
      <c r="AC98" s="18"/>
      <c r="AD98" s="18"/>
      <c r="AE98" s="18"/>
      <c r="AF98" s="18"/>
      <c r="AG98" s="18"/>
      <c r="AH98" s="18"/>
    </row>
    <row r="99" spans="1:34" ht="18" customHeight="1">
      <c r="A99" s="157" t="str">
        <f>IF(A98="","",IF(AND(A98&gt;=Inputs!$B$15,P98+L98+M98+W98&lt;=0.005),"",IF(A98&gt;=Inputs!$C$61,"",A98+1)))</f>
        <v/>
      </c>
      <c r="B99" s="77" t="str">
        <f>IF(A99="","",ROUNDUP(A99/Inputs!$B$14,0))</f>
        <v/>
      </c>
      <c r="C99" s="160" t="str">
        <f>IF(A99="","",IF(A99=Inputs!$C$60,"Pago inferior",IF(A99&gt;Inputs!$B$15,"Periodo adicional",IF(N98+L98+M98+W98&gt;0,"Pago normal - aplica vencidos","Pago normal"))))</f>
        <v/>
      </c>
      <c r="D99" s="149" t="str">
        <f t="shared" si="22"/>
        <v/>
      </c>
      <c r="E99" s="149" t="str">
        <f>IF(A99="","",D99*Inputs!$B$17)</f>
        <v/>
      </c>
      <c r="F99" s="149" t="str">
        <f>IF(A99="","",N98*Inputs!$B$17)</f>
        <v/>
      </c>
      <c r="G99" s="149" t="str">
        <f>IF(A99="","",IF(A99&lt;=Inputs!$B$15,INDEX(Caso1_Normal!$H$4:$H$89,A99),0))</f>
        <v/>
      </c>
      <c r="H99" s="149" t="str">
        <f>IF(A99="","",IF(A99=Inputs!$C$60,Inputs!$C$59*(Inputs!$B$20+U99),MIN(Inputs!$B$20+U99,D99+L98+F99+M98+E99+W98+U99)))</f>
        <v/>
      </c>
      <c r="I99" s="149" t="str">
        <f t="shared" si="23"/>
        <v/>
      </c>
      <c r="J99" s="149" t="str">
        <f t="shared" si="24"/>
        <v/>
      </c>
      <c r="K99" s="149" t="str">
        <f t="shared" si="31"/>
        <v/>
      </c>
      <c r="L99" s="149" t="str">
        <f t="shared" si="25"/>
        <v/>
      </c>
      <c r="M99" s="149" t="str">
        <f t="shared" si="26"/>
        <v/>
      </c>
      <c r="N99" s="149" t="str">
        <f t="shared" si="27"/>
        <v/>
      </c>
      <c r="O99" s="149" t="str">
        <f t="shared" si="28"/>
        <v/>
      </c>
      <c r="P99" s="149" t="str">
        <f t="shared" si="29"/>
        <v/>
      </c>
      <c r="Q99" s="163" t="str">
        <f t="shared" si="30"/>
        <v/>
      </c>
      <c r="R99" s="149" t="str">
        <f>IF($A99="","",IF($A99&lt;=Inputs!$B$15,Inputs!$B$28,0))</f>
        <v/>
      </c>
      <c r="S99" s="149" t="str">
        <f>IF($A99="","",IF($A99&lt;=Inputs!$B$15,Inputs!$B$29,0))</f>
        <v/>
      </c>
      <c r="T99" s="149" t="str">
        <f>IF($A99="","",IF($A99&lt;=Inputs!$B$15,Inputs!$B$30,0))</f>
        <v/>
      </c>
      <c r="U99" s="149" t="str">
        <f t="shared" si="32"/>
        <v/>
      </c>
      <c r="V99" s="149" t="str">
        <f t="shared" si="33"/>
        <v/>
      </c>
      <c r="W99" s="149" t="str">
        <f t="shared" si="34"/>
        <v/>
      </c>
      <c r="X99" s="149" t="str">
        <f>IF($B99="","",IF(OR($B100="",ROUNDUP(($A99+1)/Inputs!$B$14,0)&gt;$B99),SUMIF($B$4:$B99,$B99,R$4:R99),0))</f>
        <v/>
      </c>
      <c r="Y99" s="149" t="str">
        <f>IF($B99="","",IF(OR($B100="",ROUNDUP(($A99+1)/Inputs!$B$14,0)&gt;$B99),SUMIF($B$4:$B99,$B99,S$4:S99),0))</f>
        <v/>
      </c>
      <c r="Z99" s="149" t="str">
        <f>IF($B99="","",IF(OR($B100="",ROUNDUP(($A99+1)/Inputs!$B$14,0)&gt;$B99),SUMIF($B$4:$B99,$B99,T$4:T99),0))</f>
        <v/>
      </c>
      <c r="AA99" s="18"/>
      <c r="AB99" s="18"/>
      <c r="AC99" s="18"/>
      <c r="AD99" s="18"/>
      <c r="AE99" s="18"/>
      <c r="AF99" s="18"/>
      <c r="AG99" s="18"/>
      <c r="AH99" s="18"/>
    </row>
    <row r="100" spans="1:34" ht="18" customHeight="1">
      <c r="A100" s="157" t="str">
        <f>IF(A99="","",IF(AND(A99&gt;=Inputs!$B$15,P99+L99+M99+W99&lt;=0.005),"",IF(A99&gt;=Inputs!$C$61,"",A99+1)))</f>
        <v/>
      </c>
      <c r="B100" s="77" t="str">
        <f>IF(A100="","",ROUNDUP(A100/Inputs!$B$14,0))</f>
        <v/>
      </c>
      <c r="C100" s="160" t="str">
        <f>IF(A100="","",IF(A100=Inputs!$C$60,"Pago inferior",IF(A100&gt;Inputs!$B$15,"Periodo adicional",IF(N99+L99+M99+W99&gt;0,"Pago normal - aplica vencidos","Pago normal"))))</f>
        <v/>
      </c>
      <c r="D100" s="149" t="str">
        <f t="shared" si="22"/>
        <v/>
      </c>
      <c r="E100" s="149" t="str">
        <f>IF(A100="","",D100*Inputs!$B$17)</f>
        <v/>
      </c>
      <c r="F100" s="149" t="str">
        <f>IF(A100="","",N99*Inputs!$B$17)</f>
        <v/>
      </c>
      <c r="G100" s="149" t="str">
        <f>IF(A100="","",IF(A100&lt;=Inputs!$B$15,INDEX(Caso1_Normal!$H$4:$H$89,A100),0))</f>
        <v/>
      </c>
      <c r="H100" s="149" t="str">
        <f>IF(A100="","",IF(A100=Inputs!$C$60,Inputs!$C$59*(Inputs!$B$20+U100),MIN(Inputs!$B$20+U100,D100+L99+F100+M99+E100+W99+U100)))</f>
        <v/>
      </c>
      <c r="I100" s="149" t="str">
        <f t="shared" ref="I100:I103" si="35">IF(A100="","",MIN(H100,L99+F100))</f>
        <v/>
      </c>
      <c r="J100" s="149" t="str">
        <f t="shared" ref="J100:J103" si="36">IF(A100="","",MIN(MAX(0,H100-I100),M99+E100))</f>
        <v/>
      </c>
      <c r="K100" s="149" t="str">
        <f t="shared" si="31"/>
        <v/>
      </c>
      <c r="L100" s="149" t="str">
        <f t="shared" si="25"/>
        <v/>
      </c>
      <c r="M100" s="149" t="str">
        <f t="shared" si="26"/>
        <v/>
      </c>
      <c r="N100" s="149" t="str">
        <f t="shared" si="27"/>
        <v/>
      </c>
      <c r="O100" s="149" t="str">
        <f t="shared" ref="O100:O103" si="37">IF(A100="","",MAX(0,P100-N100))</f>
        <v/>
      </c>
      <c r="P100" s="149" t="str">
        <f t="shared" si="29"/>
        <v/>
      </c>
      <c r="Q100" s="163" t="str">
        <f t="shared" ref="Q100:Q131" si="38">IF(A100="","",IF(P100+L100+M100+W100&lt;=0.005,"Cancelado",IF(N100+L100+M100+W100&gt;0,"En mora","Vigente al día")))</f>
        <v/>
      </c>
      <c r="R100" s="149" t="str">
        <f>IF($A100="","",IF($A100&lt;=Inputs!$B$15,Inputs!$B$28,0))</f>
        <v/>
      </c>
      <c r="S100" s="149" t="str">
        <f>IF($A100="","",IF($A100&lt;=Inputs!$B$15,Inputs!$B$29,0))</f>
        <v/>
      </c>
      <c r="T100" s="149" t="str">
        <f>IF($A100="","",IF($A100&lt;=Inputs!$B$15,Inputs!$B$30,0))</f>
        <v/>
      </c>
      <c r="U100" s="149" t="str">
        <f t="shared" si="32"/>
        <v/>
      </c>
      <c r="V100" s="149" t="str">
        <f t="shared" si="33"/>
        <v/>
      </c>
      <c r="W100" s="149" t="str">
        <f t="shared" si="34"/>
        <v/>
      </c>
      <c r="X100" s="149" t="str">
        <f>IF($B100="","",IF(OR($B101="",ROUNDUP(($A100+1)/Inputs!$B$14,0)&gt;$B100),SUMIF($B$4:$B100,$B100,R$4:R100),0))</f>
        <v/>
      </c>
      <c r="Y100" s="149" t="str">
        <f>IF($B100="","",IF(OR($B101="",ROUNDUP(($A100+1)/Inputs!$B$14,0)&gt;$B100),SUMIF($B$4:$B100,$B100,S$4:S100),0))</f>
        <v/>
      </c>
      <c r="Z100" s="149" t="str">
        <f>IF($B100="","",IF(OR($B101="",ROUNDUP(($A100+1)/Inputs!$B$14,0)&gt;$B100),SUMIF($B$4:$B100,$B100,T$4:T100),0))</f>
        <v/>
      </c>
      <c r="AA100" s="18"/>
      <c r="AB100" s="18"/>
      <c r="AC100" s="18"/>
      <c r="AD100" s="18"/>
      <c r="AE100" s="18"/>
      <c r="AF100" s="18"/>
      <c r="AG100" s="18"/>
      <c r="AH100" s="18"/>
    </row>
    <row r="101" spans="1:34" ht="18" customHeight="1">
      <c r="A101" s="157" t="str">
        <f>IF(A100="","",IF(AND(A100&gt;=Inputs!$B$15,P100+L100+M100+W100&lt;=0.005),"",IF(A100&gt;=Inputs!$C$61,"",A100+1)))</f>
        <v/>
      </c>
      <c r="B101" s="77" t="str">
        <f>IF(A101="","",ROUNDUP(A101/Inputs!$B$14,0))</f>
        <v/>
      </c>
      <c r="C101" s="160" t="str">
        <f>IF(A101="","",IF(A101=Inputs!$C$60,"Pago inferior",IF(A101&gt;Inputs!$B$15,"Periodo adicional",IF(N100+L100+M100+W100&gt;0,"Pago normal - aplica vencidos","Pago normal"))))</f>
        <v/>
      </c>
      <c r="D101" s="149" t="str">
        <f t="shared" si="22"/>
        <v/>
      </c>
      <c r="E101" s="149" t="str">
        <f>IF(A101="","",D101*Inputs!$B$17)</f>
        <v/>
      </c>
      <c r="F101" s="149" t="str">
        <f>IF(A101="","",N100*Inputs!$B$17)</f>
        <v/>
      </c>
      <c r="G101" s="149" t="str">
        <f>IF(A101="","",IF(A101&lt;=Inputs!$B$15,INDEX(Caso1_Normal!$H$4:$H$89,A101),0))</f>
        <v/>
      </c>
      <c r="H101" s="149" t="str">
        <f>IF(A101="","",IF(A101=Inputs!$C$60,Inputs!$C$59*(Inputs!$B$20+U101),MIN(Inputs!$B$20+U101,D101+L100+F101+M100+E101+W100+U101)))</f>
        <v/>
      </c>
      <c r="I101" s="149" t="str">
        <f t="shared" si="35"/>
        <v/>
      </c>
      <c r="J101" s="149" t="str">
        <f t="shared" si="36"/>
        <v/>
      </c>
      <c r="K101" s="149" t="str">
        <f t="shared" si="31"/>
        <v/>
      </c>
      <c r="L101" s="149" t="str">
        <f t="shared" si="25"/>
        <v/>
      </c>
      <c r="M101" s="149" t="str">
        <f t="shared" si="26"/>
        <v/>
      </c>
      <c r="N101" s="149" t="str">
        <f t="shared" si="27"/>
        <v/>
      </c>
      <c r="O101" s="149" t="str">
        <f t="shared" si="37"/>
        <v/>
      </c>
      <c r="P101" s="149" t="str">
        <f t="shared" si="29"/>
        <v/>
      </c>
      <c r="Q101" s="163" t="str">
        <f t="shared" si="38"/>
        <v/>
      </c>
      <c r="R101" s="149" t="str">
        <f>IF($A101="","",IF($A101&lt;=Inputs!$B$15,Inputs!$B$28,0))</f>
        <v/>
      </c>
      <c r="S101" s="149" t="str">
        <f>IF($A101="","",IF($A101&lt;=Inputs!$B$15,Inputs!$B$29,0))</f>
        <v/>
      </c>
      <c r="T101" s="149" t="str">
        <f>IF($A101="","",IF($A101&lt;=Inputs!$B$15,Inputs!$B$30,0))</f>
        <v/>
      </c>
      <c r="U101" s="149" t="str">
        <f t="shared" si="32"/>
        <v/>
      </c>
      <c r="V101" s="149" t="str">
        <f t="shared" si="33"/>
        <v/>
      </c>
      <c r="W101" s="149" t="str">
        <f t="shared" si="34"/>
        <v/>
      </c>
      <c r="X101" s="149" t="str">
        <f>IF($B101="","",IF(OR($B102="",ROUNDUP(($A101+1)/Inputs!$B$14,0)&gt;$B101),SUMIF($B$4:$B101,$B101,R$4:R101),0))</f>
        <v/>
      </c>
      <c r="Y101" s="149" t="str">
        <f>IF($B101="","",IF(OR($B102="",ROUNDUP(($A101+1)/Inputs!$B$14,0)&gt;$B101),SUMIF($B$4:$B101,$B101,S$4:S101),0))</f>
        <v/>
      </c>
      <c r="Z101" s="149" t="str">
        <f>IF($B101="","",IF(OR($B102="",ROUNDUP(($A101+1)/Inputs!$B$14,0)&gt;$B101),SUMIF($B$4:$B101,$B101,T$4:T101),0))</f>
        <v/>
      </c>
      <c r="AA101" s="18"/>
      <c r="AB101" s="18"/>
      <c r="AC101" s="18"/>
      <c r="AD101" s="18"/>
      <c r="AE101" s="18"/>
      <c r="AF101" s="18"/>
      <c r="AG101" s="18"/>
      <c r="AH101" s="18"/>
    </row>
    <row r="102" spans="1:34" ht="18" customHeight="1">
      <c r="A102" s="157" t="str">
        <f>IF(A101="","",IF(AND(A101&gt;=Inputs!$B$15,P101+L101+M101+W101&lt;=0.005),"",IF(A101&gt;=Inputs!$C$61,"",A101+1)))</f>
        <v/>
      </c>
      <c r="B102" s="77" t="str">
        <f>IF(A102="","",ROUNDUP(A102/Inputs!$B$14,0))</f>
        <v/>
      </c>
      <c r="C102" s="160" t="str">
        <f>IF(A102="","",IF(A102=Inputs!$C$60,"Pago inferior",IF(A102&gt;Inputs!$B$15,"Periodo adicional",IF(N101+L101+M101+W101&gt;0,"Pago normal - aplica vencidos","Pago normal"))))</f>
        <v/>
      </c>
      <c r="D102" s="149" t="str">
        <f t="shared" si="22"/>
        <v/>
      </c>
      <c r="E102" s="149" t="str">
        <f>IF(A102="","",D102*Inputs!$B$17)</f>
        <v/>
      </c>
      <c r="F102" s="149" t="str">
        <f>IF(A102="","",N101*Inputs!$B$17)</f>
        <v/>
      </c>
      <c r="G102" s="149" t="str">
        <f>IF(A102="","",IF(A102&lt;=Inputs!$B$15,INDEX(Caso1_Normal!$H$4:$H$89,A102),0))</f>
        <v/>
      </c>
      <c r="H102" s="149" t="str">
        <f>IF(A102="","",IF(A102=Inputs!$C$60,Inputs!$C$59*(Inputs!$B$20+U102),MIN(Inputs!$B$20+U102,D102+L101+F102+M101+E102+W101+U102)))</f>
        <v/>
      </c>
      <c r="I102" s="149" t="str">
        <f t="shared" si="35"/>
        <v/>
      </c>
      <c r="J102" s="149" t="str">
        <f t="shared" si="36"/>
        <v/>
      </c>
      <c r="K102" s="149" t="str">
        <f t="shared" si="31"/>
        <v/>
      </c>
      <c r="L102" s="149" t="str">
        <f t="shared" si="25"/>
        <v/>
      </c>
      <c r="M102" s="149" t="str">
        <f t="shared" si="26"/>
        <v/>
      </c>
      <c r="N102" s="149" t="str">
        <f t="shared" si="27"/>
        <v/>
      </c>
      <c r="O102" s="149" t="str">
        <f t="shared" si="37"/>
        <v/>
      </c>
      <c r="P102" s="149" t="str">
        <f t="shared" si="29"/>
        <v/>
      </c>
      <c r="Q102" s="163" t="str">
        <f t="shared" si="38"/>
        <v/>
      </c>
      <c r="R102" s="149" t="str">
        <f>IF($A102="","",IF($A102&lt;=Inputs!$B$15,Inputs!$B$28,0))</f>
        <v/>
      </c>
      <c r="S102" s="149" t="str">
        <f>IF($A102="","",IF($A102&lt;=Inputs!$B$15,Inputs!$B$29,0))</f>
        <v/>
      </c>
      <c r="T102" s="149" t="str">
        <f>IF($A102="","",IF($A102&lt;=Inputs!$B$15,Inputs!$B$30,0))</f>
        <v/>
      </c>
      <c r="U102" s="149" t="str">
        <f t="shared" si="32"/>
        <v/>
      </c>
      <c r="V102" s="149" t="str">
        <f t="shared" si="33"/>
        <v/>
      </c>
      <c r="W102" s="149" t="str">
        <f t="shared" si="34"/>
        <v/>
      </c>
      <c r="X102" s="149" t="str">
        <f>IF($B102="","",IF(OR($B103="",ROUNDUP(($A102+1)/Inputs!$B$14,0)&gt;$B102),SUMIF($B$4:$B102,$B102,R$4:R102),0))</f>
        <v/>
      </c>
      <c r="Y102" s="149" t="str">
        <f>IF($B102="","",IF(OR($B103="",ROUNDUP(($A102+1)/Inputs!$B$14,0)&gt;$B102),SUMIF($B$4:$B102,$B102,S$4:S102),0))</f>
        <v/>
      </c>
      <c r="Z102" s="149" t="str">
        <f>IF($B102="","",IF(OR($B103="",ROUNDUP(($A102+1)/Inputs!$B$14,0)&gt;$B102),SUMIF($B$4:$B102,$B102,T$4:T102),0))</f>
        <v/>
      </c>
      <c r="AA102" s="18"/>
      <c r="AB102" s="18"/>
      <c r="AC102" s="18"/>
      <c r="AD102" s="18"/>
      <c r="AE102" s="18"/>
      <c r="AF102" s="18"/>
      <c r="AG102" s="18"/>
      <c r="AH102" s="18"/>
    </row>
    <row r="103" spans="1:34" ht="18" customHeight="1">
      <c r="A103" s="158" t="str">
        <f>IF(A102="","",IF(AND(A102&gt;=Inputs!$B$15,P102+L102+M102+W102&lt;=0.005),"",IF(A102&gt;=Inputs!$C$61,"",A102+1)))</f>
        <v/>
      </c>
      <c r="B103" s="78" t="str">
        <f>IF(A103="","",ROUNDUP(A103/Inputs!$B$14,0))</f>
        <v/>
      </c>
      <c r="C103" s="161" t="str">
        <f>IF(A103="","",IF(A103=Inputs!$C$60,"Pago inferior",IF(A103&gt;Inputs!$B$15,"Periodo adicional",IF(N102+L102+M102+W102&gt;0,"Pago normal - aplica vencidos","Pago normal"))))</f>
        <v/>
      </c>
      <c r="D103" s="151" t="str">
        <f t="shared" si="22"/>
        <v/>
      </c>
      <c r="E103" s="151" t="str">
        <f>IF(A103="","",D103*Inputs!$B$17)</f>
        <v/>
      </c>
      <c r="F103" s="151" t="str">
        <f>IF(A103="","",N102*Inputs!$B$17)</f>
        <v/>
      </c>
      <c r="G103" s="151" t="str">
        <f>IF(A103="","",IF(A103&lt;=Inputs!$B$15,INDEX(Caso1_Normal!$H$4:$H$89,A103),0))</f>
        <v/>
      </c>
      <c r="H103" s="151" t="str">
        <f>IF(A103="","",IF(A103=Inputs!$C$60,Inputs!$C$59*(Inputs!$B$20+U103),MIN(Inputs!$B$20+U103,D103+L102+F103+M102+E103+W102+U103)))</f>
        <v/>
      </c>
      <c r="I103" s="151" t="str">
        <f t="shared" si="35"/>
        <v/>
      </c>
      <c r="J103" s="151" t="str">
        <f t="shared" si="36"/>
        <v/>
      </c>
      <c r="K103" s="151" t="str">
        <f t="shared" si="31"/>
        <v/>
      </c>
      <c r="L103" s="151" t="str">
        <f t="shared" si="25"/>
        <v/>
      </c>
      <c r="M103" s="151" t="str">
        <f t="shared" si="26"/>
        <v/>
      </c>
      <c r="N103" s="151" t="str">
        <f t="shared" si="27"/>
        <v/>
      </c>
      <c r="O103" s="151" t="str">
        <f t="shared" si="37"/>
        <v/>
      </c>
      <c r="P103" s="151" t="str">
        <f t="shared" si="29"/>
        <v/>
      </c>
      <c r="Q103" s="164" t="str">
        <f t="shared" si="38"/>
        <v/>
      </c>
      <c r="R103" s="151" t="str">
        <f>IF($A103="","",IF($A103&lt;=Inputs!$B$15,Inputs!$B$28,0))</f>
        <v/>
      </c>
      <c r="S103" s="151" t="str">
        <f>IF($A103="","",IF($A103&lt;=Inputs!$B$15,Inputs!$B$29,0))</f>
        <v/>
      </c>
      <c r="T103" s="151" t="str">
        <f>IF($A103="","",IF($A103&lt;=Inputs!$B$15,Inputs!$B$30,0))</f>
        <v/>
      </c>
      <c r="U103" s="151" t="str">
        <f t="shared" si="32"/>
        <v/>
      </c>
      <c r="V103" s="151" t="str">
        <f t="shared" si="33"/>
        <v/>
      </c>
      <c r="W103" s="151" t="str">
        <f t="shared" si="34"/>
        <v/>
      </c>
      <c r="X103" s="151" t="str">
        <f>IF($B103="","",IF(OR($B104="",ROUNDUP(($A103+1)/Inputs!$B$14,0)&gt;$B103),SUMIF($B$4:$B103,$B103,R$4:R103),0))</f>
        <v/>
      </c>
      <c r="Y103" s="151" t="str">
        <f>IF($B103="","",IF(OR($B104="",ROUNDUP(($A103+1)/Inputs!$B$14,0)&gt;$B103),SUMIF($B$4:$B103,$B103,S$4:S103),0))</f>
        <v/>
      </c>
      <c r="Z103" s="151" t="str">
        <f>IF($B103="","",IF(OR($B104="",ROUNDUP(($A103+1)/Inputs!$B$14,0)&gt;$B103),SUMIF($B$4:$B103,$B103,T$4:T103),0))</f>
        <v/>
      </c>
      <c r="AA103" s="18"/>
      <c r="AB103" s="18"/>
      <c r="AC103" s="18"/>
      <c r="AD103" s="18"/>
      <c r="AE103" s="18"/>
      <c r="AF103" s="18"/>
      <c r="AG103" s="18"/>
      <c r="AH103" s="18"/>
    </row>
    <row r="104" spans="1:34" ht="18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</row>
    <row r="105" spans="1:34" ht="18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</row>
    <row r="106" spans="1:34" ht="18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</row>
    <row r="107" spans="1:34" ht="18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</row>
    <row r="108" spans="1:34" ht="18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</row>
    <row r="109" spans="1:34" ht="15" customHeight="1">
      <c r="AB109" s="18"/>
      <c r="AC109" s="18"/>
      <c r="AD109" s="18"/>
      <c r="AE109" s="18"/>
    </row>
  </sheetData>
  <conditionalFormatting sqref="A4:Z103">
    <cfRule type="expression" dxfId="17" priority="1">
      <formula>AND($C4&lt;&gt;"",$C4&lt;&gt;"Pago normal")</formula>
    </cfRule>
    <cfRule type="expression" dxfId="16" priority="2">
      <formula>AND(ISNUMBER($A4),MOD($A4,2)=0)</formula>
    </cfRule>
  </conditionalFormatting>
  <conditionalFormatting sqref="Q4:Q103">
    <cfRule type="containsText" dxfId="15" priority="3" operator="containsText" text="mora">
      <formula>NOT(ISERROR(SEARCH("mora",Q4)))</formula>
    </cfRule>
    <cfRule type="containsText" dxfId="14" priority="4" operator="containsText" text="Vigente">
      <formula>NOT(ISERROR(SEARCH("Vigente",Q4)))</formula>
    </cfRule>
    <cfRule type="containsText" dxfId="13" priority="5" operator="containsText" text="Amortiz">
      <formula>NOT(ISERROR(SEARCH("Amortiz",Q4)))</formula>
    </cfRule>
    <cfRule type="containsText" dxfId="12" priority="6" operator="containsText" text="Cerrado">
      <formula>NOT(ISERROR(SEARCH("Cerrado",Q4)))</formula>
    </cfRule>
    <cfRule type="containsText" dxfId="11" priority="7" operator="containsText" text="Cancel">
      <formula>NOT(ISERROR(SEARCH("Cancel",Q4)))</formula>
    </cfRule>
  </conditionalFormatting>
  <conditionalFormatting sqref="AE20">
    <cfRule type="expression" dxfId="10" priority="8">
      <formula>ABS(AE20)&lt;0.5</formula>
    </cfRule>
    <cfRule type="expression" dxfId="9" priority="9">
      <formula>ABS(AE20)&gt;=0.5</formula>
    </cfRule>
  </conditionalFormatting>
  <hyperlinks>
    <hyperlink ref="AB23" location="'Casos'!A1" tooltip="Abrir Casos" display="←  Volver a Casos" xr:uid="{773C5E9C-01EB-466E-9A95-DBAE72A5E3D8}"/>
    <hyperlink ref="AB24" location="'Inputs'!A1" tooltip="Abrir Inputs" display="←  Ir a Inputs (parámetros)" xr:uid="{B22C5A76-DA7F-48F1-AE65-657ECAB01BE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29"/>
  <sheetViews>
    <sheetView showGridLines="0" topLeftCell="N1" workbookViewId="0">
      <pane ySplit="2" topLeftCell="A107" activePane="bottomLeft" state="frozen"/>
      <selection pane="bottomLeft" activeCell="G123" sqref="G123:T123"/>
    </sheetView>
  </sheetViews>
  <sheetFormatPr baseColWidth="10" defaultColWidth="8.796875" defaultRowHeight="15" customHeight="1"/>
  <cols>
    <col min="1" max="2" width="9.69921875" style="6" customWidth="1"/>
    <col min="3" max="3" width="25" style="6" customWidth="1"/>
    <col min="4" max="19" width="16.69921875" style="6" customWidth="1"/>
    <col min="20" max="29" width="20" style="6" customWidth="1"/>
    <col min="30" max="30" width="3" style="6" customWidth="1"/>
    <col min="31" max="31" width="38.296875" style="6" customWidth="1"/>
    <col min="32" max="33" width="20" style="6" customWidth="1"/>
    <col min="34" max="34" width="55" style="6" customWidth="1"/>
    <col min="35" max="37" width="10.69921875" style="6" customWidth="1"/>
    <col min="38" max="16384" width="8.796875" style="6"/>
  </cols>
  <sheetData>
    <row r="1" spans="1:37" ht="34.049999999999997" customHeight="1">
      <c r="A1" s="148" t="s">
        <v>346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8"/>
      <c r="AE1" s="115" t="s">
        <v>336</v>
      </c>
      <c r="AF1" s="23"/>
      <c r="AG1" s="23"/>
      <c r="AH1" s="23"/>
      <c r="AI1" s="18"/>
      <c r="AJ1" s="18"/>
      <c r="AK1" s="18"/>
    </row>
    <row r="2" spans="1:37" ht="34.049999999999997" customHeight="1">
      <c r="A2" s="140" t="s">
        <v>76</v>
      </c>
      <c r="B2" s="141" t="s">
        <v>77</v>
      </c>
      <c r="C2" s="141" t="s">
        <v>78</v>
      </c>
      <c r="D2" s="141" t="s">
        <v>79</v>
      </c>
      <c r="E2" s="141" t="s">
        <v>80</v>
      </c>
      <c r="F2" s="141" t="s">
        <v>159</v>
      </c>
      <c r="G2" s="141" t="s">
        <v>160</v>
      </c>
      <c r="H2" s="141" t="s">
        <v>179</v>
      </c>
      <c r="I2" s="141" t="s">
        <v>358</v>
      </c>
      <c r="J2" s="141" t="s">
        <v>180</v>
      </c>
      <c r="K2" s="141" t="s">
        <v>162</v>
      </c>
      <c r="L2" s="141" t="s">
        <v>163</v>
      </c>
      <c r="M2" s="141" t="s">
        <v>164</v>
      </c>
      <c r="N2" s="141" t="s">
        <v>181</v>
      </c>
      <c r="O2" s="141" t="s">
        <v>165</v>
      </c>
      <c r="P2" s="141" t="s">
        <v>122</v>
      </c>
      <c r="Q2" s="141" t="s">
        <v>166</v>
      </c>
      <c r="R2" s="141" t="s">
        <v>167</v>
      </c>
      <c r="S2" s="141" t="s">
        <v>123</v>
      </c>
      <c r="T2" s="142" t="s">
        <v>90</v>
      </c>
      <c r="U2" s="141" t="s">
        <v>82</v>
      </c>
      <c r="V2" s="141" t="s">
        <v>83</v>
      </c>
      <c r="W2" s="141" t="s">
        <v>84</v>
      </c>
      <c r="X2" s="141" t="s">
        <v>355</v>
      </c>
      <c r="Y2" s="141" t="s">
        <v>356</v>
      </c>
      <c r="Z2" s="141" t="s">
        <v>357</v>
      </c>
      <c r="AA2" s="141" t="s">
        <v>87</v>
      </c>
      <c r="AB2" s="141" t="s">
        <v>88</v>
      </c>
      <c r="AC2" s="141" t="s">
        <v>89</v>
      </c>
      <c r="AD2" s="18"/>
      <c r="AE2" s="18"/>
      <c r="AF2" s="18"/>
      <c r="AG2" s="18"/>
      <c r="AH2" s="18"/>
      <c r="AI2" s="18"/>
      <c r="AJ2" s="18"/>
      <c r="AK2" s="18"/>
    </row>
    <row r="3" spans="1:37" ht="18" customHeight="1">
      <c r="A3" s="155">
        <v>0</v>
      </c>
      <c r="B3" s="156">
        <v>0</v>
      </c>
      <c r="C3" s="159" t="s">
        <v>92</v>
      </c>
      <c r="D3" s="153">
        <f>Inputs!$B$3</f>
        <v>5904400</v>
      </c>
      <c r="E3" s="153">
        <v>0</v>
      </c>
      <c r="F3" s="153">
        <v>0</v>
      </c>
      <c r="G3" s="153">
        <v>0</v>
      </c>
      <c r="H3" s="153">
        <v>0</v>
      </c>
      <c r="I3" s="153">
        <v>0</v>
      </c>
      <c r="J3" s="153">
        <v>0</v>
      </c>
      <c r="K3" s="153">
        <v>0</v>
      </c>
      <c r="L3" s="153">
        <v>0</v>
      </c>
      <c r="M3" s="153">
        <v>0</v>
      </c>
      <c r="N3" s="153">
        <v>0</v>
      </c>
      <c r="O3" s="153">
        <v>0</v>
      </c>
      <c r="P3" s="153">
        <v>0</v>
      </c>
      <c r="Q3" s="153">
        <v>0</v>
      </c>
      <c r="R3" s="153">
        <f>S3</f>
        <v>5904400</v>
      </c>
      <c r="S3" s="153">
        <f>D3</f>
        <v>5904400</v>
      </c>
      <c r="T3" s="162" t="s">
        <v>93</v>
      </c>
      <c r="U3" s="153">
        <v>0</v>
      </c>
      <c r="V3" s="153">
        <v>0</v>
      </c>
      <c r="W3" s="153">
        <v>0</v>
      </c>
      <c r="X3" s="153">
        <v>0</v>
      </c>
      <c r="Y3" s="153">
        <v>0</v>
      </c>
      <c r="Z3" s="153">
        <v>0</v>
      </c>
      <c r="AA3" s="153">
        <v>0</v>
      </c>
      <c r="AB3" s="153">
        <v>0</v>
      </c>
      <c r="AC3" s="153">
        <v>0</v>
      </c>
      <c r="AD3" s="18"/>
      <c r="AE3" s="110" t="s">
        <v>66</v>
      </c>
      <c r="AF3" s="180">
        <f>Inputs!$C$66</f>
        <v>43</v>
      </c>
      <c r="AG3" s="66"/>
      <c r="AH3" s="66"/>
      <c r="AI3" s="18"/>
      <c r="AJ3" s="18"/>
      <c r="AK3" s="18"/>
    </row>
    <row r="4" spans="1:37" ht="18" customHeight="1">
      <c r="A4" s="157">
        <v>1</v>
      </c>
      <c r="B4" s="77">
        <f>IF(A4="","",ROUNDUP(A4/Inputs!$B$14,0))</f>
        <v>1</v>
      </c>
      <c r="C4" s="160" t="str">
        <f>IF(A4="","",IF(A4&lt;Inputs!$C$66,"Pago normal",IF(A4&gt;Inputs!$B$15,"Periodo adicional con cobranza","Pago tardío + cobranza")))</f>
        <v>Pago normal</v>
      </c>
      <c r="D4" s="149">
        <f t="shared" ref="D4:D35" si="0">IF(A4="","",S3)</f>
        <v>5904400</v>
      </c>
      <c r="E4" s="149">
        <f>IF(A4="","",D4*Inputs!$B$17)</f>
        <v>71698.876787700196</v>
      </c>
      <c r="F4" s="149">
        <f>IF(A4="","",IF(A4&lt;Inputs!$C$66,0,Q3*Inputs!$B$17+G4*(POWER(1+Inputs!$B$18,Inputs!$C$63)-1)))</f>
        <v>0</v>
      </c>
      <c r="G4" s="149">
        <f>IF(A4="","",IF(A4&lt;=Inputs!$B$15,INDEX(Caso1_Normal!$H$4:$H$89,A4),0))</f>
        <v>39315.945089068293</v>
      </c>
      <c r="H4" s="149">
        <f>IF(A4="","",IF(AND(A4&gt;=Inputs!$C$66,D4&gt;0.005),Inputs!$C$65,0))</f>
        <v>0</v>
      </c>
      <c r="I4" s="149">
        <f>IF(A4="","",MIN(Inputs!$B$20+X4,D4+N3+H4+O3+F4+P3+E4+Z3+X4))</f>
        <v>174048.99418446081</v>
      </c>
      <c r="J4" s="149">
        <f t="shared" ref="J4:J35" si="1">IF(A4="","",MIN(I4,N3+H4))</f>
        <v>0</v>
      </c>
      <c r="K4" s="149">
        <f t="shared" ref="K4:K35" si="2">IF(A4="","",MIN(MAX(0,I4-J4),O3+F4))</f>
        <v>0</v>
      </c>
      <c r="L4" s="149">
        <f t="shared" ref="L4:L35" si="3">IF(A4="","",MIN(MAX(0,I4-J4-K4),P3+E4))</f>
        <v>71698.876787700196</v>
      </c>
      <c r="M4" s="149">
        <f>IF(A4="","",MIN(MAX(0,I4-J4-K4-L4-Y4),D4))</f>
        <v>39315.9450890683</v>
      </c>
      <c r="N4" s="149">
        <f t="shared" ref="N4:N35" si="4">IF(A4="","",MAX(0,N3+H4-J4))</f>
        <v>0</v>
      </c>
      <c r="O4" s="149">
        <f t="shared" ref="O4:O35" si="5">IF(A4="","",MAX(0,O3+F4-K4))</f>
        <v>0</v>
      </c>
      <c r="P4" s="149">
        <f t="shared" ref="P4:P35" si="6">IF(A4="","",MAX(0,P3+E4-L4))</f>
        <v>0</v>
      </c>
      <c r="Q4" s="149">
        <f t="shared" ref="Q4:Q35" si="7">IF(A4="","",MAX(0,Q3+G4-M4))</f>
        <v>0</v>
      </c>
      <c r="R4" s="149">
        <f t="shared" ref="R4:R35" si="8">IF(A4="","",MAX(0,S4-Q4))</f>
        <v>5865084.0549109317</v>
      </c>
      <c r="S4" s="149">
        <f t="shared" ref="S4:S35" si="9">IF(A4="","",MAX(0,D4-M4))</f>
        <v>5865084.0549109317</v>
      </c>
      <c r="T4" s="163" t="str">
        <f t="shared" ref="T4:T35" si="10">IF(A4="","",IF(S4+N4+O4+P4+Z4&lt;=0.005,"Cancelado",IF(Q4+N4+O4+P4+Z4&gt;0,"En mora","Vigente al día")))</f>
        <v>Vigente al día</v>
      </c>
      <c r="U4" s="149">
        <f>IF($A4="","",IF($A4&lt;=Inputs!$B$15,Inputs!$B$28,0))</f>
        <v>48643.172307692315</v>
      </c>
      <c r="V4" s="149">
        <f>IF($A4="","",IF($A4&lt;=Inputs!$B$15,Inputs!$B$29,0))</f>
        <v>10984.615384615387</v>
      </c>
      <c r="W4" s="149">
        <f>IF($A4="","",IF($A4&lt;=Inputs!$B$15,Inputs!$B$30,0))</f>
        <v>3406.3846153846157</v>
      </c>
      <c r="X4" s="149">
        <f>IF($A4="","",SUM(U4:W4))</f>
        <v>63034.172307692315</v>
      </c>
      <c r="Y4" s="149">
        <f>IF($A4="","",MIN(MAX(0,I4-J4-K4-L4),Z3+X4))</f>
        <v>63034.172307692315</v>
      </c>
      <c r="Z4" s="149">
        <f>IF($A4="","",MAX(0,Z3+X4-Y4))</f>
        <v>0</v>
      </c>
      <c r="AA4" s="149">
        <f>IF($B4="","",IF(OR($B5="",ROUNDUP(($A4+1)/Inputs!$B$14,0)&gt;$B4),SUMIF($B$4:$B4,$B4,U$4:U4),0))</f>
        <v>0</v>
      </c>
      <c r="AB4" s="149">
        <f>IF($B4="","",IF(OR($B5="",ROUNDUP(($A4+1)/Inputs!$B$14,0)&gt;$B4),SUMIF($B$4:$B4,$B4,V$4:V4),0))</f>
        <v>0</v>
      </c>
      <c r="AC4" s="149">
        <f>IF($B4="","",IF(OR($B5="",ROUNDUP(($A4+1)/Inputs!$B$14,0)&gt;$B4),SUMIF($B$4:$B4,$B4,W$4:W4),0))</f>
        <v>0</v>
      </c>
      <c r="AD4" s="18"/>
      <c r="AE4" s="111" t="s">
        <v>175</v>
      </c>
      <c r="AF4" s="167">
        <f>Inputs!$C$63</f>
        <v>14</v>
      </c>
      <c r="AG4" s="66"/>
      <c r="AH4" s="66"/>
      <c r="AI4" s="18"/>
      <c r="AJ4" s="18"/>
      <c r="AK4" s="18"/>
    </row>
    <row r="5" spans="1:37" ht="18" customHeight="1">
      <c r="A5" s="157">
        <f>IF(A4="","",IF(AND(A4&gt;=Inputs!$B$15,S4+N4+O4+P4+Z4&lt;=0.005),"",IF(A4&gt;=Inputs!$C$67,"",A4+1)))</f>
        <v>2</v>
      </c>
      <c r="B5" s="77">
        <f>IF(A5="","",ROUNDUP(A5/Inputs!$B$14,0))</f>
        <v>1</v>
      </c>
      <c r="C5" s="160" t="str">
        <f>IF(A5="","",IF(A5&lt;Inputs!$C$66,"Pago normal",IF(A5&gt;Inputs!$B$15,"Periodo adicional con cobranza","Pago tardío + cobranza")))</f>
        <v>Pago normal</v>
      </c>
      <c r="D5" s="149">
        <f t="shared" si="0"/>
        <v>5865084.0549109317</v>
      </c>
      <c r="E5" s="149">
        <f>IF(A5="","",D5*Inputs!$B$17)</f>
        <v>71221.451629727657</v>
      </c>
      <c r="F5" s="149">
        <f>IF(A5="","",IF(A5&lt;Inputs!$C$66,0,Q4*Inputs!$B$17+G5*(POWER(1+Inputs!$B$18,Inputs!$C$63)-1)))</f>
        <v>0</v>
      </c>
      <c r="G5" s="149">
        <f>IF(A5="","",IF(A5&lt;=Inputs!$B$15,INDEX(Caso1_Normal!$H$4:$H$89,A5),0))</f>
        <v>39793.370247040832</v>
      </c>
      <c r="H5" s="149">
        <f>IF(A5="","",IF(AND(A5&gt;=Inputs!$C$66,D5&gt;0.005),Inputs!$C$65,0))</f>
        <v>0</v>
      </c>
      <c r="I5" s="149">
        <f>IF(A5="","",MIN(Inputs!$B$20+X5,D5+N4+H5+O4+F5+P4+E5+Z4+X5))</f>
        <v>174048.99418446081</v>
      </c>
      <c r="J5" s="149">
        <f t="shared" si="1"/>
        <v>0</v>
      </c>
      <c r="K5" s="149">
        <f t="shared" si="2"/>
        <v>0</v>
      </c>
      <c r="L5" s="149">
        <f t="shared" si="3"/>
        <v>71221.451629727657</v>
      </c>
      <c r="M5" s="149">
        <f t="shared" ref="M5:M68" si="11">IF(A5="","",MIN(MAX(0,I5-J5-K5-L5-Y5),D5))</f>
        <v>39793.370247040839</v>
      </c>
      <c r="N5" s="149">
        <f t="shared" si="4"/>
        <v>0</v>
      </c>
      <c r="O5" s="149">
        <f t="shared" si="5"/>
        <v>0</v>
      </c>
      <c r="P5" s="149">
        <f t="shared" si="6"/>
        <v>0</v>
      </c>
      <c r="Q5" s="149">
        <f t="shared" si="7"/>
        <v>0</v>
      </c>
      <c r="R5" s="149">
        <f t="shared" si="8"/>
        <v>5825290.6846638909</v>
      </c>
      <c r="S5" s="149">
        <f t="shared" si="9"/>
        <v>5825290.6846638909</v>
      </c>
      <c r="T5" s="163" t="str">
        <f t="shared" si="10"/>
        <v>Vigente al día</v>
      </c>
      <c r="U5" s="149">
        <f>IF($A5="","",IF($A5&lt;=Inputs!$B$15,Inputs!$B$28,0))</f>
        <v>48643.172307692315</v>
      </c>
      <c r="V5" s="149">
        <f>IF($A5="","",IF($A5&lt;=Inputs!$B$15,Inputs!$B$29,0))</f>
        <v>10984.615384615387</v>
      </c>
      <c r="W5" s="149">
        <f>IF($A5="","",IF($A5&lt;=Inputs!$B$15,Inputs!$B$30,0))</f>
        <v>3406.3846153846157</v>
      </c>
      <c r="X5" s="149">
        <f t="shared" ref="X5:X68" si="12">IF($A5="","",SUM(U5:W5))</f>
        <v>63034.172307692315</v>
      </c>
      <c r="Y5" s="149">
        <f t="shared" ref="Y5:Y68" si="13">IF($A5="","",MIN(MAX(0,I5-J5-K5-L5),Z4+X5))</f>
        <v>63034.172307692315</v>
      </c>
      <c r="Z5" s="149">
        <f t="shared" ref="Z5:Z68" si="14">IF($A5="","",MAX(0,Z4+X5-Y5))</f>
        <v>0</v>
      </c>
      <c r="AA5" s="149">
        <f>IF($B5="","",IF(OR($B6="",ROUNDUP(($A5+1)/Inputs!$B$14,0)&gt;$B5),SUMIF($B$4:$B5,$B5,U$4:U5),0))</f>
        <v>0</v>
      </c>
      <c r="AB5" s="149">
        <f>IF($B5="","",IF(OR($B6="",ROUNDUP(($A5+1)/Inputs!$B$14,0)&gt;$B5),SUMIF($B$4:$B5,$B5,V$4:V5),0))</f>
        <v>0</v>
      </c>
      <c r="AC5" s="149">
        <f>IF($B5="","",IF(OR($B6="",ROUNDUP(($A5+1)/Inputs!$B$14,0)&gt;$B5),SUMIF($B$4:$B5,$B5,W$4:W5),0))</f>
        <v>0</v>
      </c>
      <c r="AD5" s="18"/>
      <c r="AE5" s="111" t="s">
        <v>176</v>
      </c>
      <c r="AF5" s="167">
        <f>Inputs!$C$65</f>
        <v>42000</v>
      </c>
      <c r="AG5" s="146"/>
      <c r="AH5" s="146"/>
      <c r="AI5" s="18"/>
      <c r="AJ5" s="18"/>
      <c r="AK5" s="18"/>
    </row>
    <row r="6" spans="1:37" ht="18" customHeight="1">
      <c r="A6" s="157">
        <f>IF(A5="","",IF(AND(A5&gt;=Inputs!$B$15,S5+N5+O5+P5+Z5&lt;=0.005),"",IF(A5&gt;=Inputs!$C$67,"",A5+1)))</f>
        <v>3</v>
      </c>
      <c r="B6" s="77">
        <f>IF(A6="","",ROUNDUP(A6/Inputs!$B$14,0))</f>
        <v>1</v>
      </c>
      <c r="C6" s="160" t="str">
        <f>IF(A6="","",IF(A6&lt;Inputs!$C$66,"Pago normal",IF(A6&gt;Inputs!$B$15,"Periodo adicional con cobranza","Pago tardío + cobranza")))</f>
        <v>Pago normal</v>
      </c>
      <c r="D6" s="149">
        <f t="shared" si="0"/>
        <v>5825290.6846638909</v>
      </c>
      <c r="E6" s="149">
        <f>IF(A6="","",D6*Inputs!$B$17)</f>
        <v>70738.228956753272</v>
      </c>
      <c r="F6" s="149">
        <f>IF(A6="","",IF(A6&lt;Inputs!$C$66,0,Q5*Inputs!$B$17+G6*(POWER(1+Inputs!$B$18,Inputs!$C$63)-1)))</f>
        <v>0</v>
      </c>
      <c r="G6" s="149">
        <f>IF(A6="","",IF(A6&lt;=Inputs!$B$15,INDEX(Caso1_Normal!$H$4:$H$89,A6),0))</f>
        <v>40276.592920015217</v>
      </c>
      <c r="H6" s="149">
        <f>IF(A6="","",IF(AND(A6&gt;=Inputs!$C$66,D6&gt;0.005),Inputs!$C$65,0))</f>
        <v>0</v>
      </c>
      <c r="I6" s="149">
        <f>IF(A6="","",MIN(Inputs!$B$20+X6,D6+N5+H6+O5+F6+P5+E6+Z5+X6))</f>
        <v>174048.99418446081</v>
      </c>
      <c r="J6" s="149">
        <f t="shared" si="1"/>
        <v>0</v>
      </c>
      <c r="K6" s="149">
        <f t="shared" si="2"/>
        <v>0</v>
      </c>
      <c r="L6" s="149">
        <f t="shared" si="3"/>
        <v>70738.228956753272</v>
      </c>
      <c r="M6" s="149">
        <f t="shared" si="11"/>
        <v>40276.592920015224</v>
      </c>
      <c r="N6" s="149">
        <f t="shared" si="4"/>
        <v>0</v>
      </c>
      <c r="O6" s="149">
        <f t="shared" si="5"/>
        <v>0</v>
      </c>
      <c r="P6" s="149">
        <f t="shared" si="6"/>
        <v>0</v>
      </c>
      <c r="Q6" s="149">
        <f t="shared" si="7"/>
        <v>0</v>
      </c>
      <c r="R6" s="149">
        <f t="shared" si="8"/>
        <v>5785014.0917438753</v>
      </c>
      <c r="S6" s="149">
        <f t="shared" si="9"/>
        <v>5785014.0917438753</v>
      </c>
      <c r="T6" s="163" t="str">
        <f t="shared" si="10"/>
        <v>Vigente al día</v>
      </c>
      <c r="U6" s="149">
        <f>IF($A6="","",IF($A6&lt;=Inputs!$B$15,Inputs!$B$28,0))</f>
        <v>48643.172307692315</v>
      </c>
      <c r="V6" s="149">
        <f>IF($A6="","",IF($A6&lt;=Inputs!$B$15,Inputs!$B$29,0))</f>
        <v>10984.615384615387</v>
      </c>
      <c r="W6" s="149">
        <f>IF($A6="","",IF($A6&lt;=Inputs!$B$15,Inputs!$B$30,0))</f>
        <v>3406.3846153846157</v>
      </c>
      <c r="X6" s="149">
        <f t="shared" si="12"/>
        <v>63034.172307692315</v>
      </c>
      <c r="Y6" s="149">
        <f t="shared" si="13"/>
        <v>63034.172307692315</v>
      </c>
      <c r="Z6" s="149">
        <f t="shared" si="14"/>
        <v>0</v>
      </c>
      <c r="AA6" s="149">
        <f>IF($B6="","",IF(OR($B7="",ROUNDUP(($A6+1)/Inputs!$B$14,0)&gt;$B6),SUMIF($B$4:$B6,$B6,U$4:U6),0))</f>
        <v>0</v>
      </c>
      <c r="AB6" s="149">
        <f>IF($B6="","",IF(OR($B7="",ROUNDUP(($A6+1)/Inputs!$B$14,0)&gt;$B6),SUMIF($B$4:$B6,$B6,V$4:V6),0))</f>
        <v>0</v>
      </c>
      <c r="AC6" s="149">
        <f>IF($B6="","",IF(OR($B7="",ROUNDUP(($A6+1)/Inputs!$B$14,0)&gt;$B6),SUMIF($B$4:$B6,$B6,W$4:W6),0))</f>
        <v>0</v>
      </c>
      <c r="AD6" s="18"/>
      <c r="AE6" s="111" t="s">
        <v>177</v>
      </c>
      <c r="AF6" s="167">
        <f>INDEX(F4:F123,Inputs!$C$66)</f>
        <v>1590.4588122676764</v>
      </c>
      <c r="AG6" s="146"/>
      <c r="AH6" s="146"/>
      <c r="AI6" s="18"/>
      <c r="AJ6" s="18"/>
      <c r="AK6" s="18"/>
    </row>
    <row r="7" spans="1:37" ht="18" customHeight="1">
      <c r="A7" s="157">
        <f>IF(A6="","",IF(AND(A6&gt;=Inputs!$B$15,S6+N6+O6+P6+Z6&lt;=0.005),"",IF(A6&gt;=Inputs!$C$67,"",A6+1)))</f>
        <v>4</v>
      </c>
      <c r="B7" s="77">
        <f>IF(A7="","",ROUNDUP(A7/Inputs!$B$14,0))</f>
        <v>1</v>
      </c>
      <c r="C7" s="160" t="str">
        <f>IF(A7="","",IF(A7&lt;Inputs!$C$66,"Pago normal",IF(A7&gt;Inputs!$B$15,"Periodo adicional con cobranza","Pago tardío + cobranza")))</f>
        <v>Pago normal</v>
      </c>
      <c r="D7" s="149">
        <f t="shared" si="0"/>
        <v>5785014.0917438753</v>
      </c>
      <c r="E7" s="149">
        <f>IF(A7="","",D7*Inputs!$B$17)</f>
        <v>70249.138367836436</v>
      </c>
      <c r="F7" s="149">
        <f>IF(A7="","",IF(A7&lt;Inputs!$C$66,0,Q6*Inputs!$B$17+G7*(POWER(1+Inputs!$B$18,Inputs!$C$63)-1)))</f>
        <v>0</v>
      </c>
      <c r="G7" s="149">
        <f>IF(A7="","",IF(A7&lt;=Inputs!$B$15,INDEX(Caso1_Normal!$H$4:$H$89,A7),0))</f>
        <v>40765.683508932052</v>
      </c>
      <c r="H7" s="149">
        <f>IF(A7="","",IF(AND(A7&gt;=Inputs!$C$66,D7&gt;0.005),Inputs!$C$65,0))</f>
        <v>0</v>
      </c>
      <c r="I7" s="149">
        <f>IF(A7="","",MIN(Inputs!$B$20+X7,D7+N6+H7+O6+F7+P6+E7+Z6+X7))</f>
        <v>174048.99418446081</v>
      </c>
      <c r="J7" s="149">
        <f t="shared" si="1"/>
        <v>0</v>
      </c>
      <c r="K7" s="149">
        <f t="shared" si="2"/>
        <v>0</v>
      </c>
      <c r="L7" s="149">
        <f t="shared" si="3"/>
        <v>70249.138367836436</v>
      </c>
      <c r="M7" s="149">
        <f t="shared" si="11"/>
        <v>40765.683508932059</v>
      </c>
      <c r="N7" s="149">
        <f t="shared" si="4"/>
        <v>0</v>
      </c>
      <c r="O7" s="149">
        <f t="shared" si="5"/>
        <v>0</v>
      </c>
      <c r="P7" s="149">
        <f t="shared" si="6"/>
        <v>0</v>
      </c>
      <c r="Q7" s="149">
        <f t="shared" si="7"/>
        <v>0</v>
      </c>
      <c r="R7" s="149">
        <f t="shared" si="8"/>
        <v>5744248.4082349436</v>
      </c>
      <c r="S7" s="149">
        <f t="shared" si="9"/>
        <v>5744248.4082349436</v>
      </c>
      <c r="T7" s="163" t="str">
        <f t="shared" si="10"/>
        <v>Vigente al día</v>
      </c>
      <c r="U7" s="149">
        <f>IF($A7="","",IF($A7&lt;=Inputs!$B$15,Inputs!$B$28,0))</f>
        <v>48643.172307692315</v>
      </c>
      <c r="V7" s="149">
        <f>IF($A7="","",IF($A7&lt;=Inputs!$B$15,Inputs!$B$29,0))</f>
        <v>10984.615384615387</v>
      </c>
      <c r="W7" s="149">
        <f>IF($A7="","",IF($A7&lt;=Inputs!$B$15,Inputs!$B$30,0))</f>
        <v>3406.3846153846157</v>
      </c>
      <c r="X7" s="149">
        <f t="shared" si="12"/>
        <v>63034.172307692315</v>
      </c>
      <c r="Y7" s="149">
        <f t="shared" si="13"/>
        <v>63034.172307692315</v>
      </c>
      <c r="Z7" s="149">
        <f t="shared" si="14"/>
        <v>0</v>
      </c>
      <c r="AA7" s="149">
        <f>IF($B7="","",IF(OR($B8="",ROUNDUP(($A7+1)/Inputs!$B$14,0)&gt;$B7),SUMIF($B$4:$B7,$B7,U$4:U7),0))</f>
        <v>194572.68923076926</v>
      </c>
      <c r="AB7" s="149">
        <f>IF($B7="","",IF(OR($B8="",ROUNDUP(($A7+1)/Inputs!$B$14,0)&gt;$B7),SUMIF($B$4:$B7,$B7,V$4:V7),0))</f>
        <v>43938.461538461546</v>
      </c>
      <c r="AC7" s="149">
        <f>IF($B7="","",IF(OR($B8="",ROUNDUP(($A7+1)/Inputs!$B$14,0)&gt;$B7),SUMIF($B$4:$B7,$B7,W$4:W7),0))</f>
        <v>13625.538461538463</v>
      </c>
      <c r="AD7" s="18"/>
      <c r="AE7" s="111" t="s">
        <v>178</v>
      </c>
      <c r="AF7" s="167">
        <f>INDEX(M4:M123,Inputs!$C$66)</f>
        <v>21682.430958636869</v>
      </c>
      <c r="AG7" s="146"/>
      <c r="AH7" s="146"/>
      <c r="AI7" s="18"/>
      <c r="AJ7" s="18"/>
      <c r="AK7" s="18"/>
    </row>
    <row r="8" spans="1:37" ht="18" customHeight="1">
      <c r="A8" s="157">
        <f>IF(A7="","",IF(AND(A7&gt;=Inputs!$B$15,S7+N7+O7+P7+Z7&lt;=0.005),"",IF(A7&gt;=Inputs!$C$67,"",A7+1)))</f>
        <v>5</v>
      </c>
      <c r="B8" s="77">
        <f>IF(A8="","",ROUNDUP(A8/Inputs!$B$14,0))</f>
        <v>2</v>
      </c>
      <c r="C8" s="160" t="str">
        <f>IF(A8="","",IF(A8&lt;Inputs!$C$66,"Pago normal",IF(A8&gt;Inputs!$B$15,"Periodo adicional con cobranza","Pago tardío + cobranza")))</f>
        <v>Pago normal</v>
      </c>
      <c r="D8" s="149">
        <f t="shared" si="0"/>
        <v>5744248.4082349436</v>
      </c>
      <c r="E8" s="149">
        <f>IF(A8="","",D8*Inputs!$B$17)</f>
        <v>69754.108607137081</v>
      </c>
      <c r="F8" s="149">
        <f>IF(A8="","",IF(A8&lt;Inputs!$C$66,0,Q7*Inputs!$B$17+G8*(POWER(1+Inputs!$B$18,Inputs!$C$63)-1)))</f>
        <v>0</v>
      </c>
      <c r="G8" s="149">
        <f>IF(A8="","",IF(A8&lt;=Inputs!$B$15,INDEX(Caso1_Normal!$H$4:$H$89,A8),0))</f>
        <v>41260.713269631407</v>
      </c>
      <c r="H8" s="149">
        <f>IF(A8="","",IF(AND(A8&gt;=Inputs!$C$66,D8&gt;0.005),Inputs!$C$65,0))</f>
        <v>0</v>
      </c>
      <c r="I8" s="149">
        <f>IF(A8="","",MIN(Inputs!$B$20+X8,D8+N7+H8+O7+F8+P7+E8+Z7+X8))</f>
        <v>174048.99418446081</v>
      </c>
      <c r="J8" s="149">
        <f t="shared" si="1"/>
        <v>0</v>
      </c>
      <c r="K8" s="149">
        <f t="shared" si="2"/>
        <v>0</v>
      </c>
      <c r="L8" s="149">
        <f t="shared" si="3"/>
        <v>69754.108607137081</v>
      </c>
      <c r="M8" s="149">
        <f t="shared" si="11"/>
        <v>41260.713269631415</v>
      </c>
      <c r="N8" s="149">
        <f t="shared" si="4"/>
        <v>0</v>
      </c>
      <c r="O8" s="149">
        <f t="shared" si="5"/>
        <v>0</v>
      </c>
      <c r="P8" s="149">
        <f t="shared" si="6"/>
        <v>0</v>
      </c>
      <c r="Q8" s="149">
        <f t="shared" si="7"/>
        <v>0</v>
      </c>
      <c r="R8" s="149">
        <f t="shared" si="8"/>
        <v>5702987.6949653123</v>
      </c>
      <c r="S8" s="149">
        <f t="shared" si="9"/>
        <v>5702987.6949653123</v>
      </c>
      <c r="T8" s="163" t="str">
        <f t="shared" si="10"/>
        <v>Vigente al día</v>
      </c>
      <c r="U8" s="149">
        <f>IF($A8="","",IF($A8&lt;=Inputs!$B$15,Inputs!$B$28,0))</f>
        <v>48643.172307692315</v>
      </c>
      <c r="V8" s="149">
        <f>IF($A8="","",IF($A8&lt;=Inputs!$B$15,Inputs!$B$29,0))</f>
        <v>10984.615384615387</v>
      </c>
      <c r="W8" s="149">
        <f>IF($A8="","",IF($A8&lt;=Inputs!$B$15,Inputs!$B$30,0))</f>
        <v>3406.3846153846157</v>
      </c>
      <c r="X8" s="149">
        <f t="shared" si="12"/>
        <v>63034.172307692315</v>
      </c>
      <c r="Y8" s="149">
        <f t="shared" si="13"/>
        <v>63034.172307692315</v>
      </c>
      <c r="Z8" s="149">
        <f t="shared" si="14"/>
        <v>0</v>
      </c>
      <c r="AA8" s="149">
        <f>IF($B8="","",IF(OR($B9="",ROUNDUP(($A8+1)/Inputs!$B$14,0)&gt;$B8),SUMIF($B$4:$B8,$B8,U$4:U8),0))</f>
        <v>0</v>
      </c>
      <c r="AB8" s="149">
        <f>IF($B8="","",IF(OR($B9="",ROUNDUP(($A8+1)/Inputs!$B$14,0)&gt;$B8),SUMIF($B$4:$B8,$B8,V$4:V8),0))</f>
        <v>0</v>
      </c>
      <c r="AC8" s="149">
        <f>IF($B8="","",IF(OR($B9="",ROUNDUP(($A8+1)/Inputs!$B$14,0)&gt;$B8),SUMIF($B$4:$B8,$B8,W$4:W8),0))</f>
        <v>0</v>
      </c>
      <c r="AD8" s="18"/>
      <c r="AE8" s="111" t="s">
        <v>182</v>
      </c>
      <c r="AF8" s="167">
        <f>INDEX(Q4:Q123,Inputs!$C$66)</f>
        <v>43590.458812267658</v>
      </c>
      <c r="AG8" s="146"/>
      <c r="AH8" s="146"/>
      <c r="AI8" s="18"/>
      <c r="AJ8" s="18"/>
      <c r="AK8" s="18"/>
    </row>
    <row r="9" spans="1:37" ht="18" customHeight="1">
      <c r="A9" s="157">
        <f>IF(A8="","",IF(AND(A8&gt;=Inputs!$B$15,S8+N8+O8+P8+Z8&lt;=0.005),"",IF(A8&gt;=Inputs!$C$67,"",A8+1)))</f>
        <v>6</v>
      </c>
      <c r="B9" s="77">
        <f>IF(A9="","",ROUNDUP(A9/Inputs!$B$14,0))</f>
        <v>2</v>
      </c>
      <c r="C9" s="160" t="str">
        <f>IF(A9="","",IF(A9&lt;Inputs!$C$66,"Pago normal",IF(A9&gt;Inputs!$B$15,"Periodo adicional con cobranza","Pago tardío + cobranza")))</f>
        <v>Pago normal</v>
      </c>
      <c r="D9" s="149">
        <f t="shared" si="0"/>
        <v>5702987.6949653123</v>
      </c>
      <c r="E9" s="149">
        <f>IF(A9="","",D9*Inputs!$B$17)</f>
        <v>69253.067553534362</v>
      </c>
      <c r="F9" s="149">
        <f>IF(A9="","",IF(A9&lt;Inputs!$C$66,0,Q8*Inputs!$B$17+G9*(POWER(1+Inputs!$B$18,Inputs!$C$63)-1)))</f>
        <v>0</v>
      </c>
      <c r="G9" s="149">
        <f>IF(A9="","",IF(A9&lt;=Inputs!$B$15,INDEX(Caso1_Normal!$H$4:$H$89,A9),0))</f>
        <v>41761.754323234127</v>
      </c>
      <c r="H9" s="149">
        <f>IF(A9="","",IF(AND(A9&gt;=Inputs!$C$66,D9&gt;0.005),Inputs!$C$65,0))</f>
        <v>0</v>
      </c>
      <c r="I9" s="149">
        <f>IF(A9="","",MIN(Inputs!$B$20+X9,D9+N8+H9+O8+F9+P8+E9+Z8+X9))</f>
        <v>174048.99418446081</v>
      </c>
      <c r="J9" s="149">
        <f t="shared" si="1"/>
        <v>0</v>
      </c>
      <c r="K9" s="149">
        <f t="shared" si="2"/>
        <v>0</v>
      </c>
      <c r="L9" s="149">
        <f t="shared" si="3"/>
        <v>69253.067553534362</v>
      </c>
      <c r="M9" s="149">
        <f t="shared" si="11"/>
        <v>41761.754323234134</v>
      </c>
      <c r="N9" s="149">
        <f t="shared" si="4"/>
        <v>0</v>
      </c>
      <c r="O9" s="149">
        <f t="shared" si="5"/>
        <v>0</v>
      </c>
      <c r="P9" s="149">
        <f t="shared" si="6"/>
        <v>0</v>
      </c>
      <c r="Q9" s="149">
        <f t="shared" si="7"/>
        <v>0</v>
      </c>
      <c r="R9" s="149">
        <f t="shared" si="8"/>
        <v>5661225.9406420784</v>
      </c>
      <c r="S9" s="149">
        <f t="shared" si="9"/>
        <v>5661225.9406420784</v>
      </c>
      <c r="T9" s="163" t="str">
        <f t="shared" si="10"/>
        <v>Vigente al día</v>
      </c>
      <c r="U9" s="149">
        <f>IF($A9="","",IF($A9&lt;=Inputs!$B$15,Inputs!$B$28,0))</f>
        <v>48643.172307692315</v>
      </c>
      <c r="V9" s="149">
        <f>IF($A9="","",IF($A9&lt;=Inputs!$B$15,Inputs!$B$29,0))</f>
        <v>10984.615384615387</v>
      </c>
      <c r="W9" s="149">
        <f>IF($A9="","",IF($A9&lt;=Inputs!$B$15,Inputs!$B$30,0))</f>
        <v>3406.3846153846157</v>
      </c>
      <c r="X9" s="149">
        <f t="shared" si="12"/>
        <v>63034.172307692315</v>
      </c>
      <c r="Y9" s="149">
        <f t="shared" si="13"/>
        <v>63034.172307692315</v>
      </c>
      <c r="Z9" s="149">
        <f t="shared" si="14"/>
        <v>0</v>
      </c>
      <c r="AA9" s="149">
        <f>IF($B9="","",IF(OR($B10="",ROUNDUP(($A9+1)/Inputs!$B$14,0)&gt;$B9),SUMIF($B$4:$B9,$B9,U$4:U9),0))</f>
        <v>0</v>
      </c>
      <c r="AB9" s="149">
        <f>IF($B9="","",IF(OR($B10="",ROUNDUP(($A9+1)/Inputs!$B$14,0)&gt;$B9),SUMIF($B$4:$B9,$B9,V$4:V9),0))</f>
        <v>0</v>
      </c>
      <c r="AC9" s="149">
        <f>IF($B9="","",IF(OR($B10="",ROUNDUP(($A9+1)/Inputs!$B$14,0)&gt;$B9),SUMIF($B$4:$B9,$B9,W$4:W9),0))</f>
        <v>0</v>
      </c>
      <c r="AD9" s="18"/>
      <c r="AE9" s="111" t="s">
        <v>183</v>
      </c>
      <c r="AF9" s="167">
        <f>LOOKUP(2,1/(A4:A123&lt;&gt;""),S4:S123)</f>
        <v>3319011.7496506763</v>
      </c>
      <c r="AG9" s="146"/>
      <c r="AH9" s="146"/>
      <c r="AI9" s="18"/>
      <c r="AJ9" s="18"/>
      <c r="AK9" s="18"/>
    </row>
    <row r="10" spans="1:37" ht="18" customHeight="1">
      <c r="A10" s="157">
        <f>IF(A9="","",IF(AND(A9&gt;=Inputs!$B$15,S9+N9+O9+P9+Z9&lt;=0.005),"",IF(A9&gt;=Inputs!$C$67,"",A9+1)))</f>
        <v>7</v>
      </c>
      <c r="B10" s="77">
        <f>IF(A10="","",ROUNDUP(A10/Inputs!$B$14,0))</f>
        <v>2</v>
      </c>
      <c r="C10" s="160" t="str">
        <f>IF(A10="","",IF(A10&lt;Inputs!$C$66,"Pago normal",IF(A10&gt;Inputs!$B$15,"Periodo adicional con cobranza","Pago tardío + cobranza")))</f>
        <v>Pago normal</v>
      </c>
      <c r="D10" s="149">
        <f t="shared" si="0"/>
        <v>5661225.9406420784</v>
      </c>
      <c r="E10" s="149">
        <f>IF(A10="","",D10*Inputs!$B$17)</f>
        <v>68745.942210119319</v>
      </c>
      <c r="F10" s="149">
        <f>IF(A10="","",IF(A10&lt;Inputs!$C$66,0,Q9*Inputs!$B$17+G10*(POWER(1+Inputs!$B$18,Inputs!$C$63)-1)))</f>
        <v>0</v>
      </c>
      <c r="G10" s="149">
        <f>IF(A10="","",IF(A10&lt;=Inputs!$B$15,INDEX(Caso1_Normal!$H$4:$H$89,A10),0))</f>
        <v>42268.879666649169</v>
      </c>
      <c r="H10" s="149">
        <f>IF(A10="","",IF(AND(A10&gt;=Inputs!$C$66,D10&gt;0.005),Inputs!$C$65,0))</f>
        <v>0</v>
      </c>
      <c r="I10" s="149">
        <f>IF(A10="","",MIN(Inputs!$B$20+X10,D10+N9+H10+O9+F10+P9+E10+Z9+X10))</f>
        <v>174048.99418446081</v>
      </c>
      <c r="J10" s="149">
        <f t="shared" si="1"/>
        <v>0</v>
      </c>
      <c r="K10" s="149">
        <f t="shared" si="2"/>
        <v>0</v>
      </c>
      <c r="L10" s="149">
        <f t="shared" si="3"/>
        <v>68745.942210119319</v>
      </c>
      <c r="M10" s="149">
        <f t="shared" si="11"/>
        <v>42268.879666649176</v>
      </c>
      <c r="N10" s="149">
        <f t="shared" si="4"/>
        <v>0</v>
      </c>
      <c r="O10" s="149">
        <f t="shared" si="5"/>
        <v>0</v>
      </c>
      <c r="P10" s="149">
        <f t="shared" si="6"/>
        <v>0</v>
      </c>
      <c r="Q10" s="149">
        <f t="shared" si="7"/>
        <v>0</v>
      </c>
      <c r="R10" s="149">
        <f t="shared" si="8"/>
        <v>5618957.0609754296</v>
      </c>
      <c r="S10" s="149">
        <f t="shared" si="9"/>
        <v>5618957.0609754296</v>
      </c>
      <c r="T10" s="163" t="str">
        <f t="shared" si="10"/>
        <v>Vigente al día</v>
      </c>
      <c r="U10" s="149">
        <f>IF($A10="","",IF($A10&lt;=Inputs!$B$15,Inputs!$B$28,0))</f>
        <v>48643.172307692315</v>
      </c>
      <c r="V10" s="149">
        <f>IF($A10="","",IF($A10&lt;=Inputs!$B$15,Inputs!$B$29,0))</f>
        <v>10984.615384615387</v>
      </c>
      <c r="W10" s="149">
        <f>IF($A10="","",IF($A10&lt;=Inputs!$B$15,Inputs!$B$30,0))</f>
        <v>3406.3846153846157</v>
      </c>
      <c r="X10" s="149">
        <f t="shared" si="12"/>
        <v>63034.172307692315</v>
      </c>
      <c r="Y10" s="149">
        <f t="shared" si="13"/>
        <v>63034.172307692315</v>
      </c>
      <c r="Z10" s="149">
        <f t="shared" si="14"/>
        <v>0</v>
      </c>
      <c r="AA10" s="149">
        <f>IF($B10="","",IF(OR($B11="",ROUNDUP(($A10+1)/Inputs!$B$14,0)&gt;$B10),SUMIF($B$4:$B10,$B10,U$4:U10),0))</f>
        <v>0</v>
      </c>
      <c r="AB10" s="149">
        <f>IF($B10="","",IF(OR($B11="",ROUNDUP(($A10+1)/Inputs!$B$14,0)&gt;$B10),SUMIF($B$4:$B10,$B10,V$4:V10),0))</f>
        <v>0</v>
      </c>
      <c r="AC10" s="149">
        <f>IF($B10="","",IF(OR($B11="",ROUNDUP(($A10+1)/Inputs!$B$14,0)&gt;$B10),SUMIF($B$4:$B10,$B10,W$4:W10),0))</f>
        <v>0</v>
      </c>
      <c r="AD10" s="18"/>
      <c r="AE10" s="113" t="s">
        <v>184</v>
      </c>
      <c r="AF10" s="212" t="str">
        <f>LOOKUP(2,1/(A4:A123&lt;&gt;""),T4:T123)</f>
        <v>En mora</v>
      </c>
      <c r="AG10" s="211"/>
      <c r="AH10" s="211"/>
      <c r="AI10" s="18"/>
      <c r="AJ10" s="18"/>
      <c r="AK10" s="18"/>
    </row>
    <row r="11" spans="1:37" ht="18" customHeight="1">
      <c r="A11" s="157">
        <f>IF(A10="","",IF(AND(A10&gt;=Inputs!$B$15,S10+N10+O10+P10+Z10&lt;=0.005),"",IF(A10&gt;=Inputs!$C$67,"",A10+1)))</f>
        <v>8</v>
      </c>
      <c r="B11" s="77">
        <f>IF(A11="","",ROUNDUP(A11/Inputs!$B$14,0))</f>
        <v>2</v>
      </c>
      <c r="C11" s="160" t="str">
        <f>IF(A11="","",IF(A11&lt;Inputs!$C$66,"Pago normal",IF(A11&gt;Inputs!$B$15,"Periodo adicional con cobranza","Pago tardío + cobranza")))</f>
        <v>Pago normal</v>
      </c>
      <c r="D11" s="149">
        <f t="shared" si="0"/>
        <v>5618957.0609754296</v>
      </c>
      <c r="E11" s="149">
        <f>IF(A11="","",D11*Inputs!$B$17)</f>
        <v>68232.658693559948</v>
      </c>
      <c r="F11" s="149">
        <f>IF(A11="","",IF(A11&lt;Inputs!$C$66,0,Q10*Inputs!$B$17+G11*(POWER(1+Inputs!$B$18,Inputs!$C$63)-1)))</f>
        <v>0</v>
      </c>
      <c r="G11" s="149">
        <f>IF(A11="","",IF(A11&lt;=Inputs!$B$15,INDEX(Caso1_Normal!$H$4:$H$89,A11),0))</f>
        <v>42782.16318320854</v>
      </c>
      <c r="H11" s="149">
        <f>IF(A11="","",IF(AND(A11&gt;=Inputs!$C$66,D11&gt;0.005),Inputs!$C$65,0))</f>
        <v>0</v>
      </c>
      <c r="I11" s="149">
        <f>IF(A11="","",MIN(Inputs!$B$20+X11,D11+N10+H11+O10+F11+P10+E11+Z10+X11))</f>
        <v>174048.99418446081</v>
      </c>
      <c r="J11" s="149">
        <f t="shared" si="1"/>
        <v>0</v>
      </c>
      <c r="K11" s="149">
        <f t="shared" si="2"/>
        <v>0</v>
      </c>
      <c r="L11" s="149">
        <f t="shared" si="3"/>
        <v>68232.658693559948</v>
      </c>
      <c r="M11" s="149">
        <f t="shared" si="11"/>
        <v>42782.163183208548</v>
      </c>
      <c r="N11" s="149">
        <f t="shared" si="4"/>
        <v>0</v>
      </c>
      <c r="O11" s="149">
        <f t="shared" si="5"/>
        <v>0</v>
      </c>
      <c r="P11" s="149">
        <f t="shared" si="6"/>
        <v>0</v>
      </c>
      <c r="Q11" s="149">
        <f t="shared" si="7"/>
        <v>0</v>
      </c>
      <c r="R11" s="149">
        <f t="shared" si="8"/>
        <v>5576174.897792221</v>
      </c>
      <c r="S11" s="149">
        <f t="shared" si="9"/>
        <v>5576174.897792221</v>
      </c>
      <c r="T11" s="163" t="str">
        <f t="shared" si="10"/>
        <v>Vigente al día</v>
      </c>
      <c r="U11" s="149">
        <f>IF($A11="","",IF($A11&lt;=Inputs!$B$15,Inputs!$B$28,0))</f>
        <v>48643.172307692315</v>
      </c>
      <c r="V11" s="149">
        <f>IF($A11="","",IF($A11&lt;=Inputs!$B$15,Inputs!$B$29,0))</f>
        <v>10984.615384615387</v>
      </c>
      <c r="W11" s="149">
        <f>IF($A11="","",IF($A11&lt;=Inputs!$B$15,Inputs!$B$30,0))</f>
        <v>3406.3846153846157</v>
      </c>
      <c r="X11" s="149">
        <f t="shared" si="12"/>
        <v>63034.172307692315</v>
      </c>
      <c r="Y11" s="149">
        <f t="shared" si="13"/>
        <v>63034.172307692315</v>
      </c>
      <c r="Z11" s="149">
        <f t="shared" si="14"/>
        <v>0</v>
      </c>
      <c r="AA11" s="149">
        <f>IF($B11="","",IF(OR($B12="",ROUNDUP(($A11+1)/Inputs!$B$14,0)&gt;$B11),SUMIF($B$4:$B11,$B11,U$4:U11),0))</f>
        <v>194572.68923076926</v>
      </c>
      <c r="AB11" s="149">
        <f>IF($B11="","",IF(OR($B12="",ROUNDUP(($A11+1)/Inputs!$B$14,0)&gt;$B11),SUMIF($B$4:$B11,$B11,V$4:V11),0))</f>
        <v>43938.461538461546</v>
      </c>
      <c r="AC11" s="149">
        <f>IF($B11="","",IF(OR($B12="",ROUNDUP(($A11+1)/Inputs!$B$14,0)&gt;$B11),SUMIF($B$4:$B11,$B11,W$4:W11),0))</f>
        <v>13625.538461538463</v>
      </c>
      <c r="AD11" s="18"/>
      <c r="AE11" s="113" t="s">
        <v>367</v>
      </c>
      <c r="AF11" s="167">
        <f>INDEX(Y4:Y123,Inputs!$C$66)</f>
        <v>63034.172307692315</v>
      </c>
      <c r="AG11" s="18"/>
      <c r="AH11" s="18"/>
      <c r="AI11" s="18"/>
      <c r="AJ11" s="18"/>
      <c r="AK11" s="18"/>
    </row>
    <row r="12" spans="1:37" ht="18" customHeight="1">
      <c r="A12" s="157">
        <f>IF(A11="","",IF(AND(A11&gt;=Inputs!$B$15,S11+N11+O11+P11+Z11&lt;=0.005),"",IF(A11&gt;=Inputs!$C$67,"",A11+1)))</f>
        <v>9</v>
      </c>
      <c r="B12" s="77">
        <f>IF(A12="","",ROUNDUP(A12/Inputs!$B$14,0))</f>
        <v>3</v>
      </c>
      <c r="C12" s="160" t="str">
        <f>IF(A12="","",IF(A12&lt;Inputs!$C$66,"Pago normal",IF(A12&gt;Inputs!$B$15,"Periodo adicional con cobranza","Pago tardío + cobranza")))</f>
        <v>Pago normal</v>
      </c>
      <c r="D12" s="149">
        <f t="shared" si="0"/>
        <v>5576174.897792221</v>
      </c>
      <c r="E12" s="149">
        <f>IF(A12="","",D12*Inputs!$B$17)</f>
        <v>67713.142223337039</v>
      </c>
      <c r="F12" s="149">
        <f>IF(A12="","",IF(A12&lt;Inputs!$C$66,0,Q11*Inputs!$B$17+G12*(POWER(1+Inputs!$B$18,Inputs!$C$63)-1)))</f>
        <v>0</v>
      </c>
      <c r="G12" s="149">
        <f>IF(A12="","",IF(A12&lt;=Inputs!$B$15,INDEX(Caso1_Normal!$H$4:$H$89,A12),0))</f>
        <v>43301.679653431449</v>
      </c>
      <c r="H12" s="149">
        <f>IF(A12="","",IF(AND(A12&gt;=Inputs!$C$66,D12&gt;0.005),Inputs!$C$65,0))</f>
        <v>0</v>
      </c>
      <c r="I12" s="149">
        <f>IF(A12="","",MIN(Inputs!$B$20+X12,D12+N11+H12+O11+F12+P11+E12+Z11+X12))</f>
        <v>174048.99418446081</v>
      </c>
      <c r="J12" s="149">
        <f t="shared" si="1"/>
        <v>0</v>
      </c>
      <c r="K12" s="149">
        <f t="shared" si="2"/>
        <v>0</v>
      </c>
      <c r="L12" s="149">
        <f t="shared" si="3"/>
        <v>67713.142223337039</v>
      </c>
      <c r="M12" s="149">
        <f t="shared" si="11"/>
        <v>43301.679653431456</v>
      </c>
      <c r="N12" s="149">
        <f t="shared" si="4"/>
        <v>0</v>
      </c>
      <c r="O12" s="149">
        <f t="shared" si="5"/>
        <v>0</v>
      </c>
      <c r="P12" s="149">
        <f t="shared" si="6"/>
        <v>0</v>
      </c>
      <c r="Q12" s="149">
        <f t="shared" si="7"/>
        <v>0</v>
      </c>
      <c r="R12" s="149">
        <f t="shared" si="8"/>
        <v>5532873.2181387898</v>
      </c>
      <c r="S12" s="149">
        <f t="shared" si="9"/>
        <v>5532873.2181387898</v>
      </c>
      <c r="T12" s="163" t="str">
        <f t="shared" si="10"/>
        <v>Vigente al día</v>
      </c>
      <c r="U12" s="149">
        <f>IF($A12="","",IF($A12&lt;=Inputs!$B$15,Inputs!$B$28,0))</f>
        <v>48643.172307692315</v>
      </c>
      <c r="V12" s="149">
        <f>IF($A12="","",IF($A12&lt;=Inputs!$B$15,Inputs!$B$29,0))</f>
        <v>10984.615384615387</v>
      </c>
      <c r="W12" s="149">
        <f>IF($A12="","",IF($A12&lt;=Inputs!$B$15,Inputs!$B$30,0))</f>
        <v>3406.3846153846157</v>
      </c>
      <c r="X12" s="149">
        <f t="shared" si="12"/>
        <v>63034.172307692315</v>
      </c>
      <c r="Y12" s="149">
        <f t="shared" si="13"/>
        <v>63034.172307692315</v>
      </c>
      <c r="Z12" s="149">
        <f t="shared" si="14"/>
        <v>0</v>
      </c>
      <c r="AA12" s="149">
        <f>IF($B12="","",IF(OR($B13="",ROUNDUP(($A12+1)/Inputs!$B$14,0)&gt;$B12),SUMIF($B$4:$B12,$B12,U$4:U12),0))</f>
        <v>0</v>
      </c>
      <c r="AB12" s="149">
        <f>IF($B12="","",IF(OR($B13="",ROUNDUP(($A12+1)/Inputs!$B$14,0)&gt;$B12),SUMIF($B$4:$B12,$B12,V$4:V12),0))</f>
        <v>0</v>
      </c>
      <c r="AC12" s="149">
        <f>IF($B12="","",IF(OR($B13="",ROUNDUP(($A12+1)/Inputs!$B$14,0)&gt;$B12),SUMIF($B$4:$B12,$B12,W$4:W12),0))</f>
        <v>0</v>
      </c>
      <c r="AD12" s="18"/>
      <c r="AE12" s="113" t="s">
        <v>368</v>
      </c>
      <c r="AF12" s="167" cm="1">
        <f t="array" ref="AF12">LOOKUP(2,1/(A4:A123&lt;&gt;""),Z4:Z123)</f>
        <v>70732.200029455125</v>
      </c>
      <c r="AG12" s="18"/>
      <c r="AH12" s="18"/>
      <c r="AI12" s="18"/>
      <c r="AJ12" s="18"/>
      <c r="AK12" s="18"/>
    </row>
    <row r="13" spans="1:37" ht="25.95" customHeight="1">
      <c r="A13" s="157">
        <f>IF(A12="","",IF(AND(A12&gt;=Inputs!$B$15,S12+N12+O12+P12+Z12&lt;=0.005),"",IF(A12&gt;=Inputs!$C$67,"",A12+1)))</f>
        <v>10</v>
      </c>
      <c r="B13" s="77">
        <f>IF(A13="","",ROUNDUP(A13/Inputs!$B$14,0))</f>
        <v>3</v>
      </c>
      <c r="C13" s="160" t="str">
        <f>IF(A13="","",IF(A13&lt;Inputs!$C$66,"Pago normal",IF(A13&gt;Inputs!$B$15,"Periodo adicional con cobranza","Pago tardío + cobranza")))</f>
        <v>Pago normal</v>
      </c>
      <c r="D13" s="149">
        <f t="shared" si="0"/>
        <v>5532873.2181387898</v>
      </c>
      <c r="E13" s="149">
        <f>IF(A13="","",D13*Inputs!$B$17)</f>
        <v>67187.317110849428</v>
      </c>
      <c r="F13" s="149">
        <f>IF(A13="","",IF(A13&lt;Inputs!$C$66,0,Q12*Inputs!$B$17+G13*(POWER(1+Inputs!$B$18,Inputs!$C$63)-1)))</f>
        <v>0</v>
      </c>
      <c r="G13" s="149">
        <f>IF(A13="","",IF(A13&lt;=Inputs!$B$15,INDEX(Caso1_Normal!$H$4:$H$89,A13),0))</f>
        <v>43827.50476591906</v>
      </c>
      <c r="H13" s="149">
        <f>IF(A13="","",IF(AND(A13&gt;=Inputs!$C$66,D13&gt;0.005),Inputs!$C$65,0))</f>
        <v>0</v>
      </c>
      <c r="I13" s="149">
        <f>IF(A13="","",MIN(Inputs!$B$20+X13,D13+N12+H13+O12+F13+P12+E13+Z12+X13))</f>
        <v>174048.99418446081</v>
      </c>
      <c r="J13" s="149">
        <f t="shared" si="1"/>
        <v>0</v>
      </c>
      <c r="K13" s="149">
        <f t="shared" si="2"/>
        <v>0</v>
      </c>
      <c r="L13" s="149">
        <f t="shared" si="3"/>
        <v>67187.317110849428</v>
      </c>
      <c r="M13" s="149">
        <f t="shared" si="11"/>
        <v>43827.504765919068</v>
      </c>
      <c r="N13" s="149">
        <f t="shared" si="4"/>
        <v>0</v>
      </c>
      <c r="O13" s="149">
        <f t="shared" si="5"/>
        <v>0</v>
      </c>
      <c r="P13" s="149">
        <f t="shared" si="6"/>
        <v>0</v>
      </c>
      <c r="Q13" s="149">
        <f t="shared" si="7"/>
        <v>0</v>
      </c>
      <c r="R13" s="149">
        <f t="shared" si="8"/>
        <v>5489045.7133728703</v>
      </c>
      <c r="S13" s="149">
        <f t="shared" si="9"/>
        <v>5489045.7133728703</v>
      </c>
      <c r="T13" s="163" t="str">
        <f t="shared" si="10"/>
        <v>Vigente al día</v>
      </c>
      <c r="U13" s="149">
        <f>IF($A13="","",IF($A13&lt;=Inputs!$B$15,Inputs!$B$28,0))</f>
        <v>48643.172307692315</v>
      </c>
      <c r="V13" s="149">
        <f>IF($A13="","",IF($A13&lt;=Inputs!$B$15,Inputs!$B$29,0))</f>
        <v>10984.615384615387</v>
      </c>
      <c r="W13" s="149">
        <f>IF($A13="","",IF($A13&lt;=Inputs!$B$15,Inputs!$B$30,0))</f>
        <v>3406.3846153846157</v>
      </c>
      <c r="X13" s="149">
        <f t="shared" si="12"/>
        <v>63034.172307692315</v>
      </c>
      <c r="Y13" s="149">
        <f t="shared" si="13"/>
        <v>63034.172307692315</v>
      </c>
      <c r="Z13" s="149">
        <f t="shared" si="14"/>
        <v>0</v>
      </c>
      <c r="AA13" s="149">
        <f>IF($B13="","",IF(OR($B14="",ROUNDUP(($A13+1)/Inputs!$B$14,0)&gt;$B13),SUMIF($B$4:$B13,$B13,U$4:U13),0))</f>
        <v>0</v>
      </c>
      <c r="AB13" s="149">
        <f>IF($B13="","",IF(OR($B14="",ROUNDUP(($A13+1)/Inputs!$B$14,0)&gt;$B13),SUMIF($B$4:$B13,$B13,V$4:V13),0))</f>
        <v>0</v>
      </c>
      <c r="AC13" s="149">
        <f>IF($B13="","",IF(OR($B14="",ROUNDUP(($A13+1)/Inputs!$B$14,0)&gt;$B13),SUMIF($B$4:$B13,$B13,W$4:W13),0))</f>
        <v>0</v>
      </c>
      <c r="AD13" s="18"/>
      <c r="AE13" s="115" t="s">
        <v>95</v>
      </c>
      <c r="AF13" s="23"/>
      <c r="AG13" s="23"/>
      <c r="AH13" s="23"/>
      <c r="AI13" s="18"/>
      <c r="AJ13" s="18"/>
      <c r="AK13" s="18"/>
    </row>
    <row r="14" spans="1:37" ht="18" customHeight="1">
      <c r="A14" s="157">
        <f>IF(A13="","",IF(AND(A13&gt;=Inputs!$B$15,S13+N13+O13+P13+Z13&lt;=0.005),"",IF(A13&gt;=Inputs!$C$67,"",A13+1)))</f>
        <v>11</v>
      </c>
      <c r="B14" s="77">
        <f>IF(A14="","",ROUNDUP(A14/Inputs!$B$14,0))</f>
        <v>3</v>
      </c>
      <c r="C14" s="160" t="str">
        <f>IF(A14="","",IF(A14&lt;Inputs!$C$66,"Pago normal",IF(A14&gt;Inputs!$B$15,"Periodo adicional con cobranza","Pago tardío + cobranza")))</f>
        <v>Pago normal</v>
      </c>
      <c r="D14" s="149">
        <f t="shared" si="0"/>
        <v>5489045.7133728703</v>
      </c>
      <c r="E14" s="149">
        <f>IF(A14="","",D14*Inputs!$B$17)</f>
        <v>66655.106748386854</v>
      </c>
      <c r="F14" s="149">
        <f>IF(A14="","",IF(A14&lt;Inputs!$C$66,0,Q13*Inputs!$B$17+G14*(POWER(1+Inputs!$B$18,Inputs!$C$63)-1)))</f>
        <v>0</v>
      </c>
      <c r="G14" s="149">
        <f>IF(A14="","",IF(A14&lt;=Inputs!$B$15,INDEX(Caso1_Normal!$H$4:$H$89,A14),0))</f>
        <v>44359.715128381635</v>
      </c>
      <c r="H14" s="149">
        <f>IF(A14="","",IF(AND(A14&gt;=Inputs!$C$66,D14&gt;0.005),Inputs!$C$65,0))</f>
        <v>0</v>
      </c>
      <c r="I14" s="149">
        <f>IF(A14="","",MIN(Inputs!$B$20+X14,D14+N13+H14+O13+F14+P13+E14+Z13+X14))</f>
        <v>174048.99418446081</v>
      </c>
      <c r="J14" s="149">
        <f t="shared" si="1"/>
        <v>0</v>
      </c>
      <c r="K14" s="149">
        <f t="shared" si="2"/>
        <v>0</v>
      </c>
      <c r="L14" s="149">
        <f t="shared" si="3"/>
        <v>66655.106748386854</v>
      </c>
      <c r="M14" s="149">
        <f t="shared" si="11"/>
        <v>44359.715128381642</v>
      </c>
      <c r="N14" s="149">
        <f t="shared" si="4"/>
        <v>0</v>
      </c>
      <c r="O14" s="149">
        <f t="shared" si="5"/>
        <v>0</v>
      </c>
      <c r="P14" s="149">
        <f t="shared" si="6"/>
        <v>0</v>
      </c>
      <c r="Q14" s="149">
        <f t="shared" si="7"/>
        <v>0</v>
      </c>
      <c r="R14" s="149">
        <f t="shared" si="8"/>
        <v>5444685.9982444886</v>
      </c>
      <c r="S14" s="149">
        <f t="shared" si="9"/>
        <v>5444685.9982444886</v>
      </c>
      <c r="T14" s="163" t="str">
        <f t="shared" si="10"/>
        <v>Vigente al día</v>
      </c>
      <c r="U14" s="149">
        <f>IF($A14="","",IF($A14&lt;=Inputs!$B$15,Inputs!$B$28,0))</f>
        <v>48643.172307692315</v>
      </c>
      <c r="V14" s="149">
        <f>IF($A14="","",IF($A14&lt;=Inputs!$B$15,Inputs!$B$29,0))</f>
        <v>10984.615384615387</v>
      </c>
      <c r="W14" s="149">
        <f>IF($A14="","",IF($A14&lt;=Inputs!$B$15,Inputs!$B$30,0))</f>
        <v>3406.3846153846157</v>
      </c>
      <c r="X14" s="149">
        <f t="shared" si="12"/>
        <v>63034.172307692315</v>
      </c>
      <c r="Y14" s="149">
        <f t="shared" si="13"/>
        <v>63034.172307692315</v>
      </c>
      <c r="Z14" s="149">
        <f t="shared" si="14"/>
        <v>0</v>
      </c>
      <c r="AA14" s="149">
        <f>IF($B14="","",IF(OR($B15="",ROUNDUP(($A14+1)/Inputs!$B$14,0)&gt;$B14),SUMIF($B$4:$B14,$B14,U$4:U14),0))</f>
        <v>0</v>
      </c>
      <c r="AB14" s="149">
        <f>IF($B14="","",IF(OR($B15="",ROUNDUP(($A14+1)/Inputs!$B$14,0)&gt;$B14),SUMIF($B$4:$B14,$B14,V$4:V14),0))</f>
        <v>0</v>
      </c>
      <c r="AC14" s="149">
        <f>IF($B14="","",IF(OR($B15="",ROUNDUP(($A14+1)/Inputs!$B$14,0)&gt;$B14),SUMIF($B$4:$B14,$B14,W$4:W14),0))</f>
        <v>0</v>
      </c>
      <c r="AD14" s="18"/>
      <c r="AE14" s="122" t="s">
        <v>96</v>
      </c>
      <c r="AF14" s="122" t="s">
        <v>97</v>
      </c>
      <c r="AG14" s="122" t="s">
        <v>98</v>
      </c>
      <c r="AH14" s="122" t="s">
        <v>99</v>
      </c>
      <c r="AI14" s="18"/>
      <c r="AJ14" s="18"/>
      <c r="AK14" s="18"/>
    </row>
    <row r="15" spans="1:37" ht="18" customHeight="1">
      <c r="A15" s="157">
        <f>IF(A14="","",IF(AND(A14&gt;=Inputs!$B$15,S14+N14+O14+P14+Z14&lt;=0.005),"",IF(A14&gt;=Inputs!$C$67,"",A14+1)))</f>
        <v>12</v>
      </c>
      <c r="B15" s="77">
        <f>IF(A15="","",ROUNDUP(A15/Inputs!$B$14,0))</f>
        <v>3</v>
      </c>
      <c r="C15" s="160" t="str">
        <f>IF(A15="","",IF(A15&lt;Inputs!$C$66,"Pago normal",IF(A15&gt;Inputs!$B$15,"Periodo adicional con cobranza","Pago tardío + cobranza")))</f>
        <v>Pago normal</v>
      </c>
      <c r="D15" s="149">
        <f t="shared" si="0"/>
        <v>5444685.9982444886</v>
      </c>
      <c r="E15" s="149">
        <f>IF(A15="","",D15*Inputs!$B$17)</f>
        <v>66116.433597968979</v>
      </c>
      <c r="F15" s="149">
        <f>IF(A15="","",IF(A15&lt;Inputs!$C$66,0,Q14*Inputs!$B$17+G15*(POWER(1+Inputs!$B$18,Inputs!$C$63)-1)))</f>
        <v>0</v>
      </c>
      <c r="G15" s="149">
        <f>IF(A15="","",IF(A15&lt;=Inputs!$B$15,INDEX(Caso1_Normal!$H$4:$H$89,A15),0))</f>
        <v>44898.38827879951</v>
      </c>
      <c r="H15" s="149">
        <f>IF(A15="","",IF(AND(A15&gt;=Inputs!$C$66,D15&gt;0.005),Inputs!$C$65,0))</f>
        <v>0</v>
      </c>
      <c r="I15" s="149">
        <f>IF(A15="","",MIN(Inputs!$B$20+X15,D15+N14+H15+O14+F15+P14+E15+Z14+X15))</f>
        <v>174048.99418446081</v>
      </c>
      <c r="J15" s="149">
        <f t="shared" si="1"/>
        <v>0</v>
      </c>
      <c r="K15" s="149">
        <f t="shared" si="2"/>
        <v>0</v>
      </c>
      <c r="L15" s="149">
        <f t="shared" si="3"/>
        <v>66116.433597968979</v>
      </c>
      <c r="M15" s="149">
        <f t="shared" si="11"/>
        <v>44898.388278799517</v>
      </c>
      <c r="N15" s="149">
        <f t="shared" si="4"/>
        <v>0</v>
      </c>
      <c r="O15" s="149">
        <f t="shared" si="5"/>
        <v>0</v>
      </c>
      <c r="P15" s="149">
        <f t="shared" si="6"/>
        <v>0</v>
      </c>
      <c r="Q15" s="149">
        <f t="shared" si="7"/>
        <v>0</v>
      </c>
      <c r="R15" s="149">
        <f t="shared" si="8"/>
        <v>5399787.6099656895</v>
      </c>
      <c r="S15" s="149">
        <f t="shared" si="9"/>
        <v>5399787.6099656895</v>
      </c>
      <c r="T15" s="163" t="str">
        <f t="shared" si="10"/>
        <v>Vigente al día</v>
      </c>
      <c r="U15" s="149">
        <f>IF($A15="","",IF($A15&lt;=Inputs!$B$15,Inputs!$B$28,0))</f>
        <v>48643.172307692315</v>
      </c>
      <c r="V15" s="149">
        <f>IF($A15="","",IF($A15&lt;=Inputs!$B$15,Inputs!$B$29,0))</f>
        <v>10984.615384615387</v>
      </c>
      <c r="W15" s="149">
        <f>IF($A15="","",IF($A15&lt;=Inputs!$B$15,Inputs!$B$30,0))</f>
        <v>3406.3846153846157</v>
      </c>
      <c r="X15" s="149">
        <f t="shared" si="12"/>
        <v>63034.172307692315</v>
      </c>
      <c r="Y15" s="149">
        <f t="shared" si="13"/>
        <v>63034.172307692315</v>
      </c>
      <c r="Z15" s="149">
        <f t="shared" si="14"/>
        <v>0</v>
      </c>
      <c r="AA15" s="149">
        <f>IF($B15="","",IF(OR($B16="",ROUNDUP(($A15+1)/Inputs!$B$14,0)&gt;$B15),SUMIF($B$4:$B15,$B15,U$4:U15),0))</f>
        <v>0</v>
      </c>
      <c r="AB15" s="149">
        <f>IF($B15="","",IF(OR($B16="",ROUNDUP(($A15+1)/Inputs!$B$14,0)&gt;$B15),SUMIF($B$4:$B15,$B15,V$4:V15),0))</f>
        <v>0</v>
      </c>
      <c r="AC15" s="149">
        <f>IF($B15="","",IF(OR($B16="",ROUNDUP(($A15+1)/Inputs!$B$14,0)&gt;$B15),SUMIF($B$4:$B15,$B15,W$4:W15),0))</f>
        <v>0</v>
      </c>
      <c r="AD15" s="18"/>
      <c r="AE15" s="110" t="s">
        <v>185</v>
      </c>
      <c r="AF15" s="207">
        <f>INDEX(H4:H123,Inputs!$C$66)</f>
        <v>42000</v>
      </c>
      <c r="AG15" s="207"/>
      <c r="AH15" s="171" t="s">
        <v>186</v>
      </c>
      <c r="AI15" s="18"/>
      <c r="AJ15" s="18"/>
      <c r="AK15" s="18"/>
    </row>
    <row r="16" spans="1:37" ht="18" customHeight="1">
      <c r="A16" s="157">
        <f>IF(A15="","",IF(AND(A15&gt;=Inputs!$B$15,S15+N15+O15+P15+Z15&lt;=0.005),"",IF(A15&gt;=Inputs!$C$67,"",A15+1)))</f>
        <v>13</v>
      </c>
      <c r="B16" s="77">
        <f>IF(A16="","",ROUNDUP(A16/Inputs!$B$14,0))</f>
        <v>3</v>
      </c>
      <c r="C16" s="160" t="str">
        <f>IF(A16="","",IF(A16&lt;Inputs!$C$66,"Pago normal",IF(A16&gt;Inputs!$B$15,"Periodo adicional con cobranza","Pago tardío + cobranza")))</f>
        <v>Pago normal</v>
      </c>
      <c r="D16" s="149">
        <f t="shared" si="0"/>
        <v>5399787.6099656895</v>
      </c>
      <c r="E16" s="149">
        <f>IF(A16="","",D16*Inputs!$B$17)</f>
        <v>65571.219180048793</v>
      </c>
      <c r="F16" s="149">
        <f>IF(A16="","",IF(A16&lt;Inputs!$C$66,0,Q15*Inputs!$B$17+G16*(POWER(1+Inputs!$B$18,Inputs!$C$63)-1)))</f>
        <v>0</v>
      </c>
      <c r="G16" s="149">
        <f>IF(A16="","",IF(A16&lt;=Inputs!$B$15,INDEX(Caso1_Normal!$H$4:$H$89,A16),0))</f>
        <v>45443.602696719696</v>
      </c>
      <c r="H16" s="149">
        <f>IF(A16="","",IF(AND(A16&gt;=Inputs!$C$66,D16&gt;0.005),Inputs!$C$65,0))</f>
        <v>0</v>
      </c>
      <c r="I16" s="149">
        <f>IF(A16="","",MIN(Inputs!$B$20+X16,D16+N15+H16+O15+F16+P15+E16+Z15+X16))</f>
        <v>174048.99418446081</v>
      </c>
      <c r="J16" s="149">
        <f t="shared" si="1"/>
        <v>0</v>
      </c>
      <c r="K16" s="149">
        <f t="shared" si="2"/>
        <v>0</v>
      </c>
      <c r="L16" s="149">
        <f t="shared" si="3"/>
        <v>65571.219180048793</v>
      </c>
      <c r="M16" s="149">
        <f t="shared" si="11"/>
        <v>45443.602696719703</v>
      </c>
      <c r="N16" s="149">
        <f t="shared" si="4"/>
        <v>0</v>
      </c>
      <c r="O16" s="149">
        <f t="shared" si="5"/>
        <v>0</v>
      </c>
      <c r="P16" s="149">
        <f t="shared" si="6"/>
        <v>0</v>
      </c>
      <c r="Q16" s="149">
        <f t="shared" si="7"/>
        <v>0</v>
      </c>
      <c r="R16" s="149">
        <f t="shared" si="8"/>
        <v>5354344.0072689699</v>
      </c>
      <c r="S16" s="149">
        <f t="shared" si="9"/>
        <v>5354344.0072689699</v>
      </c>
      <c r="T16" s="163" t="str">
        <f t="shared" si="10"/>
        <v>Vigente al día</v>
      </c>
      <c r="U16" s="149">
        <f>IF($A16="","",IF($A16&lt;=Inputs!$B$15,Inputs!$B$28,0))</f>
        <v>48643.172307692315</v>
      </c>
      <c r="V16" s="149">
        <f>IF($A16="","",IF($A16&lt;=Inputs!$B$15,Inputs!$B$29,0))</f>
        <v>10984.615384615387</v>
      </c>
      <c r="W16" s="149">
        <f>IF($A16="","",IF($A16&lt;=Inputs!$B$15,Inputs!$B$30,0))</f>
        <v>3406.3846153846157</v>
      </c>
      <c r="X16" s="149">
        <f t="shared" si="12"/>
        <v>63034.172307692315</v>
      </c>
      <c r="Y16" s="149">
        <f t="shared" si="13"/>
        <v>63034.172307692315</v>
      </c>
      <c r="Z16" s="149">
        <f t="shared" si="14"/>
        <v>0</v>
      </c>
      <c r="AA16" s="149">
        <f>IF($B16="","",IF(OR($B17="",ROUNDUP(($A16+1)/Inputs!$B$14,0)&gt;$B16),SUMIF($B$4:$B16,$B16,U$4:U16),0))</f>
        <v>243215.86153846158</v>
      </c>
      <c r="AB16" s="149">
        <f>IF($B16="","",IF(OR($B17="",ROUNDUP(($A16+1)/Inputs!$B$14,0)&gt;$B16),SUMIF($B$4:$B16,$B16,V$4:V16),0))</f>
        <v>54923.076923076937</v>
      </c>
      <c r="AC16" s="149">
        <f>IF($B16="","",IF(OR($B17="",ROUNDUP(($A16+1)/Inputs!$B$14,0)&gt;$B16),SUMIF($B$4:$B16,$B16,W$4:W16),0))</f>
        <v>17031.923076923078</v>
      </c>
      <c r="AD16" s="18"/>
      <c r="AE16" s="111" t="s">
        <v>187</v>
      </c>
      <c r="AF16" s="208"/>
      <c r="AG16" s="208">
        <f>INDEX(H4:H123,Inputs!$C$66)</f>
        <v>42000</v>
      </c>
      <c r="AH16" s="172" t="s">
        <v>188</v>
      </c>
      <c r="AI16" s="18"/>
      <c r="AJ16" s="18"/>
      <c r="AK16" s="18"/>
    </row>
    <row r="17" spans="1:37" ht="18" customHeight="1">
      <c r="A17" s="157">
        <f>IF(A16="","",IF(AND(A16&gt;=Inputs!$B$15,S16+N16+O16+P16+Z16&lt;=0.005),"",IF(A16&gt;=Inputs!$C$67,"",A16+1)))</f>
        <v>14</v>
      </c>
      <c r="B17" s="77">
        <f>IF(A17="","",ROUNDUP(A17/Inputs!$B$14,0))</f>
        <v>4</v>
      </c>
      <c r="C17" s="160" t="str">
        <f>IF(A17="","",IF(A17&lt;Inputs!$C$66,"Pago normal",IF(A17&gt;Inputs!$B$15,"Periodo adicional con cobranza","Pago tardío + cobranza")))</f>
        <v>Pago normal</v>
      </c>
      <c r="D17" s="149">
        <f t="shared" si="0"/>
        <v>5354344.0072689699</v>
      </c>
      <c r="E17" s="149">
        <f>IF(A17="","",D17*Inputs!$B$17)</f>
        <v>65019.384062078927</v>
      </c>
      <c r="F17" s="149">
        <f>IF(A17="","",IF(A17&lt;Inputs!$C$66,0,Q16*Inputs!$B$17+G17*(POWER(1+Inputs!$B$18,Inputs!$C$63)-1)))</f>
        <v>0</v>
      </c>
      <c r="G17" s="149">
        <f>IF(A17="","",IF(A17&lt;=Inputs!$B$15,INDEX(Caso1_Normal!$H$4:$H$89,A17),0))</f>
        <v>45995.437814689561</v>
      </c>
      <c r="H17" s="149">
        <f>IF(A17="","",IF(AND(A17&gt;=Inputs!$C$66,D17&gt;0.005),Inputs!$C$65,0))</f>
        <v>0</v>
      </c>
      <c r="I17" s="149">
        <f>IF(A17="","",MIN(Inputs!$B$20+X17,D17+N16+H17+O16+F17+P16+E17+Z16+X17))</f>
        <v>174048.99418446081</v>
      </c>
      <c r="J17" s="149">
        <f t="shared" si="1"/>
        <v>0</v>
      </c>
      <c r="K17" s="149">
        <f t="shared" si="2"/>
        <v>0</v>
      </c>
      <c r="L17" s="149">
        <f t="shared" si="3"/>
        <v>65019.384062078927</v>
      </c>
      <c r="M17" s="149">
        <f t="shared" si="11"/>
        <v>45995.437814689569</v>
      </c>
      <c r="N17" s="149">
        <f t="shared" si="4"/>
        <v>0</v>
      </c>
      <c r="O17" s="149">
        <f t="shared" si="5"/>
        <v>0</v>
      </c>
      <c r="P17" s="149">
        <f t="shared" si="6"/>
        <v>0</v>
      </c>
      <c r="Q17" s="149">
        <f t="shared" si="7"/>
        <v>0</v>
      </c>
      <c r="R17" s="149">
        <f t="shared" si="8"/>
        <v>5308348.5694542807</v>
      </c>
      <c r="S17" s="149">
        <f t="shared" si="9"/>
        <v>5308348.5694542807</v>
      </c>
      <c r="T17" s="163" t="str">
        <f t="shared" si="10"/>
        <v>Vigente al día</v>
      </c>
      <c r="U17" s="149">
        <f>IF($A17="","",IF($A17&lt;=Inputs!$B$15,Inputs!$B$28,0))</f>
        <v>48643.172307692315</v>
      </c>
      <c r="V17" s="149">
        <f>IF($A17="","",IF($A17&lt;=Inputs!$B$15,Inputs!$B$29,0))</f>
        <v>10984.615384615387</v>
      </c>
      <c r="W17" s="149">
        <f>IF($A17="","",IF($A17&lt;=Inputs!$B$15,Inputs!$B$30,0))</f>
        <v>3406.3846153846157</v>
      </c>
      <c r="X17" s="149">
        <f t="shared" si="12"/>
        <v>63034.172307692315</v>
      </c>
      <c r="Y17" s="149">
        <f t="shared" si="13"/>
        <v>63034.172307692315</v>
      </c>
      <c r="Z17" s="149">
        <f t="shared" si="14"/>
        <v>0</v>
      </c>
      <c r="AA17" s="149">
        <f>IF($B17="","",IF(OR($B18="",ROUNDUP(($A17+1)/Inputs!$B$14,0)&gt;$B17),SUMIF($B$4:$B17,$B17,U$4:U17),0))</f>
        <v>0</v>
      </c>
      <c r="AB17" s="149">
        <f>IF($B17="","",IF(OR($B18="",ROUNDUP(($A17+1)/Inputs!$B$14,0)&gt;$B17),SUMIF($B$4:$B17,$B17,V$4:V17),0))</f>
        <v>0</v>
      </c>
      <c r="AC17" s="149">
        <f>IF($B17="","",IF(OR($B18="",ROUNDUP(($A17+1)/Inputs!$B$14,0)&gt;$B17),SUMIF($B$4:$B17,$B17,W$4:W17),0))</f>
        <v>0</v>
      </c>
      <c r="AD17" s="18"/>
      <c r="AE17" s="111" t="s">
        <v>189</v>
      </c>
      <c r="AF17" s="208">
        <f>INDEX(F4:F123,Inputs!$C$66)</f>
        <v>1590.4588122676764</v>
      </c>
      <c r="AG17" s="208"/>
      <c r="AH17" s="172" t="s">
        <v>190</v>
      </c>
      <c r="AI17" s="18"/>
      <c r="AJ17" s="18"/>
      <c r="AK17" s="18"/>
    </row>
    <row r="18" spans="1:37" ht="18" customHeight="1">
      <c r="A18" s="157">
        <f>IF(A17="","",IF(AND(A17&gt;=Inputs!$B$15,S17+N17+O17+P17+Z17&lt;=0.005),"",IF(A17&gt;=Inputs!$C$67,"",A17+1)))</f>
        <v>15</v>
      </c>
      <c r="B18" s="77">
        <f>IF(A18="","",ROUNDUP(A18/Inputs!$B$14,0))</f>
        <v>4</v>
      </c>
      <c r="C18" s="160" t="str">
        <f>IF(A18="","",IF(A18&lt;Inputs!$C$66,"Pago normal",IF(A18&gt;Inputs!$B$15,"Periodo adicional con cobranza","Pago tardío + cobranza")))</f>
        <v>Pago normal</v>
      </c>
      <c r="D18" s="149">
        <f t="shared" si="0"/>
        <v>5308348.5694542807</v>
      </c>
      <c r="E18" s="149">
        <f>IF(A18="","",D18*Inputs!$B$17)</f>
        <v>64460.847846939076</v>
      </c>
      <c r="F18" s="149">
        <f>IF(A18="","",IF(A18&lt;Inputs!$C$66,0,Q17*Inputs!$B$17+G18*(POWER(1+Inputs!$B$18,Inputs!$C$63)-1)))</f>
        <v>0</v>
      </c>
      <c r="G18" s="149">
        <f>IF(A18="","",IF(A18&lt;=Inputs!$B$15,INDEX(Caso1_Normal!$H$4:$H$89,A18),0))</f>
        <v>46553.974029829413</v>
      </c>
      <c r="H18" s="149">
        <f>IF(A18="","",IF(AND(A18&gt;=Inputs!$C$66,D18&gt;0.005),Inputs!$C$65,0))</f>
        <v>0</v>
      </c>
      <c r="I18" s="149">
        <f>IF(A18="","",MIN(Inputs!$B$20+X18,D18+N17+H18+O17+F18+P17+E18+Z17+X18))</f>
        <v>174048.99418446081</v>
      </c>
      <c r="J18" s="149">
        <f t="shared" si="1"/>
        <v>0</v>
      </c>
      <c r="K18" s="149">
        <f t="shared" si="2"/>
        <v>0</v>
      </c>
      <c r="L18" s="149">
        <f t="shared" si="3"/>
        <v>64460.847846939076</v>
      </c>
      <c r="M18" s="149">
        <f t="shared" si="11"/>
        <v>46553.974029829413</v>
      </c>
      <c r="N18" s="149">
        <f t="shared" si="4"/>
        <v>0</v>
      </c>
      <c r="O18" s="149">
        <f t="shared" si="5"/>
        <v>0</v>
      </c>
      <c r="P18" s="149">
        <f t="shared" si="6"/>
        <v>0</v>
      </c>
      <c r="Q18" s="149">
        <f t="shared" si="7"/>
        <v>0</v>
      </c>
      <c r="R18" s="149">
        <f t="shared" si="8"/>
        <v>5261794.5954244509</v>
      </c>
      <c r="S18" s="149">
        <f t="shared" si="9"/>
        <v>5261794.5954244509</v>
      </c>
      <c r="T18" s="163" t="str">
        <f t="shared" si="10"/>
        <v>Vigente al día</v>
      </c>
      <c r="U18" s="149">
        <f>IF($A18="","",IF($A18&lt;=Inputs!$B$15,Inputs!$B$28,0))</f>
        <v>48643.172307692315</v>
      </c>
      <c r="V18" s="149">
        <f>IF($A18="","",IF($A18&lt;=Inputs!$B$15,Inputs!$B$29,0))</f>
        <v>10984.615384615387</v>
      </c>
      <c r="W18" s="149">
        <f>IF($A18="","",IF($A18&lt;=Inputs!$B$15,Inputs!$B$30,0))</f>
        <v>3406.3846153846157</v>
      </c>
      <c r="X18" s="149">
        <f t="shared" si="12"/>
        <v>63034.172307692315</v>
      </c>
      <c r="Y18" s="149">
        <f t="shared" si="13"/>
        <v>63034.172307692315</v>
      </c>
      <c r="Z18" s="149">
        <f t="shared" si="14"/>
        <v>0</v>
      </c>
      <c r="AA18" s="149">
        <f>IF($B18="","",IF(OR($B19="",ROUNDUP(($A18+1)/Inputs!$B$14,0)&gt;$B18),SUMIF($B$4:$B18,$B18,U$4:U18),0))</f>
        <v>0</v>
      </c>
      <c r="AB18" s="149">
        <f>IF($B18="","",IF(OR($B19="",ROUNDUP(($A18+1)/Inputs!$B$14,0)&gt;$B18),SUMIF($B$4:$B18,$B18,V$4:V18),0))</f>
        <v>0</v>
      </c>
      <c r="AC18" s="149">
        <f>IF($B18="","",IF(OR($B19="",ROUNDUP(($A18+1)/Inputs!$B$14,0)&gt;$B18),SUMIF($B$4:$B18,$B18,W$4:W18),0))</f>
        <v>0</v>
      </c>
      <c r="AD18" s="18"/>
      <c r="AE18" s="111" t="s">
        <v>191</v>
      </c>
      <c r="AF18" s="208"/>
      <c r="AG18" s="208">
        <f>INDEX(F4:F123,Inputs!$C$66)</f>
        <v>1590.4588122676764</v>
      </c>
      <c r="AH18" s="172" t="s">
        <v>192</v>
      </c>
      <c r="AI18" s="18"/>
      <c r="AJ18" s="18"/>
      <c r="AK18" s="18"/>
    </row>
    <row r="19" spans="1:37" ht="18" customHeight="1">
      <c r="A19" s="157">
        <f>IF(A18="","",IF(AND(A18&gt;=Inputs!$B$15,S18+N18+O18+P18+Z18&lt;=0.005),"",IF(A18&gt;=Inputs!$C$67,"",A18+1)))</f>
        <v>16</v>
      </c>
      <c r="B19" s="77">
        <f>IF(A19="","",ROUNDUP(A19/Inputs!$B$14,0))</f>
        <v>4</v>
      </c>
      <c r="C19" s="160" t="str">
        <f>IF(A19="","",IF(A19&lt;Inputs!$C$66,"Pago normal",IF(A19&gt;Inputs!$B$15,"Periodo adicional con cobranza","Pago tardío + cobranza")))</f>
        <v>Pago normal</v>
      </c>
      <c r="D19" s="149">
        <f t="shared" si="0"/>
        <v>5261794.5954244509</v>
      </c>
      <c r="E19" s="149">
        <f>IF(A19="","",D19*Inputs!$B$17)</f>
        <v>63895.529161222905</v>
      </c>
      <c r="F19" s="149">
        <f>IF(A19="","",IF(A19&lt;Inputs!$C$66,0,Q18*Inputs!$B$17+G19*(POWER(1+Inputs!$B$18,Inputs!$C$63)-1)))</f>
        <v>0</v>
      </c>
      <c r="G19" s="149">
        <f>IF(A19="","",IF(A19&lt;=Inputs!$B$15,INDEX(Caso1_Normal!$H$4:$H$89,A19),0))</f>
        <v>47119.292715545584</v>
      </c>
      <c r="H19" s="149">
        <f>IF(A19="","",IF(AND(A19&gt;=Inputs!$C$66,D19&gt;0.005),Inputs!$C$65,0))</f>
        <v>0</v>
      </c>
      <c r="I19" s="149">
        <f>IF(A19="","",MIN(Inputs!$B$20+X19,D19+N18+H19+O18+F19+P18+E19+Z18+X19))</f>
        <v>174048.99418446081</v>
      </c>
      <c r="J19" s="149">
        <f t="shared" si="1"/>
        <v>0</v>
      </c>
      <c r="K19" s="149">
        <f t="shared" si="2"/>
        <v>0</v>
      </c>
      <c r="L19" s="149">
        <f t="shared" si="3"/>
        <v>63895.529161222905</v>
      </c>
      <c r="M19" s="149">
        <f t="shared" si="11"/>
        <v>47119.292715545591</v>
      </c>
      <c r="N19" s="149">
        <f t="shared" si="4"/>
        <v>0</v>
      </c>
      <c r="O19" s="149">
        <f t="shared" si="5"/>
        <v>0</v>
      </c>
      <c r="P19" s="149">
        <f t="shared" si="6"/>
        <v>0</v>
      </c>
      <c r="Q19" s="149">
        <f t="shared" si="7"/>
        <v>0</v>
      </c>
      <c r="R19" s="149">
        <f t="shared" si="8"/>
        <v>5214675.3027089052</v>
      </c>
      <c r="S19" s="149">
        <f t="shared" si="9"/>
        <v>5214675.3027089052</v>
      </c>
      <c r="T19" s="163" t="str">
        <f t="shared" si="10"/>
        <v>Vigente al día</v>
      </c>
      <c r="U19" s="149">
        <f>IF($A19="","",IF($A19&lt;=Inputs!$B$15,Inputs!$B$28,0))</f>
        <v>48643.172307692315</v>
      </c>
      <c r="V19" s="149">
        <f>IF($A19="","",IF($A19&lt;=Inputs!$B$15,Inputs!$B$29,0))</f>
        <v>10984.615384615387</v>
      </c>
      <c r="W19" s="149">
        <f>IF($A19="","",IF($A19&lt;=Inputs!$B$15,Inputs!$B$30,0))</f>
        <v>3406.3846153846157</v>
      </c>
      <c r="X19" s="149">
        <f t="shared" si="12"/>
        <v>63034.172307692315</v>
      </c>
      <c r="Y19" s="149">
        <f t="shared" si="13"/>
        <v>63034.172307692315</v>
      </c>
      <c r="Z19" s="149">
        <f t="shared" si="14"/>
        <v>0</v>
      </c>
      <c r="AA19" s="149">
        <f>IF($B19="","",IF(OR($B20="",ROUNDUP(($A19+1)/Inputs!$B$14,0)&gt;$B19),SUMIF($B$4:$B19,$B19,U$4:U19),0))</f>
        <v>0</v>
      </c>
      <c r="AB19" s="149">
        <f>IF($B19="","",IF(OR($B20="",ROUNDUP(($A19+1)/Inputs!$B$14,0)&gt;$B19),SUMIF($B$4:$B19,$B19,V$4:V19),0))</f>
        <v>0</v>
      </c>
      <c r="AC19" s="149">
        <f>IF($B19="","",IF(OR($B20="",ROUNDUP(($A19+1)/Inputs!$B$14,0)&gt;$B19),SUMIF($B$4:$B19,$B19,W$4:W19),0))</f>
        <v>0</v>
      </c>
      <c r="AD19" s="18"/>
      <c r="AE19" s="111" t="s">
        <v>100</v>
      </c>
      <c r="AF19" s="208">
        <f>INDEX(I4:I123,Inputs!$C$66)</f>
        <v>174048.99418446081</v>
      </c>
      <c r="AG19" s="208"/>
      <c r="AH19" s="172" t="s">
        <v>366</v>
      </c>
      <c r="AI19" s="18"/>
      <c r="AJ19" s="18"/>
      <c r="AK19" s="18"/>
    </row>
    <row r="20" spans="1:37" ht="18" customHeight="1">
      <c r="A20" s="157">
        <f>IF(A19="","",IF(AND(A19&gt;=Inputs!$B$15,S19+N19+O19+P19+Z19&lt;=0.005),"",IF(A19&gt;=Inputs!$C$67,"",A19+1)))</f>
        <v>17</v>
      </c>
      <c r="B20" s="77">
        <f>IF(A20="","",ROUNDUP(A20/Inputs!$B$14,0))</f>
        <v>4</v>
      </c>
      <c r="C20" s="160" t="str">
        <f>IF(A20="","",IF(A20&lt;Inputs!$C$66,"Pago normal",IF(A20&gt;Inputs!$B$15,"Periodo adicional con cobranza","Pago tardío + cobranza")))</f>
        <v>Pago normal</v>
      </c>
      <c r="D20" s="149">
        <f t="shared" si="0"/>
        <v>5214675.3027089052</v>
      </c>
      <c r="E20" s="149">
        <f>IF(A20="","",D20*Inputs!$B$17)</f>
        <v>63323.345643382738</v>
      </c>
      <c r="F20" s="149">
        <f>IF(A20="","",IF(A20&lt;Inputs!$C$66,0,Q19*Inputs!$B$17+G20*(POWER(1+Inputs!$B$18,Inputs!$C$63)-1)))</f>
        <v>0</v>
      </c>
      <c r="G20" s="149">
        <f>IF(A20="","",IF(A20&lt;=Inputs!$B$15,INDEX(Caso1_Normal!$H$4:$H$89,A20),0))</f>
        <v>47691.476233385751</v>
      </c>
      <c r="H20" s="149">
        <f>IF(A20="","",IF(AND(A20&gt;=Inputs!$C$66,D20&gt;0.005),Inputs!$C$65,0))</f>
        <v>0</v>
      </c>
      <c r="I20" s="149">
        <f>IF(A20="","",MIN(Inputs!$B$20+X20,D20+N19+H20+O19+F20+P19+E20+Z19+X20))</f>
        <v>174048.99418446081</v>
      </c>
      <c r="J20" s="149">
        <f t="shared" si="1"/>
        <v>0</v>
      </c>
      <c r="K20" s="149">
        <f t="shared" si="2"/>
        <v>0</v>
      </c>
      <c r="L20" s="149">
        <f t="shared" si="3"/>
        <v>63323.345643382738</v>
      </c>
      <c r="M20" s="149">
        <f t="shared" si="11"/>
        <v>47691.476233385758</v>
      </c>
      <c r="N20" s="149">
        <f t="shared" si="4"/>
        <v>0</v>
      </c>
      <c r="O20" s="149">
        <f t="shared" si="5"/>
        <v>0</v>
      </c>
      <c r="P20" s="149">
        <f t="shared" si="6"/>
        <v>0</v>
      </c>
      <c r="Q20" s="149">
        <f t="shared" si="7"/>
        <v>0</v>
      </c>
      <c r="R20" s="149">
        <f t="shared" si="8"/>
        <v>5166983.8264755197</v>
      </c>
      <c r="S20" s="149">
        <f t="shared" si="9"/>
        <v>5166983.8264755197</v>
      </c>
      <c r="T20" s="163" t="str">
        <f t="shared" si="10"/>
        <v>Vigente al día</v>
      </c>
      <c r="U20" s="149">
        <f>IF($A20="","",IF($A20&lt;=Inputs!$B$15,Inputs!$B$28,0))</f>
        <v>48643.172307692315</v>
      </c>
      <c r="V20" s="149">
        <f>IF($A20="","",IF($A20&lt;=Inputs!$B$15,Inputs!$B$29,0))</f>
        <v>10984.615384615387</v>
      </c>
      <c r="W20" s="149">
        <f>IF($A20="","",IF($A20&lt;=Inputs!$B$15,Inputs!$B$30,0))</f>
        <v>3406.3846153846157</v>
      </c>
      <c r="X20" s="149">
        <f t="shared" si="12"/>
        <v>63034.172307692315</v>
      </c>
      <c r="Y20" s="149">
        <f t="shared" si="13"/>
        <v>63034.172307692315</v>
      </c>
      <c r="Z20" s="149">
        <f t="shared" si="14"/>
        <v>0</v>
      </c>
      <c r="AA20" s="149">
        <f>IF($B20="","",IF(OR($B21="",ROUNDUP(($A20+1)/Inputs!$B$14,0)&gt;$B20),SUMIF($B$4:$B20,$B20,U$4:U20),0))</f>
        <v>194572.68923076926</v>
      </c>
      <c r="AB20" s="149">
        <f>IF($B20="","",IF(OR($B21="",ROUNDUP(($A20+1)/Inputs!$B$14,0)&gt;$B20),SUMIF($B$4:$B20,$B20,V$4:V20),0))</f>
        <v>43938.461538461546</v>
      </c>
      <c r="AC20" s="149">
        <f>IF($B20="","",IF(OR($B21="",ROUNDUP(($A20+1)/Inputs!$B$14,0)&gt;$B20),SUMIF($B$4:$B20,$B20,W$4:W20),0))</f>
        <v>13625.538461538463</v>
      </c>
      <c r="AD20" s="18"/>
      <c r="AE20" s="111" t="s">
        <v>185</v>
      </c>
      <c r="AF20" s="208"/>
      <c r="AG20" s="208">
        <f>INDEX(J4:J123,Inputs!$C$66)</f>
        <v>42000</v>
      </c>
      <c r="AH20" s="172" t="s">
        <v>193</v>
      </c>
      <c r="AI20" s="18"/>
      <c r="AJ20" s="18"/>
      <c r="AK20" s="18"/>
    </row>
    <row r="21" spans="1:37" ht="18" customHeight="1">
      <c r="A21" s="157">
        <f>IF(A20="","",IF(AND(A20&gt;=Inputs!$B$15,S20+N20+O20+P20+Z20&lt;=0.005),"",IF(A20&gt;=Inputs!$C$67,"",A20+1)))</f>
        <v>18</v>
      </c>
      <c r="B21" s="77">
        <f>IF(A21="","",ROUNDUP(A21/Inputs!$B$14,0))</f>
        <v>5</v>
      </c>
      <c r="C21" s="160" t="str">
        <f>IF(A21="","",IF(A21&lt;Inputs!$C$66,"Pago normal",IF(A21&gt;Inputs!$B$15,"Periodo adicional con cobranza","Pago tardío + cobranza")))</f>
        <v>Pago normal</v>
      </c>
      <c r="D21" s="149">
        <f t="shared" si="0"/>
        <v>5166983.8264755197</v>
      </c>
      <c r="E21" s="149">
        <f>IF(A21="","",D21*Inputs!$B$17)</f>
        <v>62744.213931730235</v>
      </c>
      <c r="F21" s="149">
        <f>IF(A21="","",IF(A21&lt;Inputs!$C$66,0,Q20*Inputs!$B$17+G21*(POWER(1+Inputs!$B$18,Inputs!$C$63)-1)))</f>
        <v>0</v>
      </c>
      <c r="G21" s="149">
        <f>IF(A21="","",IF(A21&lt;=Inputs!$B$15,INDEX(Caso1_Normal!$H$4:$H$89,A21),0))</f>
        <v>48270.607945038253</v>
      </c>
      <c r="H21" s="149">
        <f>IF(A21="","",IF(AND(A21&gt;=Inputs!$C$66,D21&gt;0.005),Inputs!$C$65,0))</f>
        <v>0</v>
      </c>
      <c r="I21" s="149">
        <f>IF(A21="","",MIN(Inputs!$B$20+X21,D21+N20+H21+O20+F21+P20+E21+Z20+X21))</f>
        <v>174048.99418446081</v>
      </c>
      <c r="J21" s="149">
        <f t="shared" si="1"/>
        <v>0</v>
      </c>
      <c r="K21" s="149">
        <f t="shared" si="2"/>
        <v>0</v>
      </c>
      <c r="L21" s="149">
        <f t="shared" si="3"/>
        <v>62744.213931730235</v>
      </c>
      <c r="M21" s="149">
        <f t="shared" si="11"/>
        <v>48270.60794503826</v>
      </c>
      <c r="N21" s="149">
        <f t="shared" si="4"/>
        <v>0</v>
      </c>
      <c r="O21" s="149">
        <f t="shared" si="5"/>
        <v>0</v>
      </c>
      <c r="P21" s="149">
        <f t="shared" si="6"/>
        <v>0</v>
      </c>
      <c r="Q21" s="149">
        <f t="shared" si="7"/>
        <v>0</v>
      </c>
      <c r="R21" s="149">
        <f t="shared" si="8"/>
        <v>5118713.2185304817</v>
      </c>
      <c r="S21" s="149">
        <f t="shared" si="9"/>
        <v>5118713.2185304817</v>
      </c>
      <c r="T21" s="163" t="str">
        <f t="shared" si="10"/>
        <v>Vigente al día</v>
      </c>
      <c r="U21" s="149">
        <f>IF($A21="","",IF($A21&lt;=Inputs!$B$15,Inputs!$B$28,0))</f>
        <v>48643.172307692315</v>
      </c>
      <c r="V21" s="149">
        <f>IF($A21="","",IF($A21&lt;=Inputs!$B$15,Inputs!$B$29,0))</f>
        <v>10984.615384615387</v>
      </c>
      <c r="W21" s="149">
        <f>IF($A21="","",IF($A21&lt;=Inputs!$B$15,Inputs!$B$30,0))</f>
        <v>3406.3846153846157</v>
      </c>
      <c r="X21" s="149">
        <f t="shared" si="12"/>
        <v>63034.172307692315</v>
      </c>
      <c r="Y21" s="149">
        <f t="shared" si="13"/>
        <v>63034.172307692315</v>
      </c>
      <c r="Z21" s="149">
        <f t="shared" si="14"/>
        <v>0</v>
      </c>
      <c r="AA21" s="149">
        <f>IF($B21="","",IF(OR($B22="",ROUNDUP(($A21+1)/Inputs!$B$14,0)&gt;$B21),SUMIF($B$4:$B21,$B21,U$4:U21),0))</f>
        <v>0</v>
      </c>
      <c r="AB21" s="149">
        <f>IF($B21="","",IF(OR($B22="",ROUNDUP(($A21+1)/Inputs!$B$14,0)&gt;$B21),SUMIF($B$4:$B21,$B21,V$4:V21),0))</f>
        <v>0</v>
      </c>
      <c r="AC21" s="149">
        <f>IF($B21="","",IF(OR($B22="",ROUNDUP(($A21+1)/Inputs!$B$14,0)&gt;$B21),SUMIF($B$4:$B21,$B21,W$4:W21),0))</f>
        <v>0</v>
      </c>
      <c r="AD21" s="18"/>
      <c r="AE21" s="111" t="s">
        <v>189</v>
      </c>
      <c r="AF21" s="208"/>
      <c r="AG21" s="208">
        <f>INDEX(K4:K123,Inputs!$C$66)</f>
        <v>1590.4588122676764</v>
      </c>
      <c r="AH21" s="172" t="s">
        <v>194</v>
      </c>
      <c r="AI21" s="18"/>
      <c r="AJ21" s="18"/>
      <c r="AK21" s="18"/>
    </row>
    <row r="22" spans="1:37" ht="18" customHeight="1">
      <c r="A22" s="157">
        <f>IF(A21="","",IF(AND(A21&gt;=Inputs!$B$15,S21+N21+O21+P21+Z21&lt;=0.005),"",IF(A21&gt;=Inputs!$C$67,"",A21+1)))</f>
        <v>19</v>
      </c>
      <c r="B22" s="77">
        <f>IF(A22="","",ROUNDUP(A22/Inputs!$B$14,0))</f>
        <v>5</v>
      </c>
      <c r="C22" s="160" t="str">
        <f>IF(A22="","",IF(A22&lt;Inputs!$C$66,"Pago normal",IF(A22&gt;Inputs!$B$15,"Periodo adicional con cobranza","Pago tardío + cobranza")))</f>
        <v>Pago normal</v>
      </c>
      <c r="D22" s="149">
        <f t="shared" si="0"/>
        <v>5118713.2185304817</v>
      </c>
      <c r="E22" s="149">
        <f>IF(A22="","",D22*Inputs!$B$17)</f>
        <v>62158.049652291396</v>
      </c>
      <c r="F22" s="149">
        <f>IF(A22="","",IF(A22&lt;Inputs!$C$66,0,Q21*Inputs!$B$17+G22*(POWER(1+Inputs!$B$18,Inputs!$C$63)-1)))</f>
        <v>0</v>
      </c>
      <c r="G22" s="149">
        <f>IF(A22="","",IF(A22&lt;=Inputs!$B$15,INDEX(Caso1_Normal!$H$4:$H$89,A22),0))</f>
        <v>48856.772224477092</v>
      </c>
      <c r="H22" s="149">
        <f>IF(A22="","",IF(AND(A22&gt;=Inputs!$C$66,D22&gt;0.005),Inputs!$C$65,0))</f>
        <v>0</v>
      </c>
      <c r="I22" s="149">
        <f>IF(A22="","",MIN(Inputs!$B$20+X22,D22+N21+H22+O21+F22+P21+E22+Z21+X22))</f>
        <v>174048.99418446081</v>
      </c>
      <c r="J22" s="149">
        <f t="shared" si="1"/>
        <v>0</v>
      </c>
      <c r="K22" s="149">
        <f t="shared" si="2"/>
        <v>0</v>
      </c>
      <c r="L22" s="149">
        <f t="shared" si="3"/>
        <v>62158.049652291396</v>
      </c>
      <c r="M22" s="149">
        <f t="shared" si="11"/>
        <v>48856.772224477092</v>
      </c>
      <c r="N22" s="149">
        <f t="shared" si="4"/>
        <v>0</v>
      </c>
      <c r="O22" s="149">
        <f t="shared" si="5"/>
        <v>0</v>
      </c>
      <c r="P22" s="149">
        <f t="shared" si="6"/>
        <v>0</v>
      </c>
      <c r="Q22" s="149">
        <f t="shared" si="7"/>
        <v>0</v>
      </c>
      <c r="R22" s="149">
        <f t="shared" si="8"/>
        <v>5069856.4463060042</v>
      </c>
      <c r="S22" s="149">
        <f t="shared" si="9"/>
        <v>5069856.4463060042</v>
      </c>
      <c r="T22" s="163" t="str">
        <f t="shared" si="10"/>
        <v>Vigente al día</v>
      </c>
      <c r="U22" s="149">
        <f>IF($A22="","",IF($A22&lt;=Inputs!$B$15,Inputs!$B$28,0))</f>
        <v>48643.172307692315</v>
      </c>
      <c r="V22" s="149">
        <f>IF($A22="","",IF($A22&lt;=Inputs!$B$15,Inputs!$B$29,0))</f>
        <v>10984.615384615387</v>
      </c>
      <c r="W22" s="149">
        <f>IF($A22="","",IF($A22&lt;=Inputs!$B$15,Inputs!$B$30,0))</f>
        <v>3406.3846153846157</v>
      </c>
      <c r="X22" s="149">
        <f t="shared" si="12"/>
        <v>63034.172307692315</v>
      </c>
      <c r="Y22" s="149">
        <f t="shared" si="13"/>
        <v>63034.172307692315</v>
      </c>
      <c r="Z22" s="149">
        <f t="shared" si="14"/>
        <v>0</v>
      </c>
      <c r="AA22" s="149">
        <f>IF($B22="","",IF(OR($B23="",ROUNDUP(($A22+1)/Inputs!$B$14,0)&gt;$B22),SUMIF($B$4:$B22,$B22,U$4:U22),0))</f>
        <v>0</v>
      </c>
      <c r="AB22" s="149">
        <f>IF($B22="","",IF(OR($B23="",ROUNDUP(($A22+1)/Inputs!$B$14,0)&gt;$B22),SUMIF($B$4:$B22,$B22,V$4:V22),0))</f>
        <v>0</v>
      </c>
      <c r="AC22" s="149">
        <f>IF($B22="","",IF(OR($B23="",ROUNDUP(($A22+1)/Inputs!$B$14,0)&gt;$B22),SUMIF($B$4:$B22,$B22,W$4:W22),0))</f>
        <v>0</v>
      </c>
      <c r="AD22" s="18"/>
      <c r="AE22" s="111" t="s">
        <v>122</v>
      </c>
      <c r="AF22" s="208"/>
      <c r="AG22" s="208">
        <f>INDEX(L4:L123,Inputs!$C$66)</f>
        <v>45741.932105863954</v>
      </c>
      <c r="AH22" s="172" t="s">
        <v>195</v>
      </c>
      <c r="AI22" s="18"/>
      <c r="AJ22" s="18"/>
      <c r="AK22" s="18"/>
    </row>
    <row r="23" spans="1:37" ht="18" customHeight="1">
      <c r="A23" s="157">
        <f>IF(A22="","",IF(AND(A22&gt;=Inputs!$B$15,S22+N22+O22+P22+Z22&lt;=0.005),"",IF(A22&gt;=Inputs!$C$67,"",A22+1)))</f>
        <v>20</v>
      </c>
      <c r="B23" s="77">
        <f>IF(A23="","",ROUNDUP(A23/Inputs!$B$14,0))</f>
        <v>5</v>
      </c>
      <c r="C23" s="160" t="str">
        <f>IF(A23="","",IF(A23&lt;Inputs!$C$66,"Pago normal",IF(A23&gt;Inputs!$B$15,"Periodo adicional con cobranza","Pago tardío + cobranza")))</f>
        <v>Pago normal</v>
      </c>
      <c r="D23" s="149">
        <f t="shared" si="0"/>
        <v>5069856.4463060042</v>
      </c>
      <c r="E23" s="149">
        <f>IF(A23="","",D23*Inputs!$B$17)</f>
        <v>61564.767406514089</v>
      </c>
      <c r="F23" s="149">
        <f>IF(A23="","",IF(A23&lt;Inputs!$C$66,0,Q22*Inputs!$B$17+G23*(POWER(1+Inputs!$B$18,Inputs!$C$63)-1)))</f>
        <v>0</v>
      </c>
      <c r="G23" s="149">
        <f>IF(A23="","",IF(A23&lt;=Inputs!$B$15,INDEX(Caso1_Normal!$H$4:$H$89,A23),0))</f>
        <v>49450.054470254399</v>
      </c>
      <c r="H23" s="149">
        <f>IF(A23="","",IF(AND(A23&gt;=Inputs!$C$66,D23&gt;0.005),Inputs!$C$65,0))</f>
        <v>0</v>
      </c>
      <c r="I23" s="149">
        <f>IF(A23="","",MIN(Inputs!$B$20+X23,D23+N22+H23+O22+F23+P22+E23+Z22+X23))</f>
        <v>174048.99418446081</v>
      </c>
      <c r="J23" s="149">
        <f t="shared" si="1"/>
        <v>0</v>
      </c>
      <c r="K23" s="149">
        <f t="shared" si="2"/>
        <v>0</v>
      </c>
      <c r="L23" s="149">
        <f t="shared" si="3"/>
        <v>61564.767406514089</v>
      </c>
      <c r="M23" s="149">
        <f t="shared" si="11"/>
        <v>49450.054470254407</v>
      </c>
      <c r="N23" s="149">
        <f t="shared" si="4"/>
        <v>0</v>
      </c>
      <c r="O23" s="149">
        <f t="shared" si="5"/>
        <v>0</v>
      </c>
      <c r="P23" s="149">
        <f t="shared" si="6"/>
        <v>0</v>
      </c>
      <c r="Q23" s="149">
        <f t="shared" si="7"/>
        <v>0</v>
      </c>
      <c r="R23" s="149">
        <f t="shared" si="8"/>
        <v>5020406.3918357501</v>
      </c>
      <c r="S23" s="149">
        <f t="shared" si="9"/>
        <v>5020406.3918357501</v>
      </c>
      <c r="T23" s="163" t="str">
        <f t="shared" si="10"/>
        <v>Vigente al día</v>
      </c>
      <c r="U23" s="149">
        <f>IF($A23="","",IF($A23&lt;=Inputs!$B$15,Inputs!$B$28,0))</f>
        <v>48643.172307692315</v>
      </c>
      <c r="V23" s="149">
        <f>IF($A23="","",IF($A23&lt;=Inputs!$B$15,Inputs!$B$29,0))</f>
        <v>10984.615384615387</v>
      </c>
      <c r="W23" s="149">
        <f>IF($A23="","",IF($A23&lt;=Inputs!$B$15,Inputs!$B$30,0))</f>
        <v>3406.3846153846157</v>
      </c>
      <c r="X23" s="149">
        <f t="shared" si="12"/>
        <v>63034.172307692315</v>
      </c>
      <c r="Y23" s="149">
        <f t="shared" si="13"/>
        <v>63034.172307692315</v>
      </c>
      <c r="Z23" s="149">
        <f t="shared" si="14"/>
        <v>0</v>
      </c>
      <c r="AA23" s="149">
        <f>IF($B23="","",IF(OR($B24="",ROUNDUP(($A23+1)/Inputs!$B$14,0)&gt;$B23),SUMIF($B$4:$B23,$B23,U$4:U23),0))</f>
        <v>0</v>
      </c>
      <c r="AB23" s="149">
        <f>IF($B23="","",IF(OR($B24="",ROUNDUP(($A23+1)/Inputs!$B$14,0)&gt;$B23),SUMIF($B$4:$B23,$B23,V$4:V23),0))</f>
        <v>0</v>
      </c>
      <c r="AC23" s="149">
        <f>IF($B23="","",IF(OR($B24="",ROUNDUP(($A23+1)/Inputs!$B$14,0)&gt;$B23),SUMIF($B$4:$B23,$B23,W$4:W23),0))</f>
        <v>0</v>
      </c>
      <c r="AD23" s="18"/>
      <c r="AE23" s="111" t="s">
        <v>359</v>
      </c>
      <c r="AF23" s="208"/>
      <c r="AG23" s="208">
        <f>INDEX(Y4:Y123,Inputs!$C$66)</f>
        <v>63034.172307692315</v>
      </c>
      <c r="AH23" s="172" t="s">
        <v>365</v>
      </c>
      <c r="AI23" s="18"/>
      <c r="AJ23" s="18"/>
      <c r="AK23" s="18"/>
    </row>
    <row r="24" spans="1:37" ht="18" customHeight="1">
      <c r="A24" s="157">
        <f>IF(A23="","",IF(AND(A23&gt;=Inputs!$B$15,S23+N23+O23+P23+Z23&lt;=0.005),"",IF(A23&gt;=Inputs!$C$67,"",A23+1)))</f>
        <v>21</v>
      </c>
      <c r="B24" s="77">
        <f>IF(A24="","",ROUNDUP(A24/Inputs!$B$14,0))</f>
        <v>5</v>
      </c>
      <c r="C24" s="160" t="str">
        <f>IF(A24="","",IF(A24&lt;Inputs!$C$66,"Pago normal",IF(A24&gt;Inputs!$B$15,"Periodo adicional con cobranza","Pago tardío + cobranza")))</f>
        <v>Pago normal</v>
      </c>
      <c r="D24" s="149">
        <f t="shared" si="0"/>
        <v>5020406.3918357501</v>
      </c>
      <c r="E24" s="149">
        <f>IF(A24="","",D24*Inputs!$B$17)</f>
        <v>60964.280758826295</v>
      </c>
      <c r="F24" s="149">
        <f>IF(A24="","",IF(A24&lt;Inputs!$C$66,0,Q23*Inputs!$B$17+G24*(POWER(1+Inputs!$B$18,Inputs!$C$63)-1)))</f>
        <v>0</v>
      </c>
      <c r="G24" s="149">
        <f>IF(A24="","",IF(A24&lt;=Inputs!$B$15,INDEX(Caso1_Normal!$H$4:$H$89,A24),0))</f>
        <v>50050.541117942194</v>
      </c>
      <c r="H24" s="149">
        <f>IF(A24="","",IF(AND(A24&gt;=Inputs!$C$66,D24&gt;0.005),Inputs!$C$65,0))</f>
        <v>0</v>
      </c>
      <c r="I24" s="149">
        <f>IF(A24="","",MIN(Inputs!$B$20+X24,D24+N23+H24+O23+F24+P23+E24+Z23+X24))</f>
        <v>174048.99418446081</v>
      </c>
      <c r="J24" s="149">
        <f t="shared" si="1"/>
        <v>0</v>
      </c>
      <c r="K24" s="149">
        <f t="shared" si="2"/>
        <v>0</v>
      </c>
      <c r="L24" s="149">
        <f t="shared" si="3"/>
        <v>60964.280758826295</v>
      </c>
      <c r="M24" s="149">
        <f t="shared" si="11"/>
        <v>50050.541117942201</v>
      </c>
      <c r="N24" s="149">
        <f t="shared" si="4"/>
        <v>0</v>
      </c>
      <c r="O24" s="149">
        <f t="shared" si="5"/>
        <v>0</v>
      </c>
      <c r="P24" s="149">
        <f t="shared" si="6"/>
        <v>0</v>
      </c>
      <c r="Q24" s="149">
        <f t="shared" si="7"/>
        <v>0</v>
      </c>
      <c r="R24" s="149">
        <f t="shared" si="8"/>
        <v>4970355.8507178081</v>
      </c>
      <c r="S24" s="149">
        <f t="shared" si="9"/>
        <v>4970355.8507178081</v>
      </c>
      <c r="T24" s="163" t="str">
        <f t="shared" si="10"/>
        <v>Vigente al día</v>
      </c>
      <c r="U24" s="149">
        <f>IF($A24="","",IF($A24&lt;=Inputs!$B$15,Inputs!$B$28,0))</f>
        <v>48643.172307692315</v>
      </c>
      <c r="V24" s="149">
        <f>IF($A24="","",IF($A24&lt;=Inputs!$B$15,Inputs!$B$29,0))</f>
        <v>10984.615384615387</v>
      </c>
      <c r="W24" s="149">
        <f>IF($A24="","",IF($A24&lt;=Inputs!$B$15,Inputs!$B$30,0))</f>
        <v>3406.3846153846157</v>
      </c>
      <c r="X24" s="149">
        <f t="shared" si="12"/>
        <v>63034.172307692315</v>
      </c>
      <c r="Y24" s="149">
        <f t="shared" si="13"/>
        <v>63034.172307692315</v>
      </c>
      <c r="Z24" s="149">
        <f t="shared" si="14"/>
        <v>0</v>
      </c>
      <c r="AA24" s="149">
        <f>IF($B24="","",IF(OR($B25="",ROUNDUP(($A24+1)/Inputs!$B$14,0)&gt;$B24),SUMIF($B$4:$B24,$B24,U$4:U24),0))</f>
        <v>194572.68923076926</v>
      </c>
      <c r="AB24" s="149">
        <f>IF($B24="","",IF(OR($B25="",ROUNDUP(($A24+1)/Inputs!$B$14,0)&gt;$B24),SUMIF($B$4:$B24,$B24,V$4:V24),0))</f>
        <v>43938.461538461546</v>
      </c>
      <c r="AC24" s="149">
        <f>IF($B24="","",IF(OR($B25="",ROUNDUP(($A24+1)/Inputs!$B$14,0)&gt;$B24),SUMIF($B$4:$B24,$B24,W$4:W24),0))</f>
        <v>13625.538461538463</v>
      </c>
      <c r="AD24" s="18"/>
      <c r="AE24" s="173" t="s">
        <v>104</v>
      </c>
      <c r="AF24" s="209"/>
      <c r="AG24" s="209">
        <f>INDEX(M4:M123,Inputs!$C$66)</f>
        <v>21682.430958636869</v>
      </c>
      <c r="AH24" s="175" t="s">
        <v>196</v>
      </c>
      <c r="AI24" s="18"/>
      <c r="AJ24" s="18"/>
      <c r="AK24" s="18"/>
    </row>
    <row r="25" spans="1:37" ht="18" customHeight="1">
      <c r="A25" s="157">
        <f>IF(A24="","",IF(AND(A24&gt;=Inputs!$B$15,S24+N24+O24+P24+Z24&lt;=0.005),"",IF(A24&gt;=Inputs!$C$67,"",A24+1)))</f>
        <v>22</v>
      </c>
      <c r="B25" s="77">
        <f>IF(A25="","",ROUNDUP(A25/Inputs!$B$14,0))</f>
        <v>6</v>
      </c>
      <c r="C25" s="160" t="str">
        <f>IF(A25="","",IF(A25&lt;Inputs!$C$66,"Pago normal",IF(A25&gt;Inputs!$B$15,"Periodo adicional con cobranza","Pago tardío + cobranza")))</f>
        <v>Pago normal</v>
      </c>
      <c r="D25" s="149">
        <f t="shared" si="0"/>
        <v>4970355.8507178081</v>
      </c>
      <c r="E25" s="149">
        <f>IF(A25="","",D25*Inputs!$B$17)</f>
        <v>60356.502224043244</v>
      </c>
      <c r="F25" s="149">
        <f>IF(A25="","",IF(A25&lt;Inputs!$C$66,0,Q24*Inputs!$B$17+G25*(POWER(1+Inputs!$B$18,Inputs!$C$63)-1)))</f>
        <v>0</v>
      </c>
      <c r="G25" s="149">
        <f>IF(A25="","",IF(A25&lt;=Inputs!$B$15,INDEX(Caso1_Normal!$H$4:$H$89,A25),0))</f>
        <v>50658.319652725244</v>
      </c>
      <c r="H25" s="149">
        <f>IF(A25="","",IF(AND(A25&gt;=Inputs!$C$66,D25&gt;0.005),Inputs!$C$65,0))</f>
        <v>0</v>
      </c>
      <c r="I25" s="149">
        <f>IF(A25="","",MIN(Inputs!$B$20+X25,D25+N24+H25+O24+F25+P24+E25+Z24+X25))</f>
        <v>174048.99418446081</v>
      </c>
      <c r="J25" s="149">
        <f t="shared" si="1"/>
        <v>0</v>
      </c>
      <c r="K25" s="149">
        <f t="shared" si="2"/>
        <v>0</v>
      </c>
      <c r="L25" s="149">
        <f t="shared" si="3"/>
        <v>60356.502224043244</v>
      </c>
      <c r="M25" s="149">
        <f t="shared" si="11"/>
        <v>50658.319652725251</v>
      </c>
      <c r="N25" s="149">
        <f t="shared" si="4"/>
        <v>0</v>
      </c>
      <c r="O25" s="149">
        <f t="shared" si="5"/>
        <v>0</v>
      </c>
      <c r="P25" s="149">
        <f t="shared" si="6"/>
        <v>0</v>
      </c>
      <c r="Q25" s="149">
        <f t="shared" si="7"/>
        <v>0</v>
      </c>
      <c r="R25" s="149">
        <f t="shared" si="8"/>
        <v>4919697.5310650831</v>
      </c>
      <c r="S25" s="149">
        <f t="shared" si="9"/>
        <v>4919697.5310650831</v>
      </c>
      <c r="T25" s="163" t="str">
        <f t="shared" si="10"/>
        <v>Vigente al día</v>
      </c>
      <c r="U25" s="149">
        <f>IF($A25="","",IF($A25&lt;=Inputs!$B$15,Inputs!$B$28,0))</f>
        <v>48643.172307692315</v>
      </c>
      <c r="V25" s="149">
        <f>IF($A25="","",IF($A25&lt;=Inputs!$B$15,Inputs!$B$29,0))</f>
        <v>10984.615384615387</v>
      </c>
      <c r="W25" s="149">
        <f>IF($A25="","",IF($A25&lt;=Inputs!$B$15,Inputs!$B$30,0))</f>
        <v>3406.3846153846157</v>
      </c>
      <c r="X25" s="149">
        <f t="shared" si="12"/>
        <v>63034.172307692315</v>
      </c>
      <c r="Y25" s="149">
        <f t="shared" si="13"/>
        <v>63034.172307692315</v>
      </c>
      <c r="Z25" s="149">
        <f t="shared" si="14"/>
        <v>0</v>
      </c>
      <c r="AA25" s="149">
        <f>IF($B25="","",IF(OR($B26="",ROUNDUP(($A25+1)/Inputs!$B$14,0)&gt;$B25),SUMIF($B$4:$B25,$B25,U$4:U25),0))</f>
        <v>0</v>
      </c>
      <c r="AB25" s="149">
        <f>IF($B25="","",IF(OR($B26="",ROUNDUP(($A25+1)/Inputs!$B$14,0)&gt;$B25),SUMIF($B$4:$B25,$B25,V$4:V25),0))</f>
        <v>0</v>
      </c>
      <c r="AC25" s="149">
        <f>IF($B25="","",IF(OR($B26="",ROUNDUP(($A25+1)/Inputs!$B$14,0)&gt;$B25),SUMIF($B$4:$B25,$B25,W$4:W25),0))</f>
        <v>0</v>
      </c>
      <c r="AD25" s="18"/>
      <c r="AE25" s="176" t="s">
        <v>108</v>
      </c>
      <c r="AF25" s="210">
        <f>SUM(AF15:AF24)</f>
        <v>217639.45299672848</v>
      </c>
      <c r="AG25" s="210">
        <f>SUM(AG15:AG24)</f>
        <v>217639.45299672851</v>
      </c>
      <c r="AH25" s="178">
        <f>AF25-AG25</f>
        <v>0</v>
      </c>
      <c r="AI25" s="18"/>
      <c r="AJ25" s="18"/>
      <c r="AK25" s="18"/>
    </row>
    <row r="26" spans="1:37" ht="18" customHeight="1">
      <c r="A26" s="157">
        <f>IF(A25="","",IF(AND(A25&gt;=Inputs!$B$15,S25+N25+O25+P25+Z25&lt;=0.005),"",IF(A25&gt;=Inputs!$C$67,"",A25+1)))</f>
        <v>23</v>
      </c>
      <c r="B26" s="77">
        <f>IF(A26="","",ROUNDUP(A26/Inputs!$B$14,0))</f>
        <v>6</v>
      </c>
      <c r="C26" s="160" t="str">
        <f>IF(A26="","",IF(A26&lt;Inputs!$C$66,"Pago normal",IF(A26&gt;Inputs!$B$15,"Periodo adicional con cobranza","Pago tardío + cobranza")))</f>
        <v>Pago normal</v>
      </c>
      <c r="D26" s="149">
        <f t="shared" si="0"/>
        <v>4919697.5310650831</v>
      </c>
      <c r="E26" s="149">
        <f>IF(A26="","",D26*Inputs!$B$17)</f>
        <v>59741.343254621679</v>
      </c>
      <c r="F26" s="149">
        <f>IF(A26="","",IF(A26&lt;Inputs!$C$66,0,Q25*Inputs!$B$17+G26*(POWER(1+Inputs!$B$18,Inputs!$C$63)-1)))</f>
        <v>0</v>
      </c>
      <c r="G26" s="149">
        <f>IF(A26="","",IF(A26&lt;=Inputs!$B$15,INDEX(Caso1_Normal!$H$4:$H$89,A26),0))</f>
        <v>51273.478622146809</v>
      </c>
      <c r="H26" s="149">
        <f>IF(A26="","",IF(AND(A26&gt;=Inputs!$C$66,D26&gt;0.005),Inputs!$C$65,0))</f>
        <v>0</v>
      </c>
      <c r="I26" s="149">
        <f>IF(A26="","",MIN(Inputs!$B$20+X26,D26+N25+H26+O25+F26+P25+E26+Z25+X26))</f>
        <v>174048.99418446081</v>
      </c>
      <c r="J26" s="149">
        <f t="shared" si="1"/>
        <v>0</v>
      </c>
      <c r="K26" s="149">
        <f t="shared" si="2"/>
        <v>0</v>
      </c>
      <c r="L26" s="149">
        <f t="shared" si="3"/>
        <v>59741.343254621679</v>
      </c>
      <c r="M26" s="149">
        <f t="shared" si="11"/>
        <v>51273.478622146817</v>
      </c>
      <c r="N26" s="149">
        <f t="shared" si="4"/>
        <v>0</v>
      </c>
      <c r="O26" s="149">
        <f t="shared" si="5"/>
        <v>0</v>
      </c>
      <c r="P26" s="149">
        <f t="shared" si="6"/>
        <v>0</v>
      </c>
      <c r="Q26" s="149">
        <f t="shared" si="7"/>
        <v>0</v>
      </c>
      <c r="R26" s="149">
        <f t="shared" si="8"/>
        <v>4868424.0524429362</v>
      </c>
      <c r="S26" s="149">
        <f t="shared" si="9"/>
        <v>4868424.0524429362</v>
      </c>
      <c r="T26" s="163" t="str">
        <f t="shared" si="10"/>
        <v>Vigente al día</v>
      </c>
      <c r="U26" s="149">
        <f>IF($A26="","",IF($A26&lt;=Inputs!$B$15,Inputs!$B$28,0))</f>
        <v>48643.172307692315</v>
      </c>
      <c r="V26" s="149">
        <f>IF($A26="","",IF($A26&lt;=Inputs!$B$15,Inputs!$B$29,0))</f>
        <v>10984.615384615387</v>
      </c>
      <c r="W26" s="149">
        <f>IF($A26="","",IF($A26&lt;=Inputs!$B$15,Inputs!$B$30,0))</f>
        <v>3406.3846153846157</v>
      </c>
      <c r="X26" s="149">
        <f t="shared" si="12"/>
        <v>63034.172307692315</v>
      </c>
      <c r="Y26" s="149">
        <f t="shared" si="13"/>
        <v>63034.172307692315</v>
      </c>
      <c r="Z26" s="149">
        <f t="shared" si="14"/>
        <v>0</v>
      </c>
      <c r="AA26" s="149">
        <f>IF($B26="","",IF(OR($B27="",ROUNDUP(($A26+1)/Inputs!$B$14,0)&gt;$B26),SUMIF($B$4:$B26,$B26,U$4:U26),0))</f>
        <v>0</v>
      </c>
      <c r="AB26" s="149">
        <f>IF($B26="","",IF(OR($B27="",ROUNDUP(($A26+1)/Inputs!$B$14,0)&gt;$B26),SUMIF($B$4:$B26,$B26,V$4:V26),0))</f>
        <v>0</v>
      </c>
      <c r="AC26" s="149">
        <f>IF($B26="","",IF(OR($B27="",ROUNDUP(($A26+1)/Inputs!$B$14,0)&gt;$B26),SUMIF($B$4:$B26,$B26,W$4:W26),0))</f>
        <v>0</v>
      </c>
      <c r="AD26" s="18"/>
      <c r="AE26" s="18"/>
      <c r="AF26" s="18"/>
      <c r="AG26" s="18"/>
      <c r="AH26" s="18"/>
      <c r="AI26" s="18"/>
      <c r="AJ26" s="18"/>
      <c r="AK26" s="18"/>
    </row>
    <row r="27" spans="1:37" ht="18" customHeight="1">
      <c r="A27" s="157">
        <f>IF(A26="","",IF(AND(A26&gt;=Inputs!$B$15,S26+N26+O26+P26+Z26&lt;=0.005),"",IF(A26&gt;=Inputs!$C$67,"",A26+1)))</f>
        <v>24</v>
      </c>
      <c r="B27" s="77">
        <f>IF(A27="","",ROUNDUP(A27/Inputs!$B$14,0))</f>
        <v>6</v>
      </c>
      <c r="C27" s="160" t="str">
        <f>IF(A27="","",IF(A27&lt;Inputs!$C$66,"Pago normal",IF(A27&gt;Inputs!$B$15,"Periodo adicional con cobranza","Pago tardío + cobranza")))</f>
        <v>Pago normal</v>
      </c>
      <c r="D27" s="149">
        <f t="shared" si="0"/>
        <v>4868424.0524429362</v>
      </c>
      <c r="E27" s="149">
        <f>IF(A27="","",D27*Inputs!$B$17)</f>
        <v>59118.714227759323</v>
      </c>
      <c r="F27" s="149">
        <f>IF(A27="","",IF(A27&lt;Inputs!$C$66,0,Q26*Inputs!$B$17+G27*(POWER(1+Inputs!$B$18,Inputs!$C$63)-1)))</f>
        <v>0</v>
      </c>
      <c r="G27" s="149">
        <f>IF(A27="","",IF(A27&lt;=Inputs!$B$15,INDEX(Caso1_Normal!$H$4:$H$89,A27),0))</f>
        <v>51896.107649009165</v>
      </c>
      <c r="H27" s="149">
        <f>IF(A27="","",IF(AND(A27&gt;=Inputs!$C$66,D27&gt;0.005),Inputs!$C$65,0))</f>
        <v>0</v>
      </c>
      <c r="I27" s="149">
        <f>IF(A27="","",MIN(Inputs!$B$20+X27,D27+N26+H27+O26+F27+P26+E27+Z26+X27))</f>
        <v>174048.99418446081</v>
      </c>
      <c r="J27" s="149">
        <f t="shared" si="1"/>
        <v>0</v>
      </c>
      <c r="K27" s="149">
        <f t="shared" si="2"/>
        <v>0</v>
      </c>
      <c r="L27" s="149">
        <f t="shared" si="3"/>
        <v>59118.714227759323</v>
      </c>
      <c r="M27" s="149">
        <f t="shared" si="11"/>
        <v>51896.107649009173</v>
      </c>
      <c r="N27" s="149">
        <f t="shared" si="4"/>
        <v>0</v>
      </c>
      <c r="O27" s="149">
        <f t="shared" si="5"/>
        <v>0</v>
      </c>
      <c r="P27" s="149">
        <f t="shared" si="6"/>
        <v>0</v>
      </c>
      <c r="Q27" s="149">
        <f t="shared" si="7"/>
        <v>0</v>
      </c>
      <c r="R27" s="149">
        <f t="shared" si="8"/>
        <v>4816527.9447939275</v>
      </c>
      <c r="S27" s="149">
        <f t="shared" si="9"/>
        <v>4816527.9447939275</v>
      </c>
      <c r="T27" s="163" t="str">
        <f t="shared" si="10"/>
        <v>Vigente al día</v>
      </c>
      <c r="U27" s="149">
        <f>IF($A27="","",IF($A27&lt;=Inputs!$B$15,Inputs!$B$28,0))</f>
        <v>48643.172307692315</v>
      </c>
      <c r="V27" s="149">
        <f>IF($A27="","",IF($A27&lt;=Inputs!$B$15,Inputs!$B$29,0))</f>
        <v>10984.615384615387</v>
      </c>
      <c r="W27" s="149">
        <f>IF($A27="","",IF($A27&lt;=Inputs!$B$15,Inputs!$B$30,0))</f>
        <v>3406.3846153846157</v>
      </c>
      <c r="X27" s="149">
        <f t="shared" si="12"/>
        <v>63034.172307692315</v>
      </c>
      <c r="Y27" s="149">
        <f t="shared" si="13"/>
        <v>63034.172307692315</v>
      </c>
      <c r="Z27" s="149">
        <f t="shared" si="14"/>
        <v>0</v>
      </c>
      <c r="AA27" s="149">
        <f>IF($B27="","",IF(OR($B28="",ROUNDUP(($A27+1)/Inputs!$B$14,0)&gt;$B27),SUMIF($B$4:$B27,$B27,U$4:U27),0))</f>
        <v>0</v>
      </c>
      <c r="AB27" s="149">
        <f>IF($B27="","",IF(OR($B28="",ROUNDUP(($A27+1)/Inputs!$B$14,0)&gt;$B27),SUMIF($B$4:$B27,$B27,V$4:V27),0))</f>
        <v>0</v>
      </c>
      <c r="AC27" s="149">
        <f>IF($B27="","",IF(OR($B28="",ROUNDUP(($A27+1)/Inputs!$B$14,0)&gt;$B27),SUMIF($B$4:$B27,$B27,W$4:W27),0))</f>
        <v>0</v>
      </c>
      <c r="AD27" s="18"/>
      <c r="AE27" s="18"/>
      <c r="AF27" s="18"/>
      <c r="AG27" s="18"/>
      <c r="AH27" s="18"/>
      <c r="AI27" s="18"/>
      <c r="AJ27" s="18"/>
      <c r="AK27" s="18"/>
    </row>
    <row r="28" spans="1:37" ht="18" customHeight="1">
      <c r="A28" s="157">
        <f>IF(A27="","",IF(AND(A27&gt;=Inputs!$B$15,S27+N27+O27+P27+Z27&lt;=0.005),"",IF(A27&gt;=Inputs!$C$67,"",A27+1)))</f>
        <v>25</v>
      </c>
      <c r="B28" s="77">
        <f>IF(A28="","",ROUNDUP(A28/Inputs!$B$14,0))</f>
        <v>6</v>
      </c>
      <c r="C28" s="160" t="str">
        <f>IF(A28="","",IF(A28&lt;Inputs!$C$66,"Pago normal",IF(A28&gt;Inputs!$B$15,"Periodo adicional con cobranza","Pago tardío + cobranza")))</f>
        <v>Pago normal</v>
      </c>
      <c r="D28" s="149">
        <f t="shared" si="0"/>
        <v>4816527.9447939275</v>
      </c>
      <c r="E28" s="149">
        <f>IF(A28="","",D28*Inputs!$B$17)</f>
        <v>58488.52443233769</v>
      </c>
      <c r="F28" s="149">
        <f>IF(A28="","",IF(A28&lt;Inputs!$C$66,0,Q27*Inputs!$B$17+G28*(POWER(1+Inputs!$B$18,Inputs!$C$63)-1)))</f>
        <v>0</v>
      </c>
      <c r="G28" s="149">
        <f>IF(A28="","",IF(A28&lt;=Inputs!$B$15,INDEX(Caso1_Normal!$H$4:$H$89,A28),0))</f>
        <v>52526.297444430798</v>
      </c>
      <c r="H28" s="149">
        <f>IF(A28="","",IF(AND(A28&gt;=Inputs!$C$66,D28&gt;0.005),Inputs!$C$65,0))</f>
        <v>0</v>
      </c>
      <c r="I28" s="149">
        <f>IF(A28="","",MIN(Inputs!$B$20+X28,D28+N27+H28+O27+F28+P27+E28+Z27+X28))</f>
        <v>174048.99418446081</v>
      </c>
      <c r="J28" s="149">
        <f t="shared" si="1"/>
        <v>0</v>
      </c>
      <c r="K28" s="149">
        <f t="shared" si="2"/>
        <v>0</v>
      </c>
      <c r="L28" s="149">
        <f t="shared" si="3"/>
        <v>58488.52443233769</v>
      </c>
      <c r="M28" s="149">
        <f t="shared" si="11"/>
        <v>52526.297444430798</v>
      </c>
      <c r="N28" s="149">
        <f t="shared" si="4"/>
        <v>0</v>
      </c>
      <c r="O28" s="149">
        <f t="shared" si="5"/>
        <v>0</v>
      </c>
      <c r="P28" s="149">
        <f t="shared" si="6"/>
        <v>0</v>
      </c>
      <c r="Q28" s="149">
        <f t="shared" si="7"/>
        <v>0</v>
      </c>
      <c r="R28" s="149">
        <f t="shared" si="8"/>
        <v>4764001.6473494964</v>
      </c>
      <c r="S28" s="149">
        <f t="shared" si="9"/>
        <v>4764001.6473494964</v>
      </c>
      <c r="T28" s="163" t="str">
        <f t="shared" si="10"/>
        <v>Vigente al día</v>
      </c>
      <c r="U28" s="149">
        <f>IF($A28="","",IF($A28&lt;=Inputs!$B$15,Inputs!$B$28,0))</f>
        <v>48643.172307692315</v>
      </c>
      <c r="V28" s="149">
        <f>IF($A28="","",IF($A28&lt;=Inputs!$B$15,Inputs!$B$29,0))</f>
        <v>10984.615384615387</v>
      </c>
      <c r="W28" s="149">
        <f>IF($A28="","",IF($A28&lt;=Inputs!$B$15,Inputs!$B$30,0))</f>
        <v>3406.3846153846157</v>
      </c>
      <c r="X28" s="149">
        <f t="shared" si="12"/>
        <v>63034.172307692315</v>
      </c>
      <c r="Y28" s="149">
        <f t="shared" si="13"/>
        <v>63034.172307692315</v>
      </c>
      <c r="Z28" s="149">
        <f t="shared" si="14"/>
        <v>0</v>
      </c>
      <c r="AA28" s="149">
        <f>IF($B28="","",IF(OR($B29="",ROUNDUP(($A28+1)/Inputs!$B$14,0)&gt;$B28),SUMIF($B$4:$B28,$B28,U$4:U28),0))</f>
        <v>0</v>
      </c>
      <c r="AB28" s="149">
        <f>IF($B28="","",IF(OR($B29="",ROUNDUP(($A28+1)/Inputs!$B$14,0)&gt;$B28),SUMIF($B$4:$B28,$B28,V$4:V28),0))</f>
        <v>0</v>
      </c>
      <c r="AC28" s="149">
        <f>IF($B28="","",IF(OR($B29="",ROUNDUP(($A28+1)/Inputs!$B$14,0)&gt;$B28),SUMIF($B$4:$B28,$B28,W$4:W28),0))</f>
        <v>0</v>
      </c>
      <c r="AD28" s="18"/>
      <c r="AE28" s="179" t="s">
        <v>337</v>
      </c>
      <c r="AF28" s="18"/>
      <c r="AG28" s="18"/>
      <c r="AH28" s="18"/>
      <c r="AI28" s="18"/>
      <c r="AJ28" s="18"/>
      <c r="AK28" s="18"/>
    </row>
    <row r="29" spans="1:37" ht="18" customHeight="1">
      <c r="A29" s="157">
        <f>IF(A28="","",IF(AND(A28&gt;=Inputs!$B$15,S28+N28+O28+P28+Z28&lt;=0.005),"",IF(A28&gt;=Inputs!$C$67,"",A28+1)))</f>
        <v>26</v>
      </c>
      <c r="B29" s="77">
        <f>IF(A29="","",ROUNDUP(A29/Inputs!$B$14,0))</f>
        <v>6</v>
      </c>
      <c r="C29" s="160" t="str">
        <f>IF(A29="","",IF(A29&lt;Inputs!$C$66,"Pago normal",IF(A29&gt;Inputs!$B$15,"Periodo adicional con cobranza","Pago tardío + cobranza")))</f>
        <v>Pago normal</v>
      </c>
      <c r="D29" s="149">
        <f t="shared" si="0"/>
        <v>4764001.6473494964</v>
      </c>
      <c r="E29" s="149">
        <f>IF(A29="","",D29*Inputs!$B$17)</f>
        <v>57850.682055706304</v>
      </c>
      <c r="F29" s="149">
        <f>IF(A29="","",IF(A29&lt;Inputs!$C$66,0,Q28*Inputs!$B$17+G29*(POWER(1+Inputs!$B$18,Inputs!$C$63)-1)))</f>
        <v>0</v>
      </c>
      <c r="G29" s="149">
        <f>IF(A29="","",IF(A29&lt;=Inputs!$B$15,INDEX(Caso1_Normal!$H$4:$H$89,A29),0))</f>
        <v>53164.139821062185</v>
      </c>
      <c r="H29" s="149">
        <f>IF(A29="","",IF(AND(A29&gt;=Inputs!$C$66,D29&gt;0.005),Inputs!$C$65,0))</f>
        <v>0</v>
      </c>
      <c r="I29" s="149">
        <f>IF(A29="","",MIN(Inputs!$B$20+X29,D29+N28+H29+O28+F29+P28+E29+Z28+X29))</f>
        <v>174048.99418446081</v>
      </c>
      <c r="J29" s="149">
        <f t="shared" si="1"/>
        <v>0</v>
      </c>
      <c r="K29" s="149">
        <f t="shared" si="2"/>
        <v>0</v>
      </c>
      <c r="L29" s="149">
        <f t="shared" si="3"/>
        <v>57850.682055706304</v>
      </c>
      <c r="M29" s="149">
        <f t="shared" si="11"/>
        <v>53164.139821062192</v>
      </c>
      <c r="N29" s="149">
        <f t="shared" si="4"/>
        <v>0</v>
      </c>
      <c r="O29" s="149">
        <f t="shared" si="5"/>
        <v>0</v>
      </c>
      <c r="P29" s="149">
        <f t="shared" si="6"/>
        <v>0</v>
      </c>
      <c r="Q29" s="149">
        <f t="shared" si="7"/>
        <v>0</v>
      </c>
      <c r="R29" s="149">
        <f t="shared" si="8"/>
        <v>4710837.5075284345</v>
      </c>
      <c r="S29" s="149">
        <f t="shared" si="9"/>
        <v>4710837.5075284345</v>
      </c>
      <c r="T29" s="163" t="str">
        <f t="shared" si="10"/>
        <v>Vigente al día</v>
      </c>
      <c r="U29" s="149">
        <f>IF($A29="","",IF($A29&lt;=Inputs!$B$15,Inputs!$B$28,0))</f>
        <v>48643.172307692315</v>
      </c>
      <c r="V29" s="149">
        <f>IF($A29="","",IF($A29&lt;=Inputs!$B$15,Inputs!$B$29,0))</f>
        <v>10984.615384615387</v>
      </c>
      <c r="W29" s="149">
        <f>IF($A29="","",IF($A29&lt;=Inputs!$B$15,Inputs!$B$30,0))</f>
        <v>3406.3846153846157</v>
      </c>
      <c r="X29" s="149">
        <f t="shared" si="12"/>
        <v>63034.172307692315</v>
      </c>
      <c r="Y29" s="149">
        <f t="shared" si="13"/>
        <v>63034.172307692315</v>
      </c>
      <c r="Z29" s="149">
        <f t="shared" si="14"/>
        <v>0</v>
      </c>
      <c r="AA29" s="149">
        <f>IF($B29="","",IF(OR($B30="",ROUNDUP(($A29+1)/Inputs!$B$14,0)&gt;$B29),SUMIF($B$4:$B29,$B29,U$4:U29),0))</f>
        <v>243215.86153846158</v>
      </c>
      <c r="AB29" s="149">
        <f>IF($B29="","",IF(OR($B30="",ROUNDUP(($A29+1)/Inputs!$B$14,0)&gt;$B29),SUMIF($B$4:$B29,$B29,V$4:V29),0))</f>
        <v>54923.076923076937</v>
      </c>
      <c r="AC29" s="149">
        <f>IF($B29="","",IF(OR($B30="",ROUNDUP(($A29+1)/Inputs!$B$14,0)&gt;$B29),SUMIF($B$4:$B29,$B29,W$4:W29),0))</f>
        <v>17031.923076923078</v>
      </c>
      <c r="AD29" s="18"/>
      <c r="AE29" s="179" t="s">
        <v>338</v>
      </c>
      <c r="AF29" s="18"/>
      <c r="AG29" s="18"/>
      <c r="AH29" s="18"/>
      <c r="AI29" s="18"/>
      <c r="AJ29" s="18"/>
      <c r="AK29" s="18"/>
    </row>
    <row r="30" spans="1:37" ht="18" customHeight="1">
      <c r="A30" s="157">
        <f>IF(A29="","",IF(AND(A29&gt;=Inputs!$B$15,S29+N29+O29+P29+Z29&lt;=0.005),"",IF(A29&gt;=Inputs!$C$67,"",A29+1)))</f>
        <v>27</v>
      </c>
      <c r="B30" s="77">
        <f>IF(A30="","",ROUNDUP(A30/Inputs!$B$14,0))</f>
        <v>7</v>
      </c>
      <c r="C30" s="160" t="str">
        <f>IF(A30="","",IF(A30&lt;Inputs!$C$66,"Pago normal",IF(A30&gt;Inputs!$B$15,"Periodo adicional con cobranza","Pago tardío + cobranza")))</f>
        <v>Pago normal</v>
      </c>
      <c r="D30" s="149">
        <f t="shared" si="0"/>
        <v>4710837.5075284345</v>
      </c>
      <c r="E30" s="149">
        <f>IF(A30="","",D30*Inputs!$B$17)</f>
        <v>57205.09417030654</v>
      </c>
      <c r="F30" s="149">
        <f>IF(A30="","",IF(A30&lt;Inputs!$C$66,0,Q29*Inputs!$B$17+G30*(POWER(1+Inputs!$B$18,Inputs!$C$63)-1)))</f>
        <v>0</v>
      </c>
      <c r="G30" s="149">
        <f>IF(A30="","",IF(A30&lt;=Inputs!$B$15,INDEX(Caso1_Normal!$H$4:$H$89,A30),0))</f>
        <v>53809.727706461948</v>
      </c>
      <c r="H30" s="149">
        <f>IF(A30="","",IF(AND(A30&gt;=Inputs!$C$66,D30&gt;0.005),Inputs!$C$65,0))</f>
        <v>0</v>
      </c>
      <c r="I30" s="149">
        <f>IF(A30="","",MIN(Inputs!$B$20+X30,D30+N29+H30+O29+F30+P29+E30+Z29+X30))</f>
        <v>174048.99418446081</v>
      </c>
      <c r="J30" s="149">
        <f t="shared" si="1"/>
        <v>0</v>
      </c>
      <c r="K30" s="149">
        <f t="shared" si="2"/>
        <v>0</v>
      </c>
      <c r="L30" s="149">
        <f t="shared" si="3"/>
        <v>57205.09417030654</v>
      </c>
      <c r="M30" s="149">
        <f t="shared" si="11"/>
        <v>53809.727706461948</v>
      </c>
      <c r="N30" s="149">
        <f t="shared" si="4"/>
        <v>0</v>
      </c>
      <c r="O30" s="149">
        <f t="shared" si="5"/>
        <v>0</v>
      </c>
      <c r="P30" s="149">
        <f t="shared" si="6"/>
        <v>0</v>
      </c>
      <c r="Q30" s="149">
        <f t="shared" si="7"/>
        <v>0</v>
      </c>
      <c r="R30" s="149">
        <f t="shared" si="8"/>
        <v>4657027.7798219724</v>
      </c>
      <c r="S30" s="149">
        <f t="shared" si="9"/>
        <v>4657027.7798219724</v>
      </c>
      <c r="T30" s="163" t="str">
        <f t="shared" si="10"/>
        <v>Vigente al día</v>
      </c>
      <c r="U30" s="149">
        <f>IF($A30="","",IF($A30&lt;=Inputs!$B$15,Inputs!$B$28,0))</f>
        <v>48643.172307692315</v>
      </c>
      <c r="V30" s="149">
        <f>IF($A30="","",IF($A30&lt;=Inputs!$B$15,Inputs!$B$29,0))</f>
        <v>10984.615384615387</v>
      </c>
      <c r="W30" s="149">
        <f>IF($A30="","",IF($A30&lt;=Inputs!$B$15,Inputs!$B$30,0))</f>
        <v>3406.3846153846157</v>
      </c>
      <c r="X30" s="149">
        <f t="shared" si="12"/>
        <v>63034.172307692315</v>
      </c>
      <c r="Y30" s="149">
        <f t="shared" si="13"/>
        <v>63034.172307692315</v>
      </c>
      <c r="Z30" s="149">
        <f t="shared" si="14"/>
        <v>0</v>
      </c>
      <c r="AA30" s="149">
        <f>IF($B30="","",IF(OR($B31="",ROUNDUP(($A30+1)/Inputs!$B$14,0)&gt;$B30),SUMIF($B$4:$B30,$B30,U$4:U30),0))</f>
        <v>0</v>
      </c>
      <c r="AB30" s="149">
        <f>IF($B30="","",IF(OR($B31="",ROUNDUP(($A30+1)/Inputs!$B$14,0)&gt;$B30),SUMIF($B$4:$B30,$B30,V$4:V30),0))</f>
        <v>0</v>
      </c>
      <c r="AC30" s="149">
        <f>IF($B30="","",IF(OR($B31="",ROUNDUP(($A30+1)/Inputs!$B$14,0)&gt;$B30),SUMIF($B$4:$B30,$B30,W$4:W30),0))</f>
        <v>0</v>
      </c>
      <c r="AD30" s="18"/>
      <c r="AE30" s="18"/>
      <c r="AF30" s="18"/>
      <c r="AG30" s="18"/>
      <c r="AH30" s="18"/>
      <c r="AI30" s="18"/>
      <c r="AJ30" s="18"/>
      <c r="AK30" s="18"/>
    </row>
    <row r="31" spans="1:37" ht="18" customHeight="1">
      <c r="A31" s="157">
        <f>IF(A30="","",IF(AND(A30&gt;=Inputs!$B$15,S30+N30+O30+P30+Z30&lt;=0.005),"",IF(A30&gt;=Inputs!$C$67,"",A30+1)))</f>
        <v>28</v>
      </c>
      <c r="B31" s="77">
        <f>IF(A31="","",ROUNDUP(A31/Inputs!$B$14,0))</f>
        <v>7</v>
      </c>
      <c r="C31" s="160" t="str">
        <f>IF(A31="","",IF(A31&lt;Inputs!$C$66,"Pago normal",IF(A31&gt;Inputs!$B$15,"Periodo adicional con cobranza","Pago tardío + cobranza")))</f>
        <v>Pago normal</v>
      </c>
      <c r="D31" s="149">
        <f t="shared" si="0"/>
        <v>4657027.7798219724</v>
      </c>
      <c r="E31" s="149">
        <f>IF(A31="","",D31*Inputs!$B$17)</f>
        <v>56551.666720132882</v>
      </c>
      <c r="F31" s="149">
        <f>IF(A31="","",IF(A31&lt;Inputs!$C$66,0,Q30*Inputs!$B$17+G31*(POWER(1+Inputs!$B$18,Inputs!$C$63)-1)))</f>
        <v>0</v>
      </c>
      <c r="G31" s="149">
        <f>IF(A31="","",IF(A31&lt;=Inputs!$B$15,INDEX(Caso1_Normal!$H$4:$H$89,A31),0))</f>
        <v>54463.155156635607</v>
      </c>
      <c r="H31" s="149">
        <f>IF(A31="","",IF(AND(A31&gt;=Inputs!$C$66,D31&gt;0.005),Inputs!$C$65,0))</f>
        <v>0</v>
      </c>
      <c r="I31" s="149">
        <f>IF(A31="","",MIN(Inputs!$B$20+X31,D31+N30+H31+O30+F31+P30+E31+Z30+X31))</f>
        <v>174048.99418446081</v>
      </c>
      <c r="J31" s="149">
        <f t="shared" si="1"/>
        <v>0</v>
      </c>
      <c r="K31" s="149">
        <f t="shared" si="2"/>
        <v>0</v>
      </c>
      <c r="L31" s="149">
        <f t="shared" si="3"/>
        <v>56551.666720132882</v>
      </c>
      <c r="M31" s="149">
        <f t="shared" si="11"/>
        <v>54463.155156635614</v>
      </c>
      <c r="N31" s="149">
        <f t="shared" si="4"/>
        <v>0</v>
      </c>
      <c r="O31" s="149">
        <f t="shared" si="5"/>
        <v>0</v>
      </c>
      <c r="P31" s="149">
        <f t="shared" si="6"/>
        <v>0</v>
      </c>
      <c r="Q31" s="149">
        <f t="shared" si="7"/>
        <v>0</v>
      </c>
      <c r="R31" s="149">
        <f t="shared" si="8"/>
        <v>4602564.6246653367</v>
      </c>
      <c r="S31" s="149">
        <f t="shared" si="9"/>
        <v>4602564.6246653367</v>
      </c>
      <c r="T31" s="163" t="str">
        <f t="shared" si="10"/>
        <v>Vigente al día</v>
      </c>
      <c r="U31" s="149">
        <f>IF($A31="","",IF($A31&lt;=Inputs!$B$15,Inputs!$B$28,0))</f>
        <v>48643.172307692315</v>
      </c>
      <c r="V31" s="149">
        <f>IF($A31="","",IF($A31&lt;=Inputs!$B$15,Inputs!$B$29,0))</f>
        <v>10984.615384615387</v>
      </c>
      <c r="W31" s="149">
        <f>IF($A31="","",IF($A31&lt;=Inputs!$B$15,Inputs!$B$30,0))</f>
        <v>3406.3846153846157</v>
      </c>
      <c r="X31" s="149">
        <f t="shared" si="12"/>
        <v>63034.172307692315</v>
      </c>
      <c r="Y31" s="149">
        <f t="shared" si="13"/>
        <v>63034.172307692315</v>
      </c>
      <c r="Z31" s="149">
        <f t="shared" si="14"/>
        <v>0</v>
      </c>
      <c r="AA31" s="149">
        <f>IF($B31="","",IF(OR($B32="",ROUNDUP(($A31+1)/Inputs!$B$14,0)&gt;$B31),SUMIF($B$4:$B31,$B31,U$4:U31),0))</f>
        <v>0</v>
      </c>
      <c r="AB31" s="149">
        <f>IF($B31="","",IF(OR($B32="",ROUNDUP(($A31+1)/Inputs!$B$14,0)&gt;$B31),SUMIF($B$4:$B31,$B31,V$4:V31),0))</f>
        <v>0</v>
      </c>
      <c r="AC31" s="149">
        <f>IF($B31="","",IF(OR($B32="",ROUNDUP(($A31+1)/Inputs!$B$14,0)&gt;$B31),SUMIF($B$4:$B31,$B31,W$4:W31),0))</f>
        <v>0</v>
      </c>
      <c r="AD31" s="18"/>
      <c r="AE31" s="18"/>
      <c r="AF31" s="18"/>
      <c r="AG31" s="18"/>
      <c r="AH31" s="18"/>
      <c r="AI31" s="18"/>
      <c r="AJ31" s="18"/>
      <c r="AK31" s="18"/>
    </row>
    <row r="32" spans="1:37" ht="18" customHeight="1">
      <c r="A32" s="157">
        <f>IF(A31="","",IF(AND(A31&gt;=Inputs!$B$15,S31+N31+O31+P31+Z31&lt;=0.005),"",IF(A31&gt;=Inputs!$C$67,"",A31+1)))</f>
        <v>29</v>
      </c>
      <c r="B32" s="77">
        <f>IF(A32="","",ROUNDUP(A32/Inputs!$B$14,0))</f>
        <v>7</v>
      </c>
      <c r="C32" s="160" t="str">
        <f>IF(A32="","",IF(A32&lt;Inputs!$C$66,"Pago normal",IF(A32&gt;Inputs!$B$15,"Periodo adicional con cobranza","Pago tardío + cobranza")))</f>
        <v>Pago normal</v>
      </c>
      <c r="D32" s="149">
        <f t="shared" si="0"/>
        <v>4602564.6246653367</v>
      </c>
      <c r="E32" s="149">
        <f>IF(A32="","",D32*Inputs!$B$17)</f>
        <v>55890.304507029941</v>
      </c>
      <c r="F32" s="149">
        <f>IF(A32="","",IF(A32&lt;Inputs!$C$66,0,Q31*Inputs!$B$17+G32*(POWER(1+Inputs!$B$18,Inputs!$C$63)-1)))</f>
        <v>0</v>
      </c>
      <c r="G32" s="149">
        <f>IF(A32="","",IF(A32&lt;=Inputs!$B$15,INDEX(Caso1_Normal!$H$4:$H$89,A32),0))</f>
        <v>55124.517369738547</v>
      </c>
      <c r="H32" s="149">
        <f>IF(A32="","",IF(AND(A32&gt;=Inputs!$C$66,D32&gt;0.005),Inputs!$C$65,0))</f>
        <v>0</v>
      </c>
      <c r="I32" s="149">
        <f>IF(A32="","",MIN(Inputs!$B$20+X32,D32+N31+H32+O31+F32+P31+E32+Z31+X32))</f>
        <v>174048.99418446081</v>
      </c>
      <c r="J32" s="149">
        <f t="shared" si="1"/>
        <v>0</v>
      </c>
      <c r="K32" s="149">
        <f t="shared" si="2"/>
        <v>0</v>
      </c>
      <c r="L32" s="149">
        <f t="shared" si="3"/>
        <v>55890.304507029941</v>
      </c>
      <c r="M32" s="149">
        <f t="shared" si="11"/>
        <v>55124.517369738554</v>
      </c>
      <c r="N32" s="149">
        <f t="shared" si="4"/>
        <v>0</v>
      </c>
      <c r="O32" s="149">
        <f t="shared" si="5"/>
        <v>0</v>
      </c>
      <c r="P32" s="149">
        <f t="shared" si="6"/>
        <v>0</v>
      </c>
      <c r="Q32" s="149">
        <f t="shared" si="7"/>
        <v>0</v>
      </c>
      <c r="R32" s="149">
        <f t="shared" si="8"/>
        <v>4547440.1072955979</v>
      </c>
      <c r="S32" s="149">
        <f t="shared" si="9"/>
        <v>4547440.1072955979</v>
      </c>
      <c r="T32" s="163" t="str">
        <f t="shared" si="10"/>
        <v>Vigente al día</v>
      </c>
      <c r="U32" s="149">
        <f>IF($A32="","",IF($A32&lt;=Inputs!$B$15,Inputs!$B$28,0))</f>
        <v>48643.172307692315</v>
      </c>
      <c r="V32" s="149">
        <f>IF($A32="","",IF($A32&lt;=Inputs!$B$15,Inputs!$B$29,0))</f>
        <v>10984.615384615387</v>
      </c>
      <c r="W32" s="149">
        <f>IF($A32="","",IF($A32&lt;=Inputs!$B$15,Inputs!$B$30,0))</f>
        <v>3406.3846153846157</v>
      </c>
      <c r="X32" s="149">
        <f t="shared" si="12"/>
        <v>63034.172307692315</v>
      </c>
      <c r="Y32" s="149">
        <f t="shared" si="13"/>
        <v>63034.172307692315</v>
      </c>
      <c r="Z32" s="149">
        <f t="shared" si="14"/>
        <v>0</v>
      </c>
      <c r="AA32" s="149">
        <f>IF($B32="","",IF(OR($B33="",ROUNDUP(($A32+1)/Inputs!$B$14,0)&gt;$B32),SUMIF($B$4:$B32,$B32,U$4:U32),0))</f>
        <v>0</v>
      </c>
      <c r="AB32" s="149">
        <f>IF($B32="","",IF(OR($B33="",ROUNDUP(($A32+1)/Inputs!$B$14,0)&gt;$B32),SUMIF($B$4:$B32,$B32,V$4:V32),0))</f>
        <v>0</v>
      </c>
      <c r="AC32" s="149">
        <f>IF($B32="","",IF(OR($B33="",ROUNDUP(($A32+1)/Inputs!$B$14,0)&gt;$B32),SUMIF($B$4:$B32,$B32,W$4:W32),0))</f>
        <v>0</v>
      </c>
      <c r="AD32" s="18"/>
      <c r="AE32" s="18"/>
      <c r="AF32" s="18"/>
      <c r="AG32" s="18"/>
      <c r="AH32" s="18"/>
      <c r="AI32" s="18"/>
      <c r="AJ32" s="18"/>
      <c r="AK32" s="18"/>
    </row>
    <row r="33" spans="1:37" ht="18" customHeight="1">
      <c r="A33" s="157">
        <f>IF(A32="","",IF(AND(A32&gt;=Inputs!$B$15,S32+N32+O32+P32+Z32&lt;=0.005),"",IF(A32&gt;=Inputs!$C$67,"",A32+1)))</f>
        <v>30</v>
      </c>
      <c r="B33" s="77">
        <f>IF(A33="","",ROUNDUP(A33/Inputs!$B$14,0))</f>
        <v>7</v>
      </c>
      <c r="C33" s="160" t="str">
        <f>IF(A33="","",IF(A33&lt;Inputs!$C$66,"Pago normal",IF(A33&gt;Inputs!$B$15,"Periodo adicional con cobranza","Pago tardío + cobranza")))</f>
        <v>Pago normal</v>
      </c>
      <c r="D33" s="149">
        <f t="shared" si="0"/>
        <v>4547440.1072955979</v>
      </c>
      <c r="E33" s="149">
        <f>IF(A33="","",D33*Inputs!$B$17)</f>
        <v>55220.91117682292</v>
      </c>
      <c r="F33" s="149">
        <f>IF(A33="","",IF(A33&lt;Inputs!$C$66,0,Q32*Inputs!$B$17+G33*(POWER(1+Inputs!$B$18,Inputs!$C$63)-1)))</f>
        <v>0</v>
      </c>
      <c r="G33" s="149">
        <f>IF(A33="","",IF(A33&lt;=Inputs!$B$15,INDEX(Caso1_Normal!$H$4:$H$89,A33),0))</f>
        <v>55793.910699945569</v>
      </c>
      <c r="H33" s="149">
        <f>IF(A33="","",IF(AND(A33&gt;=Inputs!$C$66,D33&gt;0.005),Inputs!$C$65,0))</f>
        <v>0</v>
      </c>
      <c r="I33" s="149">
        <f>IF(A33="","",MIN(Inputs!$B$20+X33,D33+N32+H33+O32+F33+P32+E33+Z32+X33))</f>
        <v>174048.99418446081</v>
      </c>
      <c r="J33" s="149">
        <f t="shared" si="1"/>
        <v>0</v>
      </c>
      <c r="K33" s="149">
        <f t="shared" si="2"/>
        <v>0</v>
      </c>
      <c r="L33" s="149">
        <f t="shared" si="3"/>
        <v>55220.91117682292</v>
      </c>
      <c r="M33" s="149">
        <f t="shared" si="11"/>
        <v>55793.910699945576</v>
      </c>
      <c r="N33" s="149">
        <f t="shared" si="4"/>
        <v>0</v>
      </c>
      <c r="O33" s="149">
        <f t="shared" si="5"/>
        <v>0</v>
      </c>
      <c r="P33" s="149">
        <f t="shared" si="6"/>
        <v>0</v>
      </c>
      <c r="Q33" s="149">
        <f t="shared" si="7"/>
        <v>0</v>
      </c>
      <c r="R33" s="149">
        <f t="shared" si="8"/>
        <v>4491646.196595652</v>
      </c>
      <c r="S33" s="149">
        <f t="shared" si="9"/>
        <v>4491646.196595652</v>
      </c>
      <c r="T33" s="163" t="str">
        <f t="shared" si="10"/>
        <v>Vigente al día</v>
      </c>
      <c r="U33" s="149">
        <f>IF($A33="","",IF($A33&lt;=Inputs!$B$15,Inputs!$B$28,0))</f>
        <v>48643.172307692315</v>
      </c>
      <c r="V33" s="149">
        <f>IF($A33="","",IF($A33&lt;=Inputs!$B$15,Inputs!$B$29,0))</f>
        <v>10984.615384615387</v>
      </c>
      <c r="W33" s="149">
        <f>IF($A33="","",IF($A33&lt;=Inputs!$B$15,Inputs!$B$30,0))</f>
        <v>3406.3846153846157</v>
      </c>
      <c r="X33" s="149">
        <f t="shared" si="12"/>
        <v>63034.172307692315</v>
      </c>
      <c r="Y33" s="149">
        <f t="shared" si="13"/>
        <v>63034.172307692315</v>
      </c>
      <c r="Z33" s="149">
        <f t="shared" si="14"/>
        <v>0</v>
      </c>
      <c r="AA33" s="149">
        <f>IF($B33="","",IF(OR($B34="",ROUNDUP(($A33+1)/Inputs!$B$14,0)&gt;$B33),SUMIF($B$4:$B33,$B33,U$4:U33),0))</f>
        <v>194572.68923076926</v>
      </c>
      <c r="AB33" s="149">
        <f>IF($B33="","",IF(OR($B34="",ROUNDUP(($A33+1)/Inputs!$B$14,0)&gt;$B33),SUMIF($B$4:$B33,$B33,V$4:V33),0))</f>
        <v>43938.461538461546</v>
      </c>
      <c r="AC33" s="149">
        <f>IF($B33="","",IF(OR($B34="",ROUNDUP(($A33+1)/Inputs!$B$14,0)&gt;$B33),SUMIF($B$4:$B33,$B33,W$4:W33),0))</f>
        <v>13625.538461538463</v>
      </c>
      <c r="AD33" s="18"/>
      <c r="AE33" s="18"/>
      <c r="AF33" s="18"/>
      <c r="AG33" s="18"/>
      <c r="AH33" s="18"/>
      <c r="AI33" s="18"/>
      <c r="AJ33" s="18"/>
      <c r="AK33" s="18"/>
    </row>
    <row r="34" spans="1:37" ht="18" customHeight="1">
      <c r="A34" s="157">
        <f>IF(A33="","",IF(AND(A33&gt;=Inputs!$B$15,S33+N33+O33+P33+Z33&lt;=0.005),"",IF(A33&gt;=Inputs!$C$67,"",A33+1)))</f>
        <v>31</v>
      </c>
      <c r="B34" s="77">
        <f>IF(A34="","",ROUNDUP(A34/Inputs!$B$14,0))</f>
        <v>8</v>
      </c>
      <c r="C34" s="160" t="str">
        <f>IF(A34="","",IF(A34&lt;Inputs!$C$66,"Pago normal",IF(A34&gt;Inputs!$B$15,"Periodo adicional con cobranza","Pago tardío + cobranza")))</f>
        <v>Pago normal</v>
      </c>
      <c r="D34" s="149">
        <f t="shared" si="0"/>
        <v>4491646.196595652</v>
      </c>
      <c r="E34" s="149">
        <f>IF(A34="","",D34*Inputs!$B$17)</f>
        <v>54543.389205279767</v>
      </c>
      <c r="F34" s="149">
        <f>IF(A34="","",IF(A34&lt;Inputs!$C$66,0,Q33*Inputs!$B$17+G34*(POWER(1+Inputs!$B$18,Inputs!$C$63)-1)))</f>
        <v>0</v>
      </c>
      <c r="G34" s="149">
        <f>IF(A34="","",IF(A34&lt;=Inputs!$B$15,INDEX(Caso1_Normal!$H$4:$H$89,A34),0))</f>
        <v>56471.432671488721</v>
      </c>
      <c r="H34" s="149">
        <f>IF(A34="","",IF(AND(A34&gt;=Inputs!$C$66,D34&gt;0.005),Inputs!$C$65,0))</f>
        <v>0</v>
      </c>
      <c r="I34" s="149">
        <f>IF(A34="","",MIN(Inputs!$B$20+X34,D34+N33+H34+O33+F34+P33+E34+Z33+X34))</f>
        <v>174048.99418446081</v>
      </c>
      <c r="J34" s="149">
        <f t="shared" si="1"/>
        <v>0</v>
      </c>
      <c r="K34" s="149">
        <f t="shared" si="2"/>
        <v>0</v>
      </c>
      <c r="L34" s="149">
        <f t="shared" si="3"/>
        <v>54543.389205279767</v>
      </c>
      <c r="M34" s="149">
        <f t="shared" si="11"/>
        <v>56471.432671488736</v>
      </c>
      <c r="N34" s="149">
        <f t="shared" si="4"/>
        <v>0</v>
      </c>
      <c r="O34" s="149">
        <f t="shared" si="5"/>
        <v>0</v>
      </c>
      <c r="P34" s="149">
        <f t="shared" si="6"/>
        <v>0</v>
      </c>
      <c r="Q34" s="149">
        <f t="shared" si="7"/>
        <v>0</v>
      </c>
      <c r="R34" s="149">
        <f t="shared" si="8"/>
        <v>4435174.7639241628</v>
      </c>
      <c r="S34" s="149">
        <f t="shared" si="9"/>
        <v>4435174.7639241628</v>
      </c>
      <c r="T34" s="163" t="str">
        <f t="shared" si="10"/>
        <v>Vigente al día</v>
      </c>
      <c r="U34" s="149">
        <f>IF($A34="","",IF($A34&lt;=Inputs!$B$15,Inputs!$B$28,0))</f>
        <v>48643.172307692315</v>
      </c>
      <c r="V34" s="149">
        <f>IF($A34="","",IF($A34&lt;=Inputs!$B$15,Inputs!$B$29,0))</f>
        <v>10984.615384615387</v>
      </c>
      <c r="W34" s="149">
        <f>IF($A34="","",IF($A34&lt;=Inputs!$B$15,Inputs!$B$30,0))</f>
        <v>3406.3846153846157</v>
      </c>
      <c r="X34" s="149">
        <f t="shared" si="12"/>
        <v>63034.172307692315</v>
      </c>
      <c r="Y34" s="149">
        <f t="shared" si="13"/>
        <v>63034.172307692315</v>
      </c>
      <c r="Z34" s="149">
        <f t="shared" si="14"/>
        <v>0</v>
      </c>
      <c r="AA34" s="149">
        <f>IF($B34="","",IF(OR($B35="",ROUNDUP(($A34+1)/Inputs!$B$14,0)&gt;$B34),SUMIF($B$4:$B34,$B34,U$4:U34),0))</f>
        <v>0</v>
      </c>
      <c r="AB34" s="149">
        <f>IF($B34="","",IF(OR($B35="",ROUNDUP(($A34+1)/Inputs!$B$14,0)&gt;$B34),SUMIF($B$4:$B34,$B34,V$4:V34),0))</f>
        <v>0</v>
      </c>
      <c r="AC34" s="149">
        <f>IF($B34="","",IF(OR($B35="",ROUNDUP(($A34+1)/Inputs!$B$14,0)&gt;$B34),SUMIF($B$4:$B34,$B34,W$4:W34),0))</f>
        <v>0</v>
      </c>
      <c r="AD34" s="18"/>
      <c r="AE34" s="18"/>
      <c r="AF34" s="18"/>
      <c r="AG34" s="18"/>
      <c r="AH34" s="18"/>
      <c r="AI34" s="18"/>
      <c r="AJ34" s="18"/>
      <c r="AK34" s="18"/>
    </row>
    <row r="35" spans="1:37" ht="18" customHeight="1">
      <c r="A35" s="157">
        <f>IF(A34="","",IF(AND(A34&gt;=Inputs!$B$15,S34+N34+O34+P34+Z34&lt;=0.005),"",IF(A34&gt;=Inputs!$C$67,"",A34+1)))</f>
        <v>32</v>
      </c>
      <c r="B35" s="77">
        <f>IF(A35="","",ROUNDUP(A35/Inputs!$B$14,0))</f>
        <v>8</v>
      </c>
      <c r="C35" s="160" t="str">
        <f>IF(A35="","",IF(A35&lt;Inputs!$C$66,"Pago normal",IF(A35&gt;Inputs!$B$15,"Periodo adicional con cobranza","Pago tardío + cobranza")))</f>
        <v>Pago normal</v>
      </c>
      <c r="D35" s="149">
        <f t="shared" si="0"/>
        <v>4435174.7639241628</v>
      </c>
      <c r="E35" s="149">
        <f>IF(A35="","",D35*Inputs!$B$17)</f>
        <v>53857.639883902826</v>
      </c>
      <c r="F35" s="149">
        <f>IF(A35="","",IF(A35&lt;Inputs!$C$66,0,Q34*Inputs!$B$17+G35*(POWER(1+Inputs!$B$18,Inputs!$C$63)-1)))</f>
        <v>0</v>
      </c>
      <c r="G35" s="149">
        <f>IF(A35="","",IF(A35&lt;=Inputs!$B$15,INDEX(Caso1_Normal!$H$4:$H$89,A35),0))</f>
        <v>57157.181992865648</v>
      </c>
      <c r="H35" s="149">
        <f>IF(A35="","",IF(AND(A35&gt;=Inputs!$C$66,D35&gt;0.005),Inputs!$C$65,0))</f>
        <v>0</v>
      </c>
      <c r="I35" s="149">
        <f>IF(A35="","",MIN(Inputs!$B$20+X35,D35+N34+H35+O34+F35+P34+E35+Z34+X35))</f>
        <v>174048.99418446081</v>
      </c>
      <c r="J35" s="149">
        <f t="shared" si="1"/>
        <v>0</v>
      </c>
      <c r="K35" s="149">
        <f t="shared" si="2"/>
        <v>0</v>
      </c>
      <c r="L35" s="149">
        <f t="shared" si="3"/>
        <v>53857.639883902826</v>
      </c>
      <c r="M35" s="149">
        <f t="shared" si="11"/>
        <v>57157.18199286567</v>
      </c>
      <c r="N35" s="149">
        <f t="shared" si="4"/>
        <v>0</v>
      </c>
      <c r="O35" s="149">
        <f t="shared" si="5"/>
        <v>0</v>
      </c>
      <c r="P35" s="149">
        <f t="shared" si="6"/>
        <v>0</v>
      </c>
      <c r="Q35" s="149">
        <f t="shared" si="7"/>
        <v>0</v>
      </c>
      <c r="R35" s="149">
        <f t="shared" si="8"/>
        <v>4378017.5819312967</v>
      </c>
      <c r="S35" s="149">
        <f t="shared" si="9"/>
        <v>4378017.5819312967</v>
      </c>
      <c r="T35" s="163" t="str">
        <f t="shared" si="10"/>
        <v>Vigente al día</v>
      </c>
      <c r="U35" s="149">
        <f>IF($A35="","",IF($A35&lt;=Inputs!$B$15,Inputs!$B$28,0))</f>
        <v>48643.172307692315</v>
      </c>
      <c r="V35" s="149">
        <f>IF($A35="","",IF($A35&lt;=Inputs!$B$15,Inputs!$B$29,0))</f>
        <v>10984.615384615387</v>
      </c>
      <c r="W35" s="149">
        <f>IF($A35="","",IF($A35&lt;=Inputs!$B$15,Inputs!$B$30,0))</f>
        <v>3406.3846153846157</v>
      </c>
      <c r="X35" s="149">
        <f t="shared" si="12"/>
        <v>63034.172307692315</v>
      </c>
      <c r="Y35" s="149">
        <f t="shared" si="13"/>
        <v>63034.172307692315</v>
      </c>
      <c r="Z35" s="149">
        <f t="shared" si="14"/>
        <v>0</v>
      </c>
      <c r="AA35" s="149">
        <f>IF($B35="","",IF(OR($B36="",ROUNDUP(($A35+1)/Inputs!$B$14,0)&gt;$B35),SUMIF($B$4:$B35,$B35,U$4:U35),0))</f>
        <v>0</v>
      </c>
      <c r="AB35" s="149">
        <f>IF($B35="","",IF(OR($B36="",ROUNDUP(($A35+1)/Inputs!$B$14,0)&gt;$B35),SUMIF($B$4:$B35,$B35,V$4:V35),0))</f>
        <v>0</v>
      </c>
      <c r="AC35" s="149">
        <f>IF($B35="","",IF(OR($B36="",ROUNDUP(($A35+1)/Inputs!$B$14,0)&gt;$B35),SUMIF($B$4:$B35,$B35,W$4:W35),0))</f>
        <v>0</v>
      </c>
      <c r="AD35" s="18"/>
      <c r="AE35" s="18"/>
      <c r="AF35" s="18"/>
      <c r="AG35" s="18"/>
      <c r="AH35" s="18"/>
      <c r="AI35" s="18"/>
      <c r="AJ35" s="18"/>
      <c r="AK35" s="18"/>
    </row>
    <row r="36" spans="1:37" ht="18" customHeight="1">
      <c r="A36" s="157">
        <f>IF(A35="","",IF(AND(A35&gt;=Inputs!$B$15,S35+N35+O35+P35+Z35&lt;=0.005),"",IF(A35&gt;=Inputs!$C$67,"",A35+1)))</f>
        <v>33</v>
      </c>
      <c r="B36" s="77">
        <f>IF(A36="","",ROUNDUP(A36/Inputs!$B$14,0))</f>
        <v>8</v>
      </c>
      <c r="C36" s="160" t="str">
        <f>IF(A36="","",IF(A36&lt;Inputs!$C$66,"Pago normal",IF(A36&gt;Inputs!$B$15,"Periodo adicional con cobranza","Pago tardío + cobranza")))</f>
        <v>Pago normal</v>
      </c>
      <c r="D36" s="149">
        <f t="shared" ref="D36:D67" si="15">IF(A36="","",S35)</f>
        <v>4378017.5819312967</v>
      </c>
      <c r="E36" s="149">
        <f>IF(A36="","",D36*Inputs!$B$17)</f>
        <v>53163.563305547927</v>
      </c>
      <c r="F36" s="149">
        <f>IF(A36="","",IF(A36&lt;Inputs!$C$66,0,Q35*Inputs!$B$17+G36*(POWER(1+Inputs!$B$18,Inputs!$C$63)-1)))</f>
        <v>0</v>
      </c>
      <c r="G36" s="149">
        <f>IF(A36="","",IF(A36&lt;=Inputs!$B$15,INDEX(Caso1_Normal!$H$4:$H$89,A36),0))</f>
        <v>57851.258571220547</v>
      </c>
      <c r="H36" s="149">
        <f>IF(A36="","",IF(AND(A36&gt;=Inputs!$C$66,D36&gt;0.005),Inputs!$C$65,0))</f>
        <v>0</v>
      </c>
      <c r="I36" s="149">
        <f>IF(A36="","",MIN(Inputs!$B$20+X36,D36+N35+H36+O35+F36+P35+E36+Z35+X36))</f>
        <v>174048.99418446081</v>
      </c>
      <c r="J36" s="149">
        <f t="shared" ref="J36:J67" si="16">IF(A36="","",MIN(I36,N35+H36))</f>
        <v>0</v>
      </c>
      <c r="K36" s="149">
        <f t="shared" ref="K36:K67" si="17">IF(A36="","",MIN(MAX(0,I36-J36),O35+F36))</f>
        <v>0</v>
      </c>
      <c r="L36" s="149">
        <f t="shared" ref="L36:L67" si="18">IF(A36="","",MIN(MAX(0,I36-J36-K36),P35+E36))</f>
        <v>53163.563305547927</v>
      </c>
      <c r="M36" s="149">
        <f t="shared" si="11"/>
        <v>57851.258571220569</v>
      </c>
      <c r="N36" s="149">
        <f t="shared" ref="N36:N67" si="19">IF(A36="","",MAX(0,N35+H36-J36))</f>
        <v>0</v>
      </c>
      <c r="O36" s="149">
        <f t="shared" ref="O36:O67" si="20">IF(A36="","",MAX(0,O35+F36-K36))</f>
        <v>0</v>
      </c>
      <c r="P36" s="149">
        <f t="shared" ref="P36:P67" si="21">IF(A36="","",MAX(0,P35+E36-L36))</f>
        <v>0</v>
      </c>
      <c r="Q36" s="149">
        <f t="shared" ref="Q36:Q67" si="22">IF(A36="","",MAX(0,Q35+G36-M36))</f>
        <v>0</v>
      </c>
      <c r="R36" s="149">
        <f t="shared" ref="R36:R67" si="23">IF(A36="","",MAX(0,S36-Q36))</f>
        <v>4320166.3233600762</v>
      </c>
      <c r="S36" s="149">
        <f t="shared" ref="S36:S67" si="24">IF(A36="","",MAX(0,D36-M36))</f>
        <v>4320166.3233600762</v>
      </c>
      <c r="T36" s="163" t="str">
        <f t="shared" ref="T36:T67" si="25">IF(A36="","",IF(S36+N36+O36+P36+Z36&lt;=0.005,"Cancelado",IF(Q36+N36+O36+P36+Z36&gt;0,"En mora","Vigente al día")))</f>
        <v>Vigente al día</v>
      </c>
      <c r="U36" s="149">
        <f>IF($A36="","",IF($A36&lt;=Inputs!$B$15,Inputs!$B$28,0))</f>
        <v>48643.172307692315</v>
      </c>
      <c r="V36" s="149">
        <f>IF($A36="","",IF($A36&lt;=Inputs!$B$15,Inputs!$B$29,0))</f>
        <v>10984.615384615387</v>
      </c>
      <c r="W36" s="149">
        <f>IF($A36="","",IF($A36&lt;=Inputs!$B$15,Inputs!$B$30,0))</f>
        <v>3406.3846153846157</v>
      </c>
      <c r="X36" s="149">
        <f t="shared" si="12"/>
        <v>63034.172307692315</v>
      </c>
      <c r="Y36" s="149">
        <f t="shared" si="13"/>
        <v>63034.172307692315</v>
      </c>
      <c r="Z36" s="149">
        <f t="shared" si="14"/>
        <v>0</v>
      </c>
      <c r="AA36" s="149">
        <f>IF($B36="","",IF(OR($B37="",ROUNDUP(($A36+1)/Inputs!$B$14,0)&gt;$B36),SUMIF($B$4:$B36,$B36,U$4:U36),0))</f>
        <v>0</v>
      </c>
      <c r="AB36" s="149">
        <f>IF($B36="","",IF(OR($B37="",ROUNDUP(($A36+1)/Inputs!$B$14,0)&gt;$B36),SUMIF($B$4:$B36,$B36,V$4:V36),0))</f>
        <v>0</v>
      </c>
      <c r="AC36" s="149">
        <f>IF($B36="","",IF(OR($B37="",ROUNDUP(($A36+1)/Inputs!$B$14,0)&gt;$B36),SUMIF($B$4:$B36,$B36,W$4:W36),0))</f>
        <v>0</v>
      </c>
      <c r="AD36" s="18"/>
      <c r="AE36" s="18"/>
      <c r="AF36" s="18"/>
      <c r="AG36" s="18"/>
      <c r="AH36" s="18"/>
      <c r="AI36" s="18"/>
      <c r="AJ36" s="18"/>
      <c r="AK36" s="18"/>
    </row>
    <row r="37" spans="1:37" ht="18" customHeight="1">
      <c r="A37" s="157">
        <f>IF(A36="","",IF(AND(A36&gt;=Inputs!$B$15,S36+N36+O36+P36+Z36&lt;=0.005),"",IF(A36&gt;=Inputs!$C$67,"",A36+1)))</f>
        <v>34</v>
      </c>
      <c r="B37" s="77">
        <f>IF(A37="","",ROUNDUP(A37/Inputs!$B$14,0))</f>
        <v>8</v>
      </c>
      <c r="C37" s="160" t="str">
        <f>IF(A37="","",IF(A37&lt;Inputs!$C$66,"Pago normal",IF(A37&gt;Inputs!$B$15,"Periodo adicional con cobranza","Pago tardío + cobranza")))</f>
        <v>Pago normal</v>
      </c>
      <c r="D37" s="149">
        <f t="shared" si="15"/>
        <v>4320166.3233600762</v>
      </c>
      <c r="E37" s="149">
        <f>IF(A37="","",D37*Inputs!$B$17)</f>
        <v>52461.058349868887</v>
      </c>
      <c r="F37" s="149">
        <f>IF(A37="","",IF(A37&lt;Inputs!$C$66,0,Q36*Inputs!$B$17+G37*(POWER(1+Inputs!$B$18,Inputs!$C$63)-1)))</f>
        <v>0</v>
      </c>
      <c r="G37" s="149">
        <f>IF(A37="","",IF(A37&lt;=Inputs!$B$15,INDEX(Caso1_Normal!$H$4:$H$89,A37),0))</f>
        <v>58553.763526899587</v>
      </c>
      <c r="H37" s="149">
        <f>IF(A37="","",IF(AND(A37&gt;=Inputs!$C$66,D37&gt;0.005),Inputs!$C$65,0))</f>
        <v>0</v>
      </c>
      <c r="I37" s="149">
        <f>IF(A37="","",MIN(Inputs!$B$20+X37,D37+N36+H37+O36+F37+P36+E37+Z36+X37))</f>
        <v>174048.99418446081</v>
      </c>
      <c r="J37" s="149">
        <f t="shared" si="16"/>
        <v>0</v>
      </c>
      <c r="K37" s="149">
        <f t="shared" si="17"/>
        <v>0</v>
      </c>
      <c r="L37" s="149">
        <f t="shared" si="18"/>
        <v>52461.058349868887</v>
      </c>
      <c r="M37" s="149">
        <f t="shared" si="11"/>
        <v>58553.763526899602</v>
      </c>
      <c r="N37" s="149">
        <f t="shared" si="19"/>
        <v>0</v>
      </c>
      <c r="O37" s="149">
        <f t="shared" si="20"/>
        <v>0</v>
      </c>
      <c r="P37" s="149">
        <f t="shared" si="21"/>
        <v>0</v>
      </c>
      <c r="Q37" s="149">
        <f t="shared" si="22"/>
        <v>0</v>
      </c>
      <c r="R37" s="149">
        <f t="shared" si="23"/>
        <v>4261612.5598331764</v>
      </c>
      <c r="S37" s="149">
        <f t="shared" si="24"/>
        <v>4261612.5598331764</v>
      </c>
      <c r="T37" s="163" t="str">
        <f t="shared" si="25"/>
        <v>Vigente al día</v>
      </c>
      <c r="U37" s="149">
        <f>IF($A37="","",IF($A37&lt;=Inputs!$B$15,Inputs!$B$28,0))</f>
        <v>48643.172307692315</v>
      </c>
      <c r="V37" s="149">
        <f>IF($A37="","",IF($A37&lt;=Inputs!$B$15,Inputs!$B$29,0))</f>
        <v>10984.615384615387</v>
      </c>
      <c r="W37" s="149">
        <f>IF($A37="","",IF($A37&lt;=Inputs!$B$15,Inputs!$B$30,0))</f>
        <v>3406.3846153846157</v>
      </c>
      <c r="X37" s="149">
        <f t="shared" si="12"/>
        <v>63034.172307692315</v>
      </c>
      <c r="Y37" s="149">
        <f t="shared" si="13"/>
        <v>63034.172307692315</v>
      </c>
      <c r="Z37" s="149">
        <f t="shared" si="14"/>
        <v>0</v>
      </c>
      <c r="AA37" s="149">
        <f>IF($B37="","",IF(OR($B38="",ROUNDUP(($A37+1)/Inputs!$B$14,0)&gt;$B37),SUMIF($B$4:$B37,$B37,U$4:U37),0))</f>
        <v>194572.68923076926</v>
      </c>
      <c r="AB37" s="149">
        <f>IF($B37="","",IF(OR($B38="",ROUNDUP(($A37+1)/Inputs!$B$14,0)&gt;$B37),SUMIF($B$4:$B37,$B37,V$4:V37),0))</f>
        <v>43938.461538461546</v>
      </c>
      <c r="AC37" s="149">
        <f>IF($B37="","",IF(OR($B38="",ROUNDUP(($A37+1)/Inputs!$B$14,0)&gt;$B37),SUMIF($B$4:$B37,$B37,W$4:W37),0))</f>
        <v>13625.538461538463</v>
      </c>
      <c r="AD37" s="18"/>
      <c r="AE37" s="18"/>
      <c r="AF37" s="18"/>
      <c r="AG37" s="18"/>
      <c r="AH37" s="18"/>
      <c r="AI37" s="18"/>
      <c r="AJ37" s="18"/>
      <c r="AK37" s="18"/>
    </row>
    <row r="38" spans="1:37" ht="18" customHeight="1">
      <c r="A38" s="157">
        <f>IF(A37="","",IF(AND(A37&gt;=Inputs!$B$15,S37+N37+O37+P37+Z37&lt;=0.005),"",IF(A37&gt;=Inputs!$C$67,"",A37+1)))</f>
        <v>35</v>
      </c>
      <c r="B38" s="77">
        <f>IF(A38="","",ROUNDUP(A38/Inputs!$B$14,0))</f>
        <v>9</v>
      </c>
      <c r="C38" s="160" t="str">
        <f>IF(A38="","",IF(A38&lt;Inputs!$C$66,"Pago normal",IF(A38&gt;Inputs!$B$15,"Periodo adicional con cobranza","Pago tardío + cobranza")))</f>
        <v>Pago normal</v>
      </c>
      <c r="D38" s="149">
        <f t="shared" si="15"/>
        <v>4261612.5598331764</v>
      </c>
      <c r="E38" s="149">
        <f>IF(A38="","",D38*Inputs!$B$17)</f>
        <v>51750.022668585218</v>
      </c>
      <c r="F38" s="149">
        <f>IF(A38="","",IF(A38&lt;Inputs!$C$66,0,Q37*Inputs!$B$17+G38*(POWER(1+Inputs!$B$18,Inputs!$C$63)-1)))</f>
        <v>0</v>
      </c>
      <c r="G38" s="149">
        <f>IF(A38="","",IF(A38&lt;=Inputs!$B$15,INDEX(Caso1_Normal!$H$4:$H$89,A38),0))</f>
        <v>59264.799208183264</v>
      </c>
      <c r="H38" s="149">
        <f>IF(A38="","",IF(AND(A38&gt;=Inputs!$C$66,D38&gt;0.005),Inputs!$C$65,0))</f>
        <v>0</v>
      </c>
      <c r="I38" s="149">
        <f>IF(A38="","",MIN(Inputs!$B$20+X38,D38+N37+H38+O37+F38+P37+E38+Z37+X38))</f>
        <v>174048.99418446081</v>
      </c>
      <c r="J38" s="149">
        <f t="shared" si="16"/>
        <v>0</v>
      </c>
      <c r="K38" s="149">
        <f t="shared" si="17"/>
        <v>0</v>
      </c>
      <c r="L38" s="149">
        <f t="shared" si="18"/>
        <v>51750.022668585218</v>
      </c>
      <c r="M38" s="149">
        <f t="shared" si="11"/>
        <v>59264.799208183285</v>
      </c>
      <c r="N38" s="149">
        <f t="shared" si="19"/>
        <v>0</v>
      </c>
      <c r="O38" s="149">
        <f t="shared" si="20"/>
        <v>0</v>
      </c>
      <c r="P38" s="149">
        <f t="shared" si="21"/>
        <v>0</v>
      </c>
      <c r="Q38" s="149">
        <f t="shared" si="22"/>
        <v>0</v>
      </c>
      <c r="R38" s="149">
        <f t="shared" si="23"/>
        <v>4202347.7606249936</v>
      </c>
      <c r="S38" s="149">
        <f t="shared" si="24"/>
        <v>4202347.7606249936</v>
      </c>
      <c r="T38" s="163" t="str">
        <f t="shared" si="25"/>
        <v>Vigente al día</v>
      </c>
      <c r="U38" s="149">
        <f>IF($A38="","",IF($A38&lt;=Inputs!$B$15,Inputs!$B$28,0))</f>
        <v>48643.172307692315</v>
      </c>
      <c r="V38" s="149">
        <f>IF($A38="","",IF($A38&lt;=Inputs!$B$15,Inputs!$B$29,0))</f>
        <v>10984.615384615387</v>
      </c>
      <c r="W38" s="149">
        <f>IF($A38="","",IF($A38&lt;=Inputs!$B$15,Inputs!$B$30,0))</f>
        <v>3406.3846153846157</v>
      </c>
      <c r="X38" s="149">
        <f t="shared" si="12"/>
        <v>63034.172307692315</v>
      </c>
      <c r="Y38" s="149">
        <f t="shared" si="13"/>
        <v>63034.172307692315</v>
      </c>
      <c r="Z38" s="149">
        <f t="shared" si="14"/>
        <v>0</v>
      </c>
      <c r="AA38" s="149">
        <f>IF($B38="","",IF(OR($B39="",ROUNDUP(($A38+1)/Inputs!$B$14,0)&gt;$B38),SUMIF($B$4:$B38,$B38,U$4:U38),0))</f>
        <v>0</v>
      </c>
      <c r="AB38" s="149">
        <f>IF($B38="","",IF(OR($B39="",ROUNDUP(($A38+1)/Inputs!$B$14,0)&gt;$B38),SUMIF($B$4:$B38,$B38,V$4:V38),0))</f>
        <v>0</v>
      </c>
      <c r="AC38" s="149">
        <f>IF($B38="","",IF(OR($B39="",ROUNDUP(($A38+1)/Inputs!$B$14,0)&gt;$B38),SUMIF($B$4:$B38,$B38,W$4:W38),0))</f>
        <v>0</v>
      </c>
      <c r="AD38" s="18"/>
      <c r="AE38" s="18"/>
      <c r="AF38" s="18"/>
      <c r="AG38" s="18"/>
      <c r="AH38" s="18"/>
      <c r="AI38" s="18"/>
      <c r="AJ38" s="18"/>
      <c r="AK38" s="18"/>
    </row>
    <row r="39" spans="1:37" ht="18" customHeight="1">
      <c r="A39" s="157">
        <f>IF(A38="","",IF(AND(A38&gt;=Inputs!$B$15,S38+N38+O38+P38+Z38&lt;=0.005),"",IF(A38&gt;=Inputs!$C$67,"",A38+1)))</f>
        <v>36</v>
      </c>
      <c r="B39" s="77">
        <f>IF(A39="","",ROUNDUP(A39/Inputs!$B$14,0))</f>
        <v>9</v>
      </c>
      <c r="C39" s="160" t="str">
        <f>IF(A39="","",IF(A39&lt;Inputs!$C$66,"Pago normal",IF(A39&gt;Inputs!$B$15,"Periodo adicional con cobranza","Pago tardío + cobranza")))</f>
        <v>Pago normal</v>
      </c>
      <c r="D39" s="149">
        <f t="shared" si="15"/>
        <v>4202347.7606249936</v>
      </c>
      <c r="E39" s="149">
        <f>IF(A39="","",D39*Inputs!$B$17)</f>
        <v>51030.352670570974</v>
      </c>
      <c r="F39" s="149">
        <f>IF(A39="","",IF(A39&lt;Inputs!$C$66,0,Q38*Inputs!$B$17+G39*(POWER(1+Inputs!$B$18,Inputs!$C$63)-1)))</f>
        <v>0</v>
      </c>
      <c r="G39" s="149">
        <f>IF(A39="","",IF(A39&lt;=Inputs!$B$15,INDEX(Caso1_Normal!$H$4:$H$89,A39),0))</f>
        <v>59984.4692061975</v>
      </c>
      <c r="H39" s="149">
        <f>IF(A39="","",IF(AND(A39&gt;=Inputs!$C$66,D39&gt;0.005),Inputs!$C$65,0))</f>
        <v>0</v>
      </c>
      <c r="I39" s="149">
        <f>IF(A39="","",MIN(Inputs!$B$20+X39,D39+N38+H39+O38+F39+P38+E39+Z38+X39))</f>
        <v>174048.99418446081</v>
      </c>
      <c r="J39" s="149">
        <f t="shared" si="16"/>
        <v>0</v>
      </c>
      <c r="K39" s="149">
        <f t="shared" si="17"/>
        <v>0</v>
      </c>
      <c r="L39" s="149">
        <f t="shared" si="18"/>
        <v>51030.352670570974</v>
      </c>
      <c r="M39" s="149">
        <f t="shared" si="11"/>
        <v>59984.469206197515</v>
      </c>
      <c r="N39" s="149">
        <f t="shared" si="19"/>
        <v>0</v>
      </c>
      <c r="O39" s="149">
        <f t="shared" si="20"/>
        <v>0</v>
      </c>
      <c r="P39" s="149">
        <f t="shared" si="21"/>
        <v>0</v>
      </c>
      <c r="Q39" s="149">
        <f t="shared" si="22"/>
        <v>0</v>
      </c>
      <c r="R39" s="149">
        <f t="shared" si="23"/>
        <v>4142363.2914187959</v>
      </c>
      <c r="S39" s="149">
        <f t="shared" si="24"/>
        <v>4142363.2914187959</v>
      </c>
      <c r="T39" s="163" t="str">
        <f t="shared" si="25"/>
        <v>Vigente al día</v>
      </c>
      <c r="U39" s="149">
        <f>IF($A39="","",IF($A39&lt;=Inputs!$B$15,Inputs!$B$28,0))</f>
        <v>48643.172307692315</v>
      </c>
      <c r="V39" s="149">
        <f>IF($A39="","",IF($A39&lt;=Inputs!$B$15,Inputs!$B$29,0))</f>
        <v>10984.615384615387</v>
      </c>
      <c r="W39" s="149">
        <f>IF($A39="","",IF($A39&lt;=Inputs!$B$15,Inputs!$B$30,0))</f>
        <v>3406.3846153846157</v>
      </c>
      <c r="X39" s="149">
        <f t="shared" si="12"/>
        <v>63034.172307692315</v>
      </c>
      <c r="Y39" s="149">
        <f t="shared" si="13"/>
        <v>63034.172307692315</v>
      </c>
      <c r="Z39" s="149">
        <f t="shared" si="14"/>
        <v>0</v>
      </c>
      <c r="AA39" s="149">
        <f>IF($B39="","",IF(OR($B40="",ROUNDUP(($A39+1)/Inputs!$B$14,0)&gt;$B39),SUMIF($B$4:$B39,$B39,U$4:U39),0))</f>
        <v>0</v>
      </c>
      <c r="AB39" s="149">
        <f>IF($B39="","",IF(OR($B40="",ROUNDUP(($A39+1)/Inputs!$B$14,0)&gt;$B39),SUMIF($B$4:$B39,$B39,V$4:V39),0))</f>
        <v>0</v>
      </c>
      <c r="AC39" s="149">
        <f>IF($B39="","",IF(OR($B40="",ROUNDUP(($A39+1)/Inputs!$B$14,0)&gt;$B39),SUMIF($B$4:$B39,$B39,W$4:W39),0))</f>
        <v>0</v>
      </c>
      <c r="AD39" s="18"/>
      <c r="AE39" s="18"/>
      <c r="AF39" s="18"/>
      <c r="AG39" s="18"/>
      <c r="AH39" s="18"/>
      <c r="AI39" s="18"/>
      <c r="AJ39" s="18"/>
      <c r="AK39" s="18"/>
    </row>
    <row r="40" spans="1:37" ht="18" customHeight="1">
      <c r="A40" s="157">
        <f>IF(A39="","",IF(AND(A39&gt;=Inputs!$B$15,S39+N39+O39+P39+Z39&lt;=0.005),"",IF(A39&gt;=Inputs!$C$67,"",A39+1)))</f>
        <v>37</v>
      </c>
      <c r="B40" s="77">
        <f>IF(A40="","",ROUNDUP(A40/Inputs!$B$14,0))</f>
        <v>9</v>
      </c>
      <c r="C40" s="160" t="str">
        <f>IF(A40="","",IF(A40&lt;Inputs!$C$66,"Pago normal",IF(A40&gt;Inputs!$B$15,"Periodo adicional con cobranza","Pago tardío + cobranza")))</f>
        <v>Pago normal</v>
      </c>
      <c r="D40" s="149">
        <f t="shared" si="15"/>
        <v>4142363.2914187959</v>
      </c>
      <c r="E40" s="149">
        <f>IF(A40="","",D40*Inputs!$B$17)</f>
        <v>50301.943506762502</v>
      </c>
      <c r="F40" s="149">
        <f>IF(A40="","",IF(A40&lt;Inputs!$C$66,0,Q39*Inputs!$B$17+G40*(POWER(1+Inputs!$B$18,Inputs!$C$63)-1)))</f>
        <v>0</v>
      </c>
      <c r="G40" s="149">
        <f>IF(A40="","",IF(A40&lt;=Inputs!$B$15,INDEX(Caso1_Normal!$H$4:$H$89,A40),0))</f>
        <v>60712.878370005979</v>
      </c>
      <c r="H40" s="149">
        <f>IF(A40="","",IF(AND(A40&gt;=Inputs!$C$66,D40&gt;0.005),Inputs!$C$65,0))</f>
        <v>0</v>
      </c>
      <c r="I40" s="149">
        <f>IF(A40="","",MIN(Inputs!$B$20+X40,D40+N39+H40+O39+F40+P39+E40+Z39+X40))</f>
        <v>174048.99418446081</v>
      </c>
      <c r="J40" s="149">
        <f t="shared" si="16"/>
        <v>0</v>
      </c>
      <c r="K40" s="149">
        <f t="shared" si="17"/>
        <v>0</v>
      </c>
      <c r="L40" s="149">
        <f t="shared" si="18"/>
        <v>50301.943506762502</v>
      </c>
      <c r="M40" s="149">
        <f t="shared" si="11"/>
        <v>60712.878370005994</v>
      </c>
      <c r="N40" s="149">
        <f t="shared" si="19"/>
        <v>0</v>
      </c>
      <c r="O40" s="149">
        <f t="shared" si="20"/>
        <v>0</v>
      </c>
      <c r="P40" s="149">
        <f t="shared" si="21"/>
        <v>0</v>
      </c>
      <c r="Q40" s="149">
        <f t="shared" si="22"/>
        <v>0</v>
      </c>
      <c r="R40" s="149">
        <f t="shared" si="23"/>
        <v>4081650.4130487898</v>
      </c>
      <c r="S40" s="149">
        <f t="shared" si="24"/>
        <v>4081650.4130487898</v>
      </c>
      <c r="T40" s="163" t="str">
        <f t="shared" si="25"/>
        <v>Vigente al día</v>
      </c>
      <c r="U40" s="149">
        <f>IF($A40="","",IF($A40&lt;=Inputs!$B$15,Inputs!$B$28,0))</f>
        <v>48643.172307692315</v>
      </c>
      <c r="V40" s="149">
        <f>IF($A40="","",IF($A40&lt;=Inputs!$B$15,Inputs!$B$29,0))</f>
        <v>10984.615384615387</v>
      </c>
      <c r="W40" s="149">
        <f>IF($A40="","",IF($A40&lt;=Inputs!$B$15,Inputs!$B$30,0))</f>
        <v>3406.3846153846157</v>
      </c>
      <c r="X40" s="149">
        <f t="shared" si="12"/>
        <v>63034.172307692315</v>
      </c>
      <c r="Y40" s="149">
        <f t="shared" si="13"/>
        <v>63034.172307692315</v>
      </c>
      <c r="Z40" s="149">
        <f t="shared" si="14"/>
        <v>0</v>
      </c>
      <c r="AA40" s="149">
        <f>IF($B40="","",IF(OR($B41="",ROUNDUP(($A40+1)/Inputs!$B$14,0)&gt;$B40),SUMIF($B$4:$B40,$B40,U$4:U40),0))</f>
        <v>0</v>
      </c>
      <c r="AB40" s="149">
        <f>IF($B40="","",IF(OR($B41="",ROUNDUP(($A40+1)/Inputs!$B$14,0)&gt;$B40),SUMIF($B$4:$B40,$B40,V$4:V40),0))</f>
        <v>0</v>
      </c>
      <c r="AC40" s="149">
        <f>IF($B40="","",IF(OR($B41="",ROUNDUP(($A40+1)/Inputs!$B$14,0)&gt;$B40),SUMIF($B$4:$B40,$B40,W$4:W40),0))</f>
        <v>0</v>
      </c>
      <c r="AD40" s="18"/>
      <c r="AE40" s="18"/>
      <c r="AF40" s="18"/>
      <c r="AG40" s="18"/>
      <c r="AH40" s="18"/>
      <c r="AI40" s="18"/>
      <c r="AJ40" s="18"/>
      <c r="AK40" s="18"/>
    </row>
    <row r="41" spans="1:37" ht="18" customHeight="1">
      <c r="A41" s="157">
        <f>IF(A40="","",IF(AND(A40&gt;=Inputs!$B$15,S40+N40+O40+P40+Z40&lt;=0.005),"",IF(A40&gt;=Inputs!$C$67,"",A40+1)))</f>
        <v>38</v>
      </c>
      <c r="B41" s="77">
        <f>IF(A41="","",ROUNDUP(A41/Inputs!$B$14,0))</f>
        <v>9</v>
      </c>
      <c r="C41" s="160" t="str">
        <f>IF(A41="","",IF(A41&lt;Inputs!$C$66,"Pago normal",IF(A41&gt;Inputs!$B$15,"Periodo adicional con cobranza","Pago tardío + cobranza")))</f>
        <v>Pago normal</v>
      </c>
      <c r="D41" s="149">
        <f t="shared" si="15"/>
        <v>4081650.4130487898</v>
      </c>
      <c r="E41" s="149">
        <f>IF(A41="","",D41*Inputs!$B$17)</f>
        <v>49564.689054882932</v>
      </c>
      <c r="F41" s="149">
        <f>IF(A41="","",IF(A41&lt;Inputs!$C$66,0,Q40*Inputs!$B$17+G41*(POWER(1+Inputs!$B$18,Inputs!$C$63)-1)))</f>
        <v>0</v>
      </c>
      <c r="G41" s="149">
        <f>IF(A41="","",IF(A41&lt;=Inputs!$B$15,INDEX(Caso1_Normal!$H$4:$H$89,A41),0))</f>
        <v>61450.132821885541</v>
      </c>
      <c r="H41" s="149">
        <f>IF(A41="","",IF(AND(A41&gt;=Inputs!$C$66,D41&gt;0.005),Inputs!$C$65,0))</f>
        <v>0</v>
      </c>
      <c r="I41" s="149">
        <f>IF(A41="","",MIN(Inputs!$B$20+X41,D41+N40+H41+O40+F41+P40+E41+Z40+X41))</f>
        <v>174048.99418446081</v>
      </c>
      <c r="J41" s="149">
        <f t="shared" si="16"/>
        <v>0</v>
      </c>
      <c r="K41" s="149">
        <f t="shared" si="17"/>
        <v>0</v>
      </c>
      <c r="L41" s="149">
        <f t="shared" si="18"/>
        <v>49564.689054882932</v>
      </c>
      <c r="M41" s="149">
        <f t="shared" si="11"/>
        <v>61450.132821885556</v>
      </c>
      <c r="N41" s="149">
        <f t="shared" si="19"/>
        <v>0</v>
      </c>
      <c r="O41" s="149">
        <f t="shared" si="20"/>
        <v>0</v>
      </c>
      <c r="P41" s="149">
        <f t="shared" si="21"/>
        <v>0</v>
      </c>
      <c r="Q41" s="149">
        <f t="shared" si="22"/>
        <v>0</v>
      </c>
      <c r="R41" s="149">
        <f t="shared" si="23"/>
        <v>4020200.2802269044</v>
      </c>
      <c r="S41" s="149">
        <f t="shared" si="24"/>
        <v>4020200.2802269044</v>
      </c>
      <c r="T41" s="163" t="str">
        <f t="shared" si="25"/>
        <v>Vigente al día</v>
      </c>
      <c r="U41" s="149">
        <f>IF($A41="","",IF($A41&lt;=Inputs!$B$15,Inputs!$B$28,0))</f>
        <v>48643.172307692315</v>
      </c>
      <c r="V41" s="149">
        <f>IF($A41="","",IF($A41&lt;=Inputs!$B$15,Inputs!$B$29,0))</f>
        <v>10984.615384615387</v>
      </c>
      <c r="W41" s="149">
        <f>IF($A41="","",IF($A41&lt;=Inputs!$B$15,Inputs!$B$30,0))</f>
        <v>3406.3846153846157</v>
      </c>
      <c r="X41" s="149">
        <f t="shared" si="12"/>
        <v>63034.172307692315</v>
      </c>
      <c r="Y41" s="149">
        <f t="shared" si="13"/>
        <v>63034.172307692315</v>
      </c>
      <c r="Z41" s="149">
        <f t="shared" si="14"/>
        <v>0</v>
      </c>
      <c r="AA41" s="149">
        <f>IF($B41="","",IF(OR($B42="",ROUNDUP(($A41+1)/Inputs!$B$14,0)&gt;$B41),SUMIF($B$4:$B41,$B41,U$4:U41),0))</f>
        <v>0</v>
      </c>
      <c r="AB41" s="149">
        <f>IF($B41="","",IF(OR($B42="",ROUNDUP(($A41+1)/Inputs!$B$14,0)&gt;$B41),SUMIF($B$4:$B41,$B41,V$4:V41),0))</f>
        <v>0</v>
      </c>
      <c r="AC41" s="149">
        <f>IF($B41="","",IF(OR($B42="",ROUNDUP(($A41+1)/Inputs!$B$14,0)&gt;$B41),SUMIF($B$4:$B41,$B41,W$4:W41),0))</f>
        <v>0</v>
      </c>
      <c r="AD41" s="18"/>
      <c r="AE41" s="18"/>
      <c r="AF41" s="18"/>
      <c r="AG41" s="18"/>
      <c r="AH41" s="18"/>
      <c r="AI41" s="18"/>
      <c r="AJ41" s="18"/>
      <c r="AK41" s="18"/>
    </row>
    <row r="42" spans="1:37" ht="18" customHeight="1">
      <c r="A42" s="157">
        <f>IF(A41="","",IF(AND(A41&gt;=Inputs!$B$15,S41+N41+O41+P41+Z41&lt;=0.005),"",IF(A41&gt;=Inputs!$C$67,"",A41+1)))</f>
        <v>39</v>
      </c>
      <c r="B42" s="77">
        <f>IF(A42="","",ROUNDUP(A42/Inputs!$B$14,0))</f>
        <v>9</v>
      </c>
      <c r="C42" s="160" t="str">
        <f>IF(A42="","",IF(A42&lt;Inputs!$C$66,"Pago normal",IF(A42&gt;Inputs!$B$15,"Periodo adicional con cobranza","Pago tardío + cobranza")))</f>
        <v>Pago normal</v>
      </c>
      <c r="D42" s="149">
        <f t="shared" si="15"/>
        <v>4020200.2802269044</v>
      </c>
      <c r="E42" s="149">
        <f>IF(A42="","",D42*Inputs!$B$17)</f>
        <v>48818.481903981206</v>
      </c>
      <c r="F42" s="149">
        <f>IF(A42="","",IF(A42&lt;Inputs!$C$66,0,Q41*Inputs!$B$17+G42*(POWER(1+Inputs!$B$18,Inputs!$C$63)-1)))</f>
        <v>0</v>
      </c>
      <c r="G42" s="149">
        <f>IF(A42="","",IF(A42&lt;=Inputs!$B$15,INDEX(Caso1_Normal!$H$4:$H$89,A42),0))</f>
        <v>62196.339972787275</v>
      </c>
      <c r="H42" s="149">
        <f>IF(A42="","",IF(AND(A42&gt;=Inputs!$C$66,D42&gt;0.005),Inputs!$C$65,0))</f>
        <v>0</v>
      </c>
      <c r="I42" s="149">
        <f>IF(A42="","",MIN(Inputs!$B$20+X42,D42+N41+H42+O41+F42+P41+E42+Z41+X42))</f>
        <v>174048.99418446081</v>
      </c>
      <c r="J42" s="149">
        <f t="shared" si="16"/>
        <v>0</v>
      </c>
      <c r="K42" s="149">
        <f t="shared" si="17"/>
        <v>0</v>
      </c>
      <c r="L42" s="149">
        <f t="shared" si="18"/>
        <v>48818.481903981206</v>
      </c>
      <c r="M42" s="149">
        <f t="shared" si="11"/>
        <v>62196.339972787282</v>
      </c>
      <c r="N42" s="149">
        <f t="shared" si="19"/>
        <v>0</v>
      </c>
      <c r="O42" s="149">
        <f t="shared" si="20"/>
        <v>0</v>
      </c>
      <c r="P42" s="149">
        <f t="shared" si="21"/>
        <v>0</v>
      </c>
      <c r="Q42" s="149">
        <f t="shared" si="22"/>
        <v>0</v>
      </c>
      <c r="R42" s="149">
        <f t="shared" si="23"/>
        <v>3958003.9402541174</v>
      </c>
      <c r="S42" s="149">
        <f t="shared" si="24"/>
        <v>3958003.9402541174</v>
      </c>
      <c r="T42" s="163" t="str">
        <f t="shared" si="25"/>
        <v>Vigente al día</v>
      </c>
      <c r="U42" s="149">
        <f>IF($A42="","",IF($A42&lt;=Inputs!$B$15,Inputs!$B$28,0))</f>
        <v>48643.172307692315</v>
      </c>
      <c r="V42" s="149">
        <f>IF($A42="","",IF($A42&lt;=Inputs!$B$15,Inputs!$B$29,0))</f>
        <v>10984.615384615387</v>
      </c>
      <c r="W42" s="149">
        <f>IF($A42="","",IF($A42&lt;=Inputs!$B$15,Inputs!$B$30,0))</f>
        <v>3406.3846153846157</v>
      </c>
      <c r="X42" s="149">
        <f t="shared" si="12"/>
        <v>63034.172307692315</v>
      </c>
      <c r="Y42" s="149">
        <f t="shared" si="13"/>
        <v>63034.172307692315</v>
      </c>
      <c r="Z42" s="149">
        <f t="shared" si="14"/>
        <v>0</v>
      </c>
      <c r="AA42" s="149">
        <f>IF($B42="","",IF(OR($B43="",ROUNDUP(($A42+1)/Inputs!$B$14,0)&gt;$B42),SUMIF($B$4:$B42,$B42,U$4:U42),0))</f>
        <v>243215.86153846158</v>
      </c>
      <c r="AB42" s="149">
        <f>IF($B42="","",IF(OR($B43="",ROUNDUP(($A42+1)/Inputs!$B$14,0)&gt;$B42),SUMIF($B$4:$B42,$B42,V$4:V42),0))</f>
        <v>54923.076923076937</v>
      </c>
      <c r="AC42" s="149">
        <f>IF($B42="","",IF(OR($B43="",ROUNDUP(($A42+1)/Inputs!$B$14,0)&gt;$B42),SUMIF($B$4:$B42,$B42,W$4:W42),0))</f>
        <v>17031.923076923078</v>
      </c>
      <c r="AD42" s="18"/>
      <c r="AE42" s="18"/>
      <c r="AF42" s="18"/>
      <c r="AG42" s="18"/>
      <c r="AH42" s="18"/>
      <c r="AI42" s="18"/>
      <c r="AJ42" s="18"/>
      <c r="AK42" s="18"/>
    </row>
    <row r="43" spans="1:37" ht="18" customHeight="1">
      <c r="A43" s="157">
        <f>IF(A42="","",IF(AND(A42&gt;=Inputs!$B$15,S42+N42+O42+P42+Z42&lt;=0.005),"",IF(A42&gt;=Inputs!$C$67,"",A42+1)))</f>
        <v>40</v>
      </c>
      <c r="B43" s="77">
        <f>IF(A43="","",ROUNDUP(A43/Inputs!$B$14,0))</f>
        <v>10</v>
      </c>
      <c r="C43" s="160" t="str">
        <f>IF(A43="","",IF(A43&lt;Inputs!$C$66,"Pago normal",IF(A43&gt;Inputs!$B$15,"Periodo adicional con cobranza","Pago tardío + cobranza")))</f>
        <v>Pago normal</v>
      </c>
      <c r="D43" s="149">
        <f t="shared" si="15"/>
        <v>3958003.9402541174</v>
      </c>
      <c r="E43" s="149">
        <f>IF(A43="","",D43*Inputs!$B$17)</f>
        <v>48063.213338783258</v>
      </c>
      <c r="F43" s="149">
        <f>IF(A43="","",IF(A43&lt;Inputs!$C$66,0,Q42*Inputs!$B$17+G43*(POWER(1+Inputs!$B$18,Inputs!$C$63)-1)))</f>
        <v>0</v>
      </c>
      <c r="G43" s="149">
        <f>IF(A43="","",IF(A43&lt;=Inputs!$B$15,INDEX(Caso1_Normal!$H$4:$H$89,A43),0))</f>
        <v>62951.608537985223</v>
      </c>
      <c r="H43" s="149">
        <f>IF(A43="","",IF(AND(A43&gt;=Inputs!$C$66,D43&gt;0.005),Inputs!$C$65,0))</f>
        <v>0</v>
      </c>
      <c r="I43" s="149">
        <f>IF(A43="","",MIN(Inputs!$B$20+X43,D43+N42+H43+O42+F43+P42+E43+Z42+X43))</f>
        <v>174048.99418446081</v>
      </c>
      <c r="J43" s="149">
        <f t="shared" si="16"/>
        <v>0</v>
      </c>
      <c r="K43" s="149">
        <f t="shared" si="17"/>
        <v>0</v>
      </c>
      <c r="L43" s="149">
        <f t="shared" si="18"/>
        <v>48063.213338783258</v>
      </c>
      <c r="M43" s="149">
        <f t="shared" si="11"/>
        <v>62951.608537985237</v>
      </c>
      <c r="N43" s="149">
        <f t="shared" si="19"/>
        <v>0</v>
      </c>
      <c r="O43" s="149">
        <f t="shared" si="20"/>
        <v>0</v>
      </c>
      <c r="P43" s="149">
        <f t="shared" si="21"/>
        <v>0</v>
      </c>
      <c r="Q43" s="149">
        <f t="shared" si="22"/>
        <v>0</v>
      </c>
      <c r="R43" s="149">
        <f t="shared" si="23"/>
        <v>3895052.3317161324</v>
      </c>
      <c r="S43" s="149">
        <f t="shared" si="24"/>
        <v>3895052.3317161324</v>
      </c>
      <c r="T43" s="163" t="str">
        <f t="shared" si="25"/>
        <v>Vigente al día</v>
      </c>
      <c r="U43" s="149">
        <f>IF($A43="","",IF($A43&lt;=Inputs!$B$15,Inputs!$B$28,0))</f>
        <v>48643.172307692315</v>
      </c>
      <c r="V43" s="149">
        <f>IF($A43="","",IF($A43&lt;=Inputs!$B$15,Inputs!$B$29,0))</f>
        <v>10984.615384615387</v>
      </c>
      <c r="W43" s="149">
        <f>IF($A43="","",IF($A43&lt;=Inputs!$B$15,Inputs!$B$30,0))</f>
        <v>3406.3846153846157</v>
      </c>
      <c r="X43" s="149">
        <f t="shared" si="12"/>
        <v>63034.172307692315</v>
      </c>
      <c r="Y43" s="149">
        <f t="shared" si="13"/>
        <v>63034.172307692315</v>
      </c>
      <c r="Z43" s="149">
        <f t="shared" si="14"/>
        <v>0</v>
      </c>
      <c r="AA43" s="149">
        <f>IF($B43="","",IF(OR($B44="",ROUNDUP(($A43+1)/Inputs!$B$14,0)&gt;$B43),SUMIF($B$4:$B43,$B43,U$4:U43),0))</f>
        <v>0</v>
      </c>
      <c r="AB43" s="149">
        <f>IF($B43="","",IF(OR($B44="",ROUNDUP(($A43+1)/Inputs!$B$14,0)&gt;$B43),SUMIF($B$4:$B43,$B43,V$4:V43),0))</f>
        <v>0</v>
      </c>
      <c r="AC43" s="149">
        <f>IF($B43="","",IF(OR($B44="",ROUNDUP(($A43+1)/Inputs!$B$14,0)&gt;$B43),SUMIF($B$4:$B43,$B43,W$4:W43),0))</f>
        <v>0</v>
      </c>
      <c r="AD43" s="18"/>
      <c r="AE43" s="18"/>
      <c r="AF43" s="18"/>
      <c r="AG43" s="18"/>
      <c r="AH43" s="18"/>
      <c r="AI43" s="18"/>
      <c r="AJ43" s="18"/>
      <c r="AK43" s="18"/>
    </row>
    <row r="44" spans="1:37" ht="18" customHeight="1">
      <c r="A44" s="157">
        <f>IF(A43="","",IF(AND(A43&gt;=Inputs!$B$15,S43+N43+O43+P43+Z43&lt;=0.005),"",IF(A43&gt;=Inputs!$C$67,"",A43+1)))</f>
        <v>41</v>
      </c>
      <c r="B44" s="77">
        <f>IF(A44="","",ROUNDUP(A44/Inputs!$B$14,0))</f>
        <v>10</v>
      </c>
      <c r="C44" s="160" t="str">
        <f>IF(A44="","",IF(A44&lt;Inputs!$C$66,"Pago normal",IF(A44&gt;Inputs!$B$15,"Periodo adicional con cobranza","Pago tardío + cobranza")))</f>
        <v>Pago normal</v>
      </c>
      <c r="D44" s="149">
        <f t="shared" si="15"/>
        <v>3895052.3317161324</v>
      </c>
      <c r="E44" s="149">
        <f>IF(A44="","",D44*Inputs!$B$17)</f>
        <v>47298.773323853282</v>
      </c>
      <c r="F44" s="149">
        <f>IF(A44="","",IF(A44&lt;Inputs!$C$66,0,Q43*Inputs!$B$17+G44*(POWER(1+Inputs!$B$18,Inputs!$C$63)-1)))</f>
        <v>0</v>
      </c>
      <c r="G44" s="149">
        <f>IF(A44="","",IF(A44&lt;=Inputs!$B$15,INDEX(Caso1_Normal!$H$4:$H$89,A44),0))</f>
        <v>63716.048552915192</v>
      </c>
      <c r="H44" s="149">
        <f>IF(A44="","",IF(AND(A44&gt;=Inputs!$C$66,D44&gt;0.005),Inputs!$C$65,0))</f>
        <v>0</v>
      </c>
      <c r="I44" s="149">
        <f>IF(A44="","",MIN(Inputs!$B$20+X44,D44+N43+H44+O43+F44+P43+E44+Z43+X44))</f>
        <v>174048.99418446081</v>
      </c>
      <c r="J44" s="149">
        <f t="shared" si="16"/>
        <v>0</v>
      </c>
      <c r="K44" s="149">
        <f t="shared" si="17"/>
        <v>0</v>
      </c>
      <c r="L44" s="149">
        <f t="shared" si="18"/>
        <v>47298.773323853282</v>
      </c>
      <c r="M44" s="149">
        <f t="shared" si="11"/>
        <v>63716.048552915214</v>
      </c>
      <c r="N44" s="149">
        <f t="shared" si="19"/>
        <v>0</v>
      </c>
      <c r="O44" s="149">
        <f t="shared" si="20"/>
        <v>0</v>
      </c>
      <c r="P44" s="149">
        <f t="shared" si="21"/>
        <v>0</v>
      </c>
      <c r="Q44" s="149">
        <f t="shared" si="22"/>
        <v>0</v>
      </c>
      <c r="R44" s="149">
        <f t="shared" si="23"/>
        <v>3831336.2831632174</v>
      </c>
      <c r="S44" s="149">
        <f t="shared" si="24"/>
        <v>3831336.2831632174</v>
      </c>
      <c r="T44" s="163" t="str">
        <f t="shared" si="25"/>
        <v>Vigente al día</v>
      </c>
      <c r="U44" s="149">
        <f>IF($A44="","",IF($A44&lt;=Inputs!$B$15,Inputs!$B$28,0))</f>
        <v>48643.172307692315</v>
      </c>
      <c r="V44" s="149">
        <f>IF($A44="","",IF($A44&lt;=Inputs!$B$15,Inputs!$B$29,0))</f>
        <v>10984.615384615387</v>
      </c>
      <c r="W44" s="149">
        <f>IF($A44="","",IF($A44&lt;=Inputs!$B$15,Inputs!$B$30,0))</f>
        <v>3406.3846153846157</v>
      </c>
      <c r="X44" s="149">
        <f t="shared" si="12"/>
        <v>63034.172307692315</v>
      </c>
      <c r="Y44" s="149">
        <f t="shared" si="13"/>
        <v>63034.172307692315</v>
      </c>
      <c r="Z44" s="149">
        <f t="shared" si="14"/>
        <v>0</v>
      </c>
      <c r="AA44" s="149">
        <f>IF($B44="","",IF(OR($B45="",ROUNDUP(($A44+1)/Inputs!$B$14,0)&gt;$B44),SUMIF($B$4:$B44,$B44,U$4:U44),0))</f>
        <v>0</v>
      </c>
      <c r="AB44" s="149">
        <f>IF($B44="","",IF(OR($B45="",ROUNDUP(($A44+1)/Inputs!$B$14,0)&gt;$B44),SUMIF($B$4:$B44,$B44,V$4:V44),0))</f>
        <v>0</v>
      </c>
      <c r="AC44" s="149">
        <f>IF($B44="","",IF(OR($B45="",ROUNDUP(($A44+1)/Inputs!$B$14,0)&gt;$B44),SUMIF($B$4:$B44,$B44,W$4:W44),0))</f>
        <v>0</v>
      </c>
      <c r="AD44" s="18"/>
      <c r="AE44" s="18"/>
      <c r="AF44" s="18"/>
      <c r="AG44" s="18"/>
      <c r="AH44" s="18"/>
      <c r="AI44" s="18"/>
      <c r="AJ44" s="18"/>
      <c r="AK44" s="18"/>
    </row>
    <row r="45" spans="1:37" ht="18" customHeight="1">
      <c r="A45" s="157">
        <f>IF(A44="","",IF(AND(A44&gt;=Inputs!$B$15,S44+N44+O44+P44+Z44&lt;=0.005),"",IF(A44&gt;=Inputs!$C$67,"",A44+1)))</f>
        <v>42</v>
      </c>
      <c r="B45" s="77">
        <f>IF(A45="","",ROUNDUP(A45/Inputs!$B$14,0))</f>
        <v>10</v>
      </c>
      <c r="C45" s="160" t="str">
        <f>IF(A45="","",IF(A45&lt;Inputs!$C$66,"Pago normal",IF(A45&gt;Inputs!$B$15,"Periodo adicional con cobranza","Pago tardío + cobranza")))</f>
        <v>Pago normal</v>
      </c>
      <c r="D45" s="149">
        <f t="shared" si="15"/>
        <v>3831336.2831632174</v>
      </c>
      <c r="E45" s="149">
        <f>IF(A45="","",D45*Inputs!$B$17)</f>
        <v>46525.050487562621</v>
      </c>
      <c r="F45" s="149">
        <f>IF(A45="","",IF(A45&lt;Inputs!$C$66,0,Q44*Inputs!$B$17+G45*(POWER(1+Inputs!$B$18,Inputs!$C$63)-1)))</f>
        <v>0</v>
      </c>
      <c r="G45" s="149">
        <f>IF(A45="","",IF(A45&lt;=Inputs!$B$15,INDEX(Caso1_Normal!$H$4:$H$89,A45),0))</f>
        <v>64489.771389205853</v>
      </c>
      <c r="H45" s="149">
        <f>IF(A45="","",IF(AND(A45&gt;=Inputs!$C$66,D45&gt;0.005),Inputs!$C$65,0))</f>
        <v>0</v>
      </c>
      <c r="I45" s="149">
        <f>IF(A45="","",MIN(Inputs!$B$20+X45,D45+N44+H45+O44+F45+P44+E45+Z44+X45))</f>
        <v>174048.99418446081</v>
      </c>
      <c r="J45" s="149">
        <f t="shared" si="16"/>
        <v>0</v>
      </c>
      <c r="K45" s="149">
        <f t="shared" si="17"/>
        <v>0</v>
      </c>
      <c r="L45" s="149">
        <f t="shared" si="18"/>
        <v>46525.050487562621</v>
      </c>
      <c r="M45" s="149">
        <f t="shared" si="11"/>
        <v>64489.771389205875</v>
      </c>
      <c r="N45" s="149">
        <f t="shared" si="19"/>
        <v>0</v>
      </c>
      <c r="O45" s="149">
        <f t="shared" si="20"/>
        <v>0</v>
      </c>
      <c r="P45" s="149">
        <f t="shared" si="21"/>
        <v>0</v>
      </c>
      <c r="Q45" s="149">
        <f t="shared" si="22"/>
        <v>0</v>
      </c>
      <c r="R45" s="149">
        <f t="shared" si="23"/>
        <v>3766846.5117740114</v>
      </c>
      <c r="S45" s="149">
        <f t="shared" si="24"/>
        <v>3766846.5117740114</v>
      </c>
      <c r="T45" s="163" t="str">
        <f t="shared" si="25"/>
        <v>Vigente al día</v>
      </c>
      <c r="U45" s="149">
        <f>IF($A45="","",IF($A45&lt;=Inputs!$B$15,Inputs!$B$28,0))</f>
        <v>48643.172307692315</v>
      </c>
      <c r="V45" s="149">
        <f>IF($A45="","",IF($A45&lt;=Inputs!$B$15,Inputs!$B$29,0))</f>
        <v>10984.615384615387</v>
      </c>
      <c r="W45" s="149">
        <f>IF($A45="","",IF($A45&lt;=Inputs!$B$15,Inputs!$B$30,0))</f>
        <v>3406.3846153846157</v>
      </c>
      <c r="X45" s="149">
        <f t="shared" si="12"/>
        <v>63034.172307692315</v>
      </c>
      <c r="Y45" s="149">
        <f t="shared" si="13"/>
        <v>63034.172307692315</v>
      </c>
      <c r="Z45" s="149">
        <f t="shared" si="14"/>
        <v>0</v>
      </c>
      <c r="AA45" s="149">
        <f>IF($B45="","",IF(OR($B46="",ROUNDUP(($A45+1)/Inputs!$B$14,0)&gt;$B45),SUMIF($B$4:$B45,$B45,U$4:U45),0))</f>
        <v>0</v>
      </c>
      <c r="AB45" s="149">
        <f>IF($B45="","",IF(OR($B46="",ROUNDUP(($A45+1)/Inputs!$B$14,0)&gt;$B45),SUMIF($B$4:$B45,$B45,V$4:V45),0))</f>
        <v>0</v>
      </c>
      <c r="AC45" s="149">
        <f>IF($B45="","",IF(OR($B46="",ROUNDUP(($A45+1)/Inputs!$B$14,0)&gt;$B45),SUMIF($B$4:$B45,$B45,W$4:W45),0))</f>
        <v>0</v>
      </c>
      <c r="AD45" s="18"/>
      <c r="AE45" s="18"/>
      <c r="AF45" s="18"/>
      <c r="AG45" s="18"/>
      <c r="AH45" s="18"/>
      <c r="AI45" s="18"/>
      <c r="AJ45" s="18"/>
      <c r="AK45" s="18"/>
    </row>
    <row r="46" spans="1:37" ht="18" customHeight="1">
      <c r="A46" s="157">
        <f>IF(A45="","",IF(AND(A45&gt;=Inputs!$B$15,S45+N45+O45+P45+Z45&lt;=0.005),"",IF(A45&gt;=Inputs!$C$67,"",A45+1)))</f>
        <v>43</v>
      </c>
      <c r="B46" s="77">
        <f>IF(A46="","",ROUNDUP(A46/Inputs!$B$14,0))</f>
        <v>10</v>
      </c>
      <c r="C46" s="160" t="str">
        <f>IF(A46="","",IF(A46&lt;Inputs!$C$66,"Pago normal",IF(A46&gt;Inputs!$B$15,"Periodo adicional con cobranza","Pago tardío + cobranza")))</f>
        <v>Pago tardío + cobranza</v>
      </c>
      <c r="D46" s="149">
        <f t="shared" si="15"/>
        <v>3766846.5117740114</v>
      </c>
      <c r="E46" s="149">
        <f>IF(A46="","",D46*Inputs!$B$17)</f>
        <v>45741.932105863954</v>
      </c>
      <c r="F46" s="149">
        <f>IF(A46="","",IF(A46&lt;Inputs!$C$66,0,Q45*Inputs!$B$17+G46*(POWER(1+Inputs!$B$18,Inputs!$C$63)-1)))</f>
        <v>1590.4588122676764</v>
      </c>
      <c r="G46" s="149">
        <f>IF(A46="","",IF(A46&lt;=Inputs!$B$15,INDEX(Caso1_Normal!$H$4:$H$89,A46),0))</f>
        <v>65272.889770904527</v>
      </c>
      <c r="H46" s="149">
        <f>IF(A46="","",IF(AND(A46&gt;=Inputs!$C$66,D46&gt;0.005),Inputs!$C$65,0))</f>
        <v>42000</v>
      </c>
      <c r="I46" s="149">
        <f>IF(A46="","",MIN(Inputs!$B$20+X46,D46+N45+H46+O45+F46+P45+E46+Z45+X46))</f>
        <v>174048.99418446081</v>
      </c>
      <c r="J46" s="149">
        <f t="shared" si="16"/>
        <v>42000</v>
      </c>
      <c r="K46" s="149">
        <f t="shared" si="17"/>
        <v>1590.4588122676764</v>
      </c>
      <c r="L46" s="149">
        <f t="shared" si="18"/>
        <v>45741.932105863954</v>
      </c>
      <c r="M46" s="149">
        <f t="shared" si="11"/>
        <v>21682.430958636869</v>
      </c>
      <c r="N46" s="149">
        <f t="shared" si="19"/>
        <v>0</v>
      </c>
      <c r="O46" s="149">
        <f t="shared" si="20"/>
        <v>0</v>
      </c>
      <c r="P46" s="149">
        <f t="shared" si="21"/>
        <v>0</v>
      </c>
      <c r="Q46" s="149">
        <f t="shared" si="22"/>
        <v>43590.458812267658</v>
      </c>
      <c r="R46" s="149">
        <f t="shared" si="23"/>
        <v>3701573.6220031069</v>
      </c>
      <c r="S46" s="149">
        <f t="shared" si="24"/>
        <v>3745164.0808153744</v>
      </c>
      <c r="T46" s="163" t="str">
        <f t="shared" si="25"/>
        <v>En mora</v>
      </c>
      <c r="U46" s="149">
        <f>IF($A46="","",IF($A46&lt;=Inputs!$B$15,Inputs!$B$28,0))</f>
        <v>48643.172307692315</v>
      </c>
      <c r="V46" s="149">
        <f>IF($A46="","",IF($A46&lt;=Inputs!$B$15,Inputs!$B$29,0))</f>
        <v>10984.615384615387</v>
      </c>
      <c r="W46" s="149">
        <f>IF($A46="","",IF($A46&lt;=Inputs!$B$15,Inputs!$B$30,0))</f>
        <v>3406.3846153846157</v>
      </c>
      <c r="X46" s="149">
        <f t="shared" si="12"/>
        <v>63034.172307692315</v>
      </c>
      <c r="Y46" s="149">
        <f t="shared" si="13"/>
        <v>63034.172307692315</v>
      </c>
      <c r="Z46" s="149">
        <f t="shared" si="14"/>
        <v>0</v>
      </c>
      <c r="AA46" s="149">
        <f>IF($B46="","",IF(OR($B47="",ROUNDUP(($A46+1)/Inputs!$B$14,0)&gt;$B46),SUMIF($B$4:$B46,$B46,U$4:U46),0))</f>
        <v>194572.68923076926</v>
      </c>
      <c r="AB46" s="149">
        <f>IF($B46="","",IF(OR($B47="",ROUNDUP(($A46+1)/Inputs!$B$14,0)&gt;$B46),SUMIF($B$4:$B46,$B46,V$4:V46),0))</f>
        <v>43938.461538461546</v>
      </c>
      <c r="AC46" s="149">
        <f>IF($B46="","",IF(OR($B47="",ROUNDUP(($A46+1)/Inputs!$B$14,0)&gt;$B46),SUMIF($B$4:$B46,$B46,W$4:W46),0))</f>
        <v>13625.538461538463</v>
      </c>
      <c r="AD46" s="18"/>
      <c r="AE46" s="18"/>
      <c r="AF46" s="18"/>
      <c r="AG46" s="18"/>
      <c r="AH46" s="18"/>
      <c r="AI46" s="18"/>
      <c r="AJ46" s="18"/>
      <c r="AK46" s="18"/>
    </row>
    <row r="47" spans="1:37" ht="18" customHeight="1">
      <c r="A47" s="157">
        <f>IF(A46="","",IF(AND(A46&gt;=Inputs!$B$15,S46+N46+O46+P46+Z46&lt;=0.005),"",IF(A46&gt;=Inputs!$C$67,"",A46+1)))</f>
        <v>44</v>
      </c>
      <c r="B47" s="77">
        <f>IF(A47="","",ROUNDUP(A47/Inputs!$B$14,0))</f>
        <v>11</v>
      </c>
      <c r="C47" s="160" t="str">
        <f>IF(A47="","",IF(A47&lt;Inputs!$C$66,"Pago normal",IF(A47&gt;Inputs!$B$15,"Periodo adicional con cobranza","Pago tardío + cobranza")))</f>
        <v>Pago tardío + cobranza</v>
      </c>
      <c r="D47" s="149">
        <f t="shared" si="15"/>
        <v>3745164.0808153744</v>
      </c>
      <c r="E47" s="149">
        <f>IF(A47="","",D47*Inputs!$B$17)</f>
        <v>45478.635929154865</v>
      </c>
      <c r="F47" s="149">
        <f>IF(A47="","",IF(A47&lt;Inputs!$C$66,0,Q46*Inputs!$B$17+G47*(POWER(1+Inputs!$B$18,Inputs!$C$63)-1)))</f>
        <v>2139.1040676563343</v>
      </c>
      <c r="G47" s="149">
        <f>IF(A47="","",IF(A47&lt;=Inputs!$B$15,INDEX(Caso1_Normal!$H$4:$H$89,A47),0))</f>
        <v>66065.51779089999</v>
      </c>
      <c r="H47" s="149">
        <f>IF(A47="","",IF(AND(A47&gt;=Inputs!$C$66,D47&gt;0.005),Inputs!$C$65,0))</f>
        <v>42000</v>
      </c>
      <c r="I47" s="149">
        <f>IF(A47="","",MIN(Inputs!$B$20+X47,D47+N46+H47+O46+F47+P46+E47+Z46+X47))</f>
        <v>174048.99418446081</v>
      </c>
      <c r="J47" s="149">
        <f t="shared" si="16"/>
        <v>42000</v>
      </c>
      <c r="K47" s="149">
        <f t="shared" si="17"/>
        <v>2139.1040676563343</v>
      </c>
      <c r="L47" s="149">
        <f t="shared" si="18"/>
        <v>45478.635929154865</v>
      </c>
      <c r="M47" s="149">
        <f t="shared" si="11"/>
        <v>21397.081879957295</v>
      </c>
      <c r="N47" s="149">
        <f t="shared" si="19"/>
        <v>0</v>
      </c>
      <c r="O47" s="149">
        <f t="shared" si="20"/>
        <v>0</v>
      </c>
      <c r="P47" s="149">
        <f t="shared" si="21"/>
        <v>0</v>
      </c>
      <c r="Q47" s="149">
        <f t="shared" si="22"/>
        <v>88258.894723210367</v>
      </c>
      <c r="R47" s="149">
        <f t="shared" si="23"/>
        <v>3635508.1042122068</v>
      </c>
      <c r="S47" s="149">
        <f t="shared" si="24"/>
        <v>3723766.9989354173</v>
      </c>
      <c r="T47" s="163" t="str">
        <f t="shared" si="25"/>
        <v>En mora</v>
      </c>
      <c r="U47" s="149">
        <f>IF($A47="","",IF($A47&lt;=Inputs!$B$15,Inputs!$B$28,0))</f>
        <v>48643.172307692315</v>
      </c>
      <c r="V47" s="149">
        <f>IF($A47="","",IF($A47&lt;=Inputs!$B$15,Inputs!$B$29,0))</f>
        <v>10984.615384615387</v>
      </c>
      <c r="W47" s="149">
        <f>IF($A47="","",IF($A47&lt;=Inputs!$B$15,Inputs!$B$30,0))</f>
        <v>3406.3846153846157</v>
      </c>
      <c r="X47" s="149">
        <f t="shared" si="12"/>
        <v>63034.172307692315</v>
      </c>
      <c r="Y47" s="149">
        <f t="shared" si="13"/>
        <v>63034.172307692315</v>
      </c>
      <c r="Z47" s="149">
        <f t="shared" si="14"/>
        <v>0</v>
      </c>
      <c r="AA47" s="149">
        <f>IF($B47="","",IF(OR($B48="",ROUNDUP(($A47+1)/Inputs!$B$14,0)&gt;$B47),SUMIF($B$4:$B47,$B47,U$4:U47),0))</f>
        <v>0</v>
      </c>
      <c r="AB47" s="149">
        <f>IF($B47="","",IF(OR($B48="",ROUNDUP(($A47+1)/Inputs!$B$14,0)&gt;$B47),SUMIF($B$4:$B47,$B47,V$4:V47),0))</f>
        <v>0</v>
      </c>
      <c r="AC47" s="149">
        <f>IF($B47="","",IF(OR($B48="",ROUNDUP(($A47+1)/Inputs!$B$14,0)&gt;$B47),SUMIF($B$4:$B47,$B47,W$4:W47),0))</f>
        <v>0</v>
      </c>
      <c r="AD47" s="18"/>
      <c r="AE47" s="18"/>
      <c r="AF47" s="18"/>
      <c r="AG47" s="18"/>
      <c r="AH47" s="18"/>
      <c r="AI47" s="18"/>
      <c r="AJ47" s="18"/>
      <c r="AK47" s="18"/>
    </row>
    <row r="48" spans="1:37" ht="18" customHeight="1">
      <c r="A48" s="157">
        <f>IF(A47="","",IF(AND(A47&gt;=Inputs!$B$15,S47+N47+O47+P47+Z47&lt;=0.005),"",IF(A47&gt;=Inputs!$C$67,"",A47+1)))</f>
        <v>45</v>
      </c>
      <c r="B48" s="77">
        <f>IF(A48="","",ROUNDUP(A48/Inputs!$B$14,0))</f>
        <v>11</v>
      </c>
      <c r="C48" s="160" t="str">
        <f>IF(A48="","",IF(A48&lt;Inputs!$C$66,"Pago normal",IF(A48&gt;Inputs!$B$15,"Periodo adicional con cobranza","Pago tardío + cobranza")))</f>
        <v>Pago tardío + cobranza</v>
      </c>
      <c r="D48" s="149">
        <f t="shared" si="15"/>
        <v>3723766.9989354173</v>
      </c>
      <c r="E48" s="149">
        <f>IF(A48="","",D48*Inputs!$B$17)</f>
        <v>45218.80483076597</v>
      </c>
      <c r="F48" s="149">
        <f>IF(A48="","",IF(A48&lt;Inputs!$C$66,0,Q47*Inputs!$B$17+G48*(POWER(1+Inputs!$B$18,Inputs!$C$63)-1)))</f>
        <v>2701.0740464940363</v>
      </c>
      <c r="G48" s="149">
        <f>IF(A48="","",IF(A48&lt;=Inputs!$B$15,INDEX(Caso1_Normal!$H$4:$H$89,A48),0))</f>
        <v>66867.770927544756</v>
      </c>
      <c r="H48" s="149">
        <f>IF(A48="","",IF(AND(A48&gt;=Inputs!$C$66,D48&gt;0.005),Inputs!$C$65,0))</f>
        <v>42000</v>
      </c>
      <c r="I48" s="149">
        <f>IF(A48="","",MIN(Inputs!$B$20+X48,D48+N47+H48+O47+F48+P47+E48+Z47+X48))</f>
        <v>174048.99418446081</v>
      </c>
      <c r="J48" s="149">
        <f t="shared" si="16"/>
        <v>42000</v>
      </c>
      <c r="K48" s="149">
        <f t="shared" si="17"/>
        <v>2701.0740464940363</v>
      </c>
      <c r="L48" s="149">
        <f t="shared" si="18"/>
        <v>45218.80483076597</v>
      </c>
      <c r="M48" s="149">
        <f t="shared" si="11"/>
        <v>21094.942999508501</v>
      </c>
      <c r="N48" s="149">
        <f t="shared" si="19"/>
        <v>0</v>
      </c>
      <c r="O48" s="149">
        <f t="shared" si="20"/>
        <v>0</v>
      </c>
      <c r="P48" s="149">
        <f t="shared" si="21"/>
        <v>0</v>
      </c>
      <c r="Q48" s="149">
        <f t="shared" si="22"/>
        <v>134031.72265124661</v>
      </c>
      <c r="R48" s="149">
        <f t="shared" si="23"/>
        <v>3568640.3332846621</v>
      </c>
      <c r="S48" s="149">
        <f t="shared" si="24"/>
        <v>3702672.0559359086</v>
      </c>
      <c r="T48" s="163" t="str">
        <f t="shared" si="25"/>
        <v>En mora</v>
      </c>
      <c r="U48" s="149">
        <f>IF($A48="","",IF($A48&lt;=Inputs!$B$15,Inputs!$B$28,0))</f>
        <v>48643.172307692315</v>
      </c>
      <c r="V48" s="149">
        <f>IF($A48="","",IF($A48&lt;=Inputs!$B$15,Inputs!$B$29,0))</f>
        <v>10984.615384615387</v>
      </c>
      <c r="W48" s="149">
        <f>IF($A48="","",IF($A48&lt;=Inputs!$B$15,Inputs!$B$30,0))</f>
        <v>3406.3846153846157</v>
      </c>
      <c r="X48" s="149">
        <f t="shared" si="12"/>
        <v>63034.172307692315</v>
      </c>
      <c r="Y48" s="149">
        <f t="shared" si="13"/>
        <v>63034.172307692315</v>
      </c>
      <c r="Z48" s="149">
        <f t="shared" si="14"/>
        <v>0</v>
      </c>
      <c r="AA48" s="149">
        <f>IF($B48="","",IF(OR($B49="",ROUNDUP(($A48+1)/Inputs!$B$14,0)&gt;$B48),SUMIF($B$4:$B48,$B48,U$4:U48),0))</f>
        <v>0</v>
      </c>
      <c r="AB48" s="149">
        <f>IF($B48="","",IF(OR($B49="",ROUNDUP(($A48+1)/Inputs!$B$14,0)&gt;$B48),SUMIF($B$4:$B48,$B48,V$4:V48),0))</f>
        <v>0</v>
      </c>
      <c r="AC48" s="149">
        <f>IF($B48="","",IF(OR($B49="",ROUNDUP(($A48+1)/Inputs!$B$14,0)&gt;$B48),SUMIF($B$4:$B48,$B48,W$4:W48),0))</f>
        <v>0</v>
      </c>
      <c r="AD48" s="18"/>
      <c r="AE48" s="18"/>
      <c r="AF48" s="18"/>
      <c r="AG48" s="18"/>
      <c r="AH48" s="18"/>
      <c r="AI48" s="18"/>
      <c r="AJ48" s="18"/>
      <c r="AK48" s="18"/>
    </row>
    <row r="49" spans="1:37" ht="18" customHeight="1">
      <c r="A49" s="157">
        <f>IF(A48="","",IF(AND(A48&gt;=Inputs!$B$15,S48+N48+O48+P48+Z48&lt;=0.005),"",IF(A48&gt;=Inputs!$C$67,"",A48+1)))</f>
        <v>46</v>
      </c>
      <c r="B49" s="77">
        <f>IF(A49="","",ROUNDUP(A49/Inputs!$B$14,0))</f>
        <v>11</v>
      </c>
      <c r="C49" s="160" t="str">
        <f>IF(A49="","",IF(A49&lt;Inputs!$C$66,"Pago normal",IF(A49&gt;Inputs!$B$15,"Periodo adicional con cobranza","Pago tardío + cobranza")))</f>
        <v>Pago tardío + cobranza</v>
      </c>
      <c r="D49" s="149">
        <f t="shared" si="15"/>
        <v>3702672.0559359086</v>
      </c>
      <c r="E49" s="149">
        <f>IF(A49="","",D49*Inputs!$B$17)</f>
        <v>44962.642694229602</v>
      </c>
      <c r="F49" s="149">
        <f>IF(A49="","",IF(A49&lt;Inputs!$C$66,0,Q48*Inputs!$B$17+G49*(POWER(1+Inputs!$B$18,Inputs!$C$63)-1)))</f>
        <v>3276.6923609021837</v>
      </c>
      <c r="G49" s="149">
        <f>IF(A49="","",IF(A49&lt;=Inputs!$B$15,INDEX(Caso1_Normal!$H$4:$H$89,A49),0))</f>
        <v>67679.766061479138</v>
      </c>
      <c r="H49" s="149">
        <f>IF(A49="","",IF(AND(A49&gt;=Inputs!$C$66,D49&gt;0.005),Inputs!$C$65,0))</f>
        <v>42000</v>
      </c>
      <c r="I49" s="149">
        <f>IF(A49="","",MIN(Inputs!$B$20+X49,D49+N48+H49+O48+F49+P48+E49+Z48+X49))</f>
        <v>174048.99418446081</v>
      </c>
      <c r="J49" s="149">
        <f t="shared" si="16"/>
        <v>42000</v>
      </c>
      <c r="K49" s="149">
        <f t="shared" si="17"/>
        <v>3276.6923609021837</v>
      </c>
      <c r="L49" s="149">
        <f t="shared" si="18"/>
        <v>44962.642694229602</v>
      </c>
      <c r="M49" s="149">
        <f t="shared" si="11"/>
        <v>20775.48682163671</v>
      </c>
      <c r="N49" s="149">
        <f t="shared" si="19"/>
        <v>0</v>
      </c>
      <c r="O49" s="149">
        <f t="shared" si="20"/>
        <v>0</v>
      </c>
      <c r="P49" s="149">
        <f t="shared" si="21"/>
        <v>0</v>
      </c>
      <c r="Q49" s="149">
        <f t="shared" si="22"/>
        <v>180936.00189108905</v>
      </c>
      <c r="R49" s="149">
        <f t="shared" si="23"/>
        <v>3500960.5672231829</v>
      </c>
      <c r="S49" s="149">
        <f t="shared" si="24"/>
        <v>3681896.569114272</v>
      </c>
      <c r="T49" s="163" t="str">
        <f t="shared" si="25"/>
        <v>En mora</v>
      </c>
      <c r="U49" s="149">
        <f>IF($A49="","",IF($A49&lt;=Inputs!$B$15,Inputs!$B$28,0))</f>
        <v>48643.172307692315</v>
      </c>
      <c r="V49" s="149">
        <f>IF($A49="","",IF($A49&lt;=Inputs!$B$15,Inputs!$B$29,0))</f>
        <v>10984.615384615387</v>
      </c>
      <c r="W49" s="149">
        <f>IF($A49="","",IF($A49&lt;=Inputs!$B$15,Inputs!$B$30,0))</f>
        <v>3406.3846153846157</v>
      </c>
      <c r="X49" s="149">
        <f t="shared" si="12"/>
        <v>63034.172307692315</v>
      </c>
      <c r="Y49" s="149">
        <f t="shared" si="13"/>
        <v>63034.172307692315</v>
      </c>
      <c r="Z49" s="149">
        <f t="shared" si="14"/>
        <v>0</v>
      </c>
      <c r="AA49" s="149">
        <f>IF($B49="","",IF(OR($B50="",ROUNDUP(($A49+1)/Inputs!$B$14,0)&gt;$B49),SUMIF($B$4:$B49,$B49,U$4:U49),0))</f>
        <v>0</v>
      </c>
      <c r="AB49" s="149">
        <f>IF($B49="","",IF(OR($B50="",ROUNDUP(($A49+1)/Inputs!$B$14,0)&gt;$B49),SUMIF($B$4:$B49,$B49,V$4:V49),0))</f>
        <v>0</v>
      </c>
      <c r="AC49" s="149">
        <f>IF($B49="","",IF(OR($B50="",ROUNDUP(($A49+1)/Inputs!$B$14,0)&gt;$B49),SUMIF($B$4:$B49,$B49,W$4:W49),0))</f>
        <v>0</v>
      </c>
      <c r="AD49" s="18"/>
      <c r="AE49" s="18"/>
      <c r="AF49" s="18"/>
      <c r="AG49" s="18"/>
      <c r="AH49" s="18"/>
      <c r="AI49" s="18"/>
      <c r="AJ49" s="18"/>
      <c r="AK49" s="18"/>
    </row>
    <row r="50" spans="1:37" ht="18" customHeight="1">
      <c r="A50" s="157">
        <f>IF(A49="","",IF(AND(A49&gt;=Inputs!$B$15,S49+N49+O49+P49+Z49&lt;=0.005),"",IF(A49&gt;=Inputs!$C$67,"",A49+1)))</f>
        <v>47</v>
      </c>
      <c r="B50" s="77">
        <f>IF(A50="","",ROUNDUP(A50/Inputs!$B$14,0))</f>
        <v>11</v>
      </c>
      <c r="C50" s="160" t="str">
        <f>IF(A50="","",IF(A50&lt;Inputs!$C$66,"Pago normal",IF(A50&gt;Inputs!$B$15,"Periodo adicional con cobranza","Pago tardío + cobranza")))</f>
        <v>Pago tardío + cobranza</v>
      </c>
      <c r="D50" s="149">
        <f t="shared" si="15"/>
        <v>3681896.569114272</v>
      </c>
      <c r="E50" s="149">
        <f>IF(A50="","",D50*Inputs!$B$17)</f>
        <v>44710.359808613961</v>
      </c>
      <c r="F50" s="149">
        <f>IF(A50="","",IF(A50&lt;Inputs!$C$66,0,Q49*Inputs!$B$17+G50*(POWER(1+Inputs!$B$18,Inputs!$C$63)-1)))</f>
        <v>3866.2904824377256</v>
      </c>
      <c r="G50" s="149">
        <f>IF(A50="","",IF(A50&lt;=Inputs!$B$15,INDEX(Caso1_Normal!$H$4:$H$89,A50),0))</f>
        <v>68501.621492659673</v>
      </c>
      <c r="H50" s="149">
        <f>IF(A50="","",IF(AND(A50&gt;=Inputs!$C$66,D50&gt;0.005),Inputs!$C$65,0))</f>
        <v>42000</v>
      </c>
      <c r="I50" s="149">
        <f>IF(A50="","",MIN(Inputs!$B$20+X50,D50+N49+H50+O49+F50+P49+E50+Z49+X50))</f>
        <v>174048.99418446081</v>
      </c>
      <c r="J50" s="149">
        <f t="shared" si="16"/>
        <v>42000</v>
      </c>
      <c r="K50" s="149">
        <f t="shared" si="17"/>
        <v>3866.2904824377256</v>
      </c>
      <c r="L50" s="149">
        <f t="shared" si="18"/>
        <v>44710.359808613961</v>
      </c>
      <c r="M50" s="149">
        <f t="shared" si="11"/>
        <v>20438.171585716809</v>
      </c>
      <c r="N50" s="149">
        <f t="shared" si="19"/>
        <v>0</v>
      </c>
      <c r="O50" s="149">
        <f t="shared" si="20"/>
        <v>0</v>
      </c>
      <c r="P50" s="149">
        <f t="shared" si="21"/>
        <v>0</v>
      </c>
      <c r="Q50" s="149">
        <f t="shared" si="22"/>
        <v>228999.45179803192</v>
      </c>
      <c r="R50" s="149">
        <f t="shared" si="23"/>
        <v>3432458.9457305232</v>
      </c>
      <c r="S50" s="149">
        <f t="shared" si="24"/>
        <v>3661458.3975285552</v>
      </c>
      <c r="T50" s="163" t="str">
        <f t="shared" si="25"/>
        <v>En mora</v>
      </c>
      <c r="U50" s="149">
        <f>IF($A50="","",IF($A50&lt;=Inputs!$B$15,Inputs!$B$28,0))</f>
        <v>48643.172307692315</v>
      </c>
      <c r="V50" s="149">
        <f>IF($A50="","",IF($A50&lt;=Inputs!$B$15,Inputs!$B$29,0))</f>
        <v>10984.615384615387</v>
      </c>
      <c r="W50" s="149">
        <f>IF($A50="","",IF($A50&lt;=Inputs!$B$15,Inputs!$B$30,0))</f>
        <v>3406.3846153846157</v>
      </c>
      <c r="X50" s="149">
        <f t="shared" si="12"/>
        <v>63034.172307692315</v>
      </c>
      <c r="Y50" s="149">
        <f t="shared" si="13"/>
        <v>63034.172307692315</v>
      </c>
      <c r="Z50" s="149">
        <f t="shared" si="14"/>
        <v>0</v>
      </c>
      <c r="AA50" s="149">
        <f>IF($B50="","",IF(OR($B51="",ROUNDUP(($A50+1)/Inputs!$B$14,0)&gt;$B50),SUMIF($B$4:$B50,$B50,U$4:U50),0))</f>
        <v>194572.68923076926</v>
      </c>
      <c r="AB50" s="149">
        <f>IF($B50="","",IF(OR($B51="",ROUNDUP(($A50+1)/Inputs!$B$14,0)&gt;$B50),SUMIF($B$4:$B50,$B50,V$4:V50),0))</f>
        <v>43938.461538461546</v>
      </c>
      <c r="AC50" s="149">
        <f>IF($B50="","",IF(OR($B51="",ROUNDUP(($A50+1)/Inputs!$B$14,0)&gt;$B50),SUMIF($B$4:$B50,$B50,W$4:W50),0))</f>
        <v>13625.538461538463</v>
      </c>
      <c r="AD50" s="18"/>
      <c r="AE50" s="18"/>
      <c r="AF50" s="18"/>
      <c r="AG50" s="18"/>
      <c r="AH50" s="18"/>
      <c r="AI50" s="18"/>
      <c r="AJ50" s="18"/>
      <c r="AK50" s="18"/>
    </row>
    <row r="51" spans="1:37" ht="18" customHeight="1">
      <c r="A51" s="157">
        <f>IF(A50="","",IF(AND(A50&gt;=Inputs!$B$15,S50+N50+O50+P50+Z50&lt;=0.005),"",IF(A50&gt;=Inputs!$C$67,"",A50+1)))</f>
        <v>48</v>
      </c>
      <c r="B51" s="77">
        <f>IF(A51="","",ROUNDUP(A51/Inputs!$B$14,0))</f>
        <v>12</v>
      </c>
      <c r="C51" s="160" t="str">
        <f>IF(A51="","",IF(A51&lt;Inputs!$C$66,"Pago normal",IF(A51&gt;Inputs!$B$15,"Periodo adicional con cobranza","Pago tardío + cobranza")))</f>
        <v>Pago tardío + cobranza</v>
      </c>
      <c r="D51" s="149">
        <f t="shared" si="15"/>
        <v>3661458.3975285552</v>
      </c>
      <c r="E51" s="149">
        <f>IF(A51="","",D51*Inputs!$B$17)</f>
        <v>44462.17304174685</v>
      </c>
      <c r="F51" s="149">
        <f>IF(A51="","",IF(A51&lt;Inputs!$C$66,0,Q50*Inputs!$B$17+G51*(POWER(1+Inputs!$B$18,Inputs!$C$63)-1)))</f>
        <v>4470.2079329720618</v>
      </c>
      <c r="G51" s="149">
        <f>IF(A51="","",IF(A51&lt;=Inputs!$B$15,INDEX(Caso1_Normal!$H$4:$H$89,A51),0))</f>
        <v>69333.456957594288</v>
      </c>
      <c r="H51" s="149">
        <f>IF(A51="","",IF(AND(A51&gt;=Inputs!$C$66,D51&gt;0.005),Inputs!$C$65,0))</f>
        <v>42000</v>
      </c>
      <c r="I51" s="149">
        <f>IF(A51="","",MIN(Inputs!$B$20+X51,D51+N50+H51+O50+F51+P50+E51+Z50+X51))</f>
        <v>174048.99418446081</v>
      </c>
      <c r="J51" s="149">
        <f t="shared" si="16"/>
        <v>42000</v>
      </c>
      <c r="K51" s="149">
        <f t="shared" si="17"/>
        <v>4470.2079329720618</v>
      </c>
      <c r="L51" s="149">
        <f t="shared" si="18"/>
        <v>44462.17304174685</v>
      </c>
      <c r="M51" s="149">
        <f t="shared" si="11"/>
        <v>20082.440902049588</v>
      </c>
      <c r="N51" s="149">
        <f t="shared" si="19"/>
        <v>0</v>
      </c>
      <c r="O51" s="149">
        <f t="shared" si="20"/>
        <v>0</v>
      </c>
      <c r="P51" s="149">
        <f t="shared" si="21"/>
        <v>0</v>
      </c>
      <c r="Q51" s="149">
        <f t="shared" si="22"/>
        <v>278250.46785357659</v>
      </c>
      <c r="R51" s="149">
        <f t="shared" si="23"/>
        <v>3363125.4887729292</v>
      </c>
      <c r="S51" s="149">
        <f t="shared" si="24"/>
        <v>3641375.9566265056</v>
      </c>
      <c r="T51" s="163" t="str">
        <f t="shared" si="25"/>
        <v>En mora</v>
      </c>
      <c r="U51" s="149">
        <f>IF($A51="","",IF($A51&lt;=Inputs!$B$15,Inputs!$B$28,0))</f>
        <v>48643.172307692315</v>
      </c>
      <c r="V51" s="149">
        <f>IF($A51="","",IF($A51&lt;=Inputs!$B$15,Inputs!$B$29,0))</f>
        <v>10984.615384615387</v>
      </c>
      <c r="W51" s="149">
        <f>IF($A51="","",IF($A51&lt;=Inputs!$B$15,Inputs!$B$30,0))</f>
        <v>3406.3846153846157</v>
      </c>
      <c r="X51" s="149">
        <f t="shared" si="12"/>
        <v>63034.172307692315</v>
      </c>
      <c r="Y51" s="149">
        <f t="shared" si="13"/>
        <v>63034.172307692315</v>
      </c>
      <c r="Z51" s="149">
        <f t="shared" si="14"/>
        <v>0</v>
      </c>
      <c r="AA51" s="149">
        <f>IF($B51="","",IF(OR($B52="",ROUNDUP(($A51+1)/Inputs!$B$14,0)&gt;$B51),SUMIF($B$4:$B51,$B51,U$4:U51),0))</f>
        <v>0</v>
      </c>
      <c r="AB51" s="149">
        <f>IF($B51="","",IF(OR($B52="",ROUNDUP(($A51+1)/Inputs!$B$14,0)&gt;$B51),SUMIF($B$4:$B51,$B51,V$4:V51),0))</f>
        <v>0</v>
      </c>
      <c r="AC51" s="149">
        <f>IF($B51="","",IF(OR($B52="",ROUNDUP(($A51+1)/Inputs!$B$14,0)&gt;$B51),SUMIF($B$4:$B51,$B51,W$4:W51),0))</f>
        <v>0</v>
      </c>
      <c r="AD51" s="18"/>
      <c r="AE51" s="18"/>
      <c r="AF51" s="18"/>
      <c r="AG51" s="18"/>
      <c r="AH51" s="18"/>
      <c r="AI51" s="18"/>
      <c r="AJ51" s="18"/>
      <c r="AK51" s="18"/>
    </row>
    <row r="52" spans="1:37" ht="18" customHeight="1">
      <c r="A52" s="157">
        <f>IF(A51="","",IF(AND(A51&gt;=Inputs!$B$15,S51+N51+O51+P51+Z51&lt;=0.005),"",IF(A51&gt;=Inputs!$C$67,"",A51+1)))</f>
        <v>49</v>
      </c>
      <c r="B52" s="77">
        <f>IF(A52="","",ROUNDUP(A52/Inputs!$B$14,0))</f>
        <v>12</v>
      </c>
      <c r="C52" s="160" t="str">
        <f>IF(A52="","",IF(A52&lt;Inputs!$C$66,"Pago normal",IF(A52&gt;Inputs!$B$15,"Periodo adicional con cobranza","Pago tardío + cobranza")))</f>
        <v>Pago tardío + cobranza</v>
      </c>
      <c r="D52" s="149">
        <f t="shared" si="15"/>
        <v>3641375.9566265056</v>
      </c>
      <c r="E52" s="149">
        <f>IF(A52="","",D52*Inputs!$B$17)</f>
        <v>44218.306017860879</v>
      </c>
      <c r="F52" s="149">
        <f>IF(A52="","",IF(A52&lt;Inputs!$C$66,0,Q51*Inputs!$B$17+G52*(POWER(1+Inputs!$B$18,Inputs!$C$63)-1)))</f>
        <v>5088.7924802057396</v>
      </c>
      <c r="G52" s="149">
        <f>IF(A52="","",IF(A52&lt;=Inputs!$B$15,INDEX(Caso1_Normal!$H$4:$H$89,A52),0))</f>
        <v>70175.393646786732</v>
      </c>
      <c r="H52" s="149">
        <f>IF(A52="","",IF(AND(A52&gt;=Inputs!$C$66,D52&gt;0.005),Inputs!$C$65,0))</f>
        <v>42000</v>
      </c>
      <c r="I52" s="149">
        <f>IF(A52="","",MIN(Inputs!$B$20+X52,D52+N51+H52+O51+F52+P51+E52+Z51+X52))</f>
        <v>174048.99418446081</v>
      </c>
      <c r="J52" s="149">
        <f t="shared" si="16"/>
        <v>42000</v>
      </c>
      <c r="K52" s="149">
        <f t="shared" si="17"/>
        <v>5088.7924802057396</v>
      </c>
      <c r="L52" s="149">
        <f t="shared" si="18"/>
        <v>44218.306017860879</v>
      </c>
      <c r="M52" s="149">
        <f t="shared" si="11"/>
        <v>19707.72337870187</v>
      </c>
      <c r="N52" s="149">
        <f t="shared" si="19"/>
        <v>0</v>
      </c>
      <c r="O52" s="149">
        <f t="shared" si="20"/>
        <v>0</v>
      </c>
      <c r="P52" s="149">
        <f t="shared" si="21"/>
        <v>0</v>
      </c>
      <c r="Q52" s="149">
        <f t="shared" si="22"/>
        <v>328718.13812166144</v>
      </c>
      <c r="R52" s="149">
        <f t="shared" si="23"/>
        <v>3292950.0951261423</v>
      </c>
      <c r="S52" s="149">
        <f t="shared" si="24"/>
        <v>3621668.2332478035</v>
      </c>
      <c r="T52" s="163" t="str">
        <f t="shared" si="25"/>
        <v>En mora</v>
      </c>
      <c r="U52" s="149">
        <f>IF($A52="","",IF($A52&lt;=Inputs!$B$15,Inputs!$B$28,0))</f>
        <v>48643.172307692315</v>
      </c>
      <c r="V52" s="149">
        <f>IF($A52="","",IF($A52&lt;=Inputs!$B$15,Inputs!$B$29,0))</f>
        <v>10984.615384615387</v>
      </c>
      <c r="W52" s="149">
        <f>IF($A52="","",IF($A52&lt;=Inputs!$B$15,Inputs!$B$30,0))</f>
        <v>3406.3846153846157</v>
      </c>
      <c r="X52" s="149">
        <f t="shared" si="12"/>
        <v>63034.172307692315</v>
      </c>
      <c r="Y52" s="149">
        <f t="shared" si="13"/>
        <v>63034.172307692315</v>
      </c>
      <c r="Z52" s="149">
        <f t="shared" si="14"/>
        <v>0</v>
      </c>
      <c r="AA52" s="149">
        <f>IF($B52="","",IF(OR($B53="",ROUNDUP(($A52+1)/Inputs!$B$14,0)&gt;$B52),SUMIF($B$4:$B52,$B52,U$4:U52),0))</f>
        <v>0</v>
      </c>
      <c r="AB52" s="149">
        <f>IF($B52="","",IF(OR($B53="",ROUNDUP(($A52+1)/Inputs!$B$14,0)&gt;$B52),SUMIF($B$4:$B52,$B52,V$4:V52),0))</f>
        <v>0</v>
      </c>
      <c r="AC52" s="149">
        <f>IF($B52="","",IF(OR($B53="",ROUNDUP(($A52+1)/Inputs!$B$14,0)&gt;$B52),SUMIF($B$4:$B52,$B52,W$4:W52),0))</f>
        <v>0</v>
      </c>
      <c r="AD52" s="18"/>
      <c r="AE52" s="18"/>
      <c r="AF52" s="18"/>
      <c r="AG52" s="18"/>
      <c r="AH52" s="18"/>
      <c r="AI52" s="18"/>
      <c r="AJ52" s="18"/>
      <c r="AK52" s="18"/>
    </row>
    <row r="53" spans="1:37" ht="18" customHeight="1">
      <c r="A53" s="157">
        <f>IF(A52="","",IF(AND(A52&gt;=Inputs!$B$15,S52+N52+O52+P52+Z52&lt;=0.005),"",IF(A52&gt;=Inputs!$C$67,"",A52+1)))</f>
        <v>50</v>
      </c>
      <c r="B53" s="77">
        <f>IF(A53="","",ROUNDUP(A53/Inputs!$B$14,0))</f>
        <v>12</v>
      </c>
      <c r="C53" s="160" t="str">
        <f>IF(A53="","",IF(A53&lt;Inputs!$C$66,"Pago normal",IF(A53&gt;Inputs!$B$15,"Periodo adicional con cobranza","Pago tardío + cobranza")))</f>
        <v>Pago tardío + cobranza</v>
      </c>
      <c r="D53" s="149">
        <f t="shared" si="15"/>
        <v>3621668.2332478035</v>
      </c>
      <c r="E53" s="149">
        <f>IF(A53="","",D53*Inputs!$B$17)</f>
        <v>43978.989299770023</v>
      </c>
      <c r="F53" s="149">
        <f>IF(A53="","",IF(A53&lt;Inputs!$C$66,0,Q52*Inputs!$B$17+G53*(POWER(1+Inputs!$B$18,Inputs!$C$63)-1)))</f>
        <v>5722.4003379315545</v>
      </c>
      <c r="G53" s="149">
        <f>IF(A53="","",IF(A53&lt;=Inputs!$B$15,INDEX(Caso1_Normal!$H$4:$H$89,A53),0))</f>
        <v>71027.554222392937</v>
      </c>
      <c r="H53" s="149">
        <f>IF(A53="","",IF(AND(A53&gt;=Inputs!$C$66,D53&gt;0.005),Inputs!$C$65,0))</f>
        <v>42000</v>
      </c>
      <c r="I53" s="149">
        <f>IF(A53="","",MIN(Inputs!$B$20+X53,D53+N52+H53+O52+F53+P52+E53+Z52+X53))</f>
        <v>174048.99418446081</v>
      </c>
      <c r="J53" s="149">
        <f t="shared" si="16"/>
        <v>42000</v>
      </c>
      <c r="K53" s="149">
        <f t="shared" si="17"/>
        <v>5722.4003379315545</v>
      </c>
      <c r="L53" s="149">
        <f t="shared" si="18"/>
        <v>43978.989299770023</v>
      </c>
      <c r="M53" s="149">
        <f t="shared" si="11"/>
        <v>19313.432239066919</v>
      </c>
      <c r="N53" s="149">
        <f t="shared" si="19"/>
        <v>0</v>
      </c>
      <c r="O53" s="149">
        <f t="shared" si="20"/>
        <v>0</v>
      </c>
      <c r="P53" s="149">
        <f t="shared" si="21"/>
        <v>0</v>
      </c>
      <c r="Q53" s="149">
        <f t="shared" si="22"/>
        <v>380432.26010498742</v>
      </c>
      <c r="R53" s="149">
        <f t="shared" si="23"/>
        <v>3221922.5409037494</v>
      </c>
      <c r="S53" s="149">
        <f t="shared" si="24"/>
        <v>3602354.8010087367</v>
      </c>
      <c r="T53" s="163" t="str">
        <f t="shared" si="25"/>
        <v>En mora</v>
      </c>
      <c r="U53" s="149">
        <f>IF($A53="","",IF($A53&lt;=Inputs!$B$15,Inputs!$B$28,0))</f>
        <v>48643.172307692315</v>
      </c>
      <c r="V53" s="149">
        <f>IF($A53="","",IF($A53&lt;=Inputs!$B$15,Inputs!$B$29,0))</f>
        <v>10984.615384615387</v>
      </c>
      <c r="W53" s="149">
        <f>IF($A53="","",IF($A53&lt;=Inputs!$B$15,Inputs!$B$30,0))</f>
        <v>3406.3846153846157</v>
      </c>
      <c r="X53" s="149">
        <f t="shared" si="12"/>
        <v>63034.172307692315</v>
      </c>
      <c r="Y53" s="149">
        <f t="shared" si="13"/>
        <v>63034.172307692315</v>
      </c>
      <c r="Z53" s="149">
        <f t="shared" si="14"/>
        <v>0</v>
      </c>
      <c r="AA53" s="149">
        <f>IF($B53="","",IF(OR($B54="",ROUNDUP(($A53+1)/Inputs!$B$14,0)&gt;$B53),SUMIF($B$4:$B53,$B53,U$4:U53),0))</f>
        <v>0</v>
      </c>
      <c r="AB53" s="149">
        <f>IF($B53="","",IF(OR($B54="",ROUNDUP(($A53+1)/Inputs!$B$14,0)&gt;$B53),SUMIF($B$4:$B53,$B53,V$4:V53),0))</f>
        <v>0</v>
      </c>
      <c r="AC53" s="149">
        <f>IF($B53="","",IF(OR($B54="",ROUNDUP(($A53+1)/Inputs!$B$14,0)&gt;$B53),SUMIF($B$4:$B53,$B53,W$4:W53),0))</f>
        <v>0</v>
      </c>
      <c r="AD53" s="18"/>
      <c r="AE53" s="18"/>
      <c r="AF53" s="18"/>
      <c r="AG53" s="18"/>
      <c r="AH53" s="18"/>
      <c r="AI53" s="18"/>
      <c r="AJ53" s="18"/>
      <c r="AK53" s="18"/>
    </row>
    <row r="54" spans="1:37" ht="18" customHeight="1">
      <c r="A54" s="157">
        <f>IF(A53="","",IF(AND(A53&gt;=Inputs!$B$15,S53+N53+O53+P53+Z53&lt;=0.005),"",IF(A53&gt;=Inputs!$C$67,"",A53+1)))</f>
        <v>51</v>
      </c>
      <c r="B54" s="77">
        <f>IF(A54="","",ROUNDUP(A54/Inputs!$B$14,0))</f>
        <v>12</v>
      </c>
      <c r="C54" s="160" t="str">
        <f>IF(A54="","",IF(A54&lt;Inputs!$C$66,"Pago normal",IF(A54&gt;Inputs!$B$15,"Periodo adicional con cobranza","Pago tardío + cobranza")))</f>
        <v>Pago tardío + cobranza</v>
      </c>
      <c r="D54" s="149">
        <f t="shared" si="15"/>
        <v>3602354.8010087367</v>
      </c>
      <c r="E54" s="149">
        <f>IF(A54="","",D54*Inputs!$B$17)</f>
        <v>43744.460575690275</v>
      </c>
      <c r="F54" s="149">
        <f>IF(A54="","",IF(A54&lt;Inputs!$C$66,0,Q53*Inputs!$B$17+G54*(POWER(1+Inputs!$B$18,Inputs!$C$63)-1)))</f>
        <v>6371.3963711613324</v>
      </c>
      <c r="G54" s="149">
        <f>IF(A54="","",IF(A54&lt;=Inputs!$B$15,INDEX(Caso1_Normal!$H$4:$H$89,A54),0))</f>
        <v>71890.062836091718</v>
      </c>
      <c r="H54" s="149">
        <f>IF(A54="","",IF(AND(A54&gt;=Inputs!$C$66,D54&gt;0.005),Inputs!$C$65,0))</f>
        <v>42000</v>
      </c>
      <c r="I54" s="149">
        <f>IF(A54="","",MIN(Inputs!$B$20+X54,D54+N53+H54+O53+F54+P53+E54+Z53+X54))</f>
        <v>174048.99418446081</v>
      </c>
      <c r="J54" s="149">
        <f t="shared" si="16"/>
        <v>42000</v>
      </c>
      <c r="K54" s="149">
        <f t="shared" si="17"/>
        <v>6371.3963711613324</v>
      </c>
      <c r="L54" s="149">
        <f t="shared" si="18"/>
        <v>43744.460575690275</v>
      </c>
      <c r="M54" s="149">
        <f t="shared" si="11"/>
        <v>18898.964929916889</v>
      </c>
      <c r="N54" s="149">
        <f t="shared" si="19"/>
        <v>0</v>
      </c>
      <c r="O54" s="149">
        <f t="shared" si="20"/>
        <v>0</v>
      </c>
      <c r="P54" s="149">
        <f t="shared" si="21"/>
        <v>0</v>
      </c>
      <c r="Q54" s="149">
        <f t="shared" si="22"/>
        <v>433423.35801116226</v>
      </c>
      <c r="R54" s="149">
        <f t="shared" si="23"/>
        <v>3150032.4780676574</v>
      </c>
      <c r="S54" s="149">
        <f t="shared" si="24"/>
        <v>3583455.8360788198</v>
      </c>
      <c r="T54" s="163" t="str">
        <f t="shared" si="25"/>
        <v>En mora</v>
      </c>
      <c r="U54" s="149">
        <f>IF($A54="","",IF($A54&lt;=Inputs!$B$15,Inputs!$B$28,0))</f>
        <v>48643.172307692315</v>
      </c>
      <c r="V54" s="149">
        <f>IF($A54="","",IF($A54&lt;=Inputs!$B$15,Inputs!$B$29,0))</f>
        <v>10984.615384615387</v>
      </c>
      <c r="W54" s="149">
        <f>IF($A54="","",IF($A54&lt;=Inputs!$B$15,Inputs!$B$30,0))</f>
        <v>3406.3846153846157</v>
      </c>
      <c r="X54" s="149">
        <f t="shared" si="12"/>
        <v>63034.172307692315</v>
      </c>
      <c r="Y54" s="149">
        <f t="shared" si="13"/>
        <v>63034.172307692315</v>
      </c>
      <c r="Z54" s="149">
        <f t="shared" si="14"/>
        <v>0</v>
      </c>
      <c r="AA54" s="149">
        <f>IF($B54="","",IF(OR($B55="",ROUNDUP(($A54+1)/Inputs!$B$14,0)&gt;$B54),SUMIF($B$4:$B54,$B54,U$4:U54),0))</f>
        <v>0</v>
      </c>
      <c r="AB54" s="149">
        <f>IF($B54="","",IF(OR($B55="",ROUNDUP(($A54+1)/Inputs!$B$14,0)&gt;$B54),SUMIF($B$4:$B54,$B54,V$4:V54),0))</f>
        <v>0</v>
      </c>
      <c r="AC54" s="149">
        <f>IF($B54="","",IF(OR($B55="",ROUNDUP(($A54+1)/Inputs!$B$14,0)&gt;$B54),SUMIF($B$4:$B54,$B54,W$4:W54),0))</f>
        <v>0</v>
      </c>
      <c r="AD54" s="18"/>
      <c r="AE54" s="18"/>
      <c r="AF54" s="18"/>
      <c r="AG54" s="18"/>
      <c r="AH54" s="18"/>
      <c r="AI54" s="18"/>
      <c r="AJ54" s="18"/>
      <c r="AK54" s="18"/>
    </row>
    <row r="55" spans="1:37" ht="18" customHeight="1">
      <c r="A55" s="157">
        <f>IF(A54="","",IF(AND(A54&gt;=Inputs!$B$15,S54+N54+O54+P54+Z54&lt;=0.005),"",IF(A54&gt;=Inputs!$C$67,"",A54+1)))</f>
        <v>52</v>
      </c>
      <c r="B55" s="77">
        <f>IF(A55="","",ROUNDUP(A55/Inputs!$B$14,0))</f>
        <v>12</v>
      </c>
      <c r="C55" s="160" t="str">
        <f>IF(A55="","",IF(A55&lt;Inputs!$C$66,"Pago normal",IF(A55&gt;Inputs!$B$15,"Periodo adicional con cobranza","Pago tardío + cobranza")))</f>
        <v>Pago tardío + cobranza</v>
      </c>
      <c r="D55" s="149">
        <f t="shared" si="15"/>
        <v>3583455.8360788198</v>
      </c>
      <c r="E55" s="149">
        <f>IF(A55="","",D55*Inputs!$B$17)</f>
        <v>43514.964850819815</v>
      </c>
      <c r="F55" s="149">
        <f>IF(A55="","",IF(A55&lt;Inputs!$C$66,0,Q54*Inputs!$B$17+G55*(POWER(1+Inputs!$B$18,Inputs!$C$63)-1)))</f>
        <v>7036.1543062345663</v>
      </c>
      <c r="G55" s="149">
        <f>IF(A55="","",IF(A55&lt;=Inputs!$B$15,INDEX(Caso1_Normal!$H$4:$H$89,A55),0))</f>
        <v>72763.045147172437</v>
      </c>
      <c r="H55" s="149">
        <f>IF(A55="","",IF(AND(A55&gt;=Inputs!$C$66,D55&gt;0.005),Inputs!$C$65,0))</f>
        <v>42000</v>
      </c>
      <c r="I55" s="149">
        <f>IF(A55="","",MIN(Inputs!$B$20+X55,D55+N54+H55+O54+F55+P54+E55+Z54+X55))</f>
        <v>174048.99418446081</v>
      </c>
      <c r="J55" s="149">
        <f t="shared" si="16"/>
        <v>42000</v>
      </c>
      <c r="K55" s="149">
        <f t="shared" si="17"/>
        <v>7036.1543062345663</v>
      </c>
      <c r="L55" s="149">
        <f t="shared" si="18"/>
        <v>43514.964850819815</v>
      </c>
      <c r="M55" s="149">
        <f t="shared" si="11"/>
        <v>18463.702719714121</v>
      </c>
      <c r="N55" s="149">
        <f t="shared" si="19"/>
        <v>0</v>
      </c>
      <c r="O55" s="149">
        <f t="shared" si="20"/>
        <v>0</v>
      </c>
      <c r="P55" s="149">
        <f t="shared" si="21"/>
        <v>0</v>
      </c>
      <c r="Q55" s="149">
        <f t="shared" si="22"/>
        <v>487722.70043862052</v>
      </c>
      <c r="R55" s="149">
        <f t="shared" si="23"/>
        <v>3077269.4329204853</v>
      </c>
      <c r="S55" s="149">
        <f t="shared" si="24"/>
        <v>3564992.1333591058</v>
      </c>
      <c r="T55" s="163" t="str">
        <f t="shared" si="25"/>
        <v>En mora</v>
      </c>
      <c r="U55" s="149">
        <f>IF($A55="","",IF($A55&lt;=Inputs!$B$15,Inputs!$B$28,0))</f>
        <v>48643.172307692315</v>
      </c>
      <c r="V55" s="149">
        <f>IF($A55="","",IF($A55&lt;=Inputs!$B$15,Inputs!$B$29,0))</f>
        <v>10984.615384615387</v>
      </c>
      <c r="W55" s="149">
        <f>IF($A55="","",IF($A55&lt;=Inputs!$B$15,Inputs!$B$30,0))</f>
        <v>3406.3846153846157</v>
      </c>
      <c r="X55" s="149">
        <f t="shared" si="12"/>
        <v>63034.172307692315</v>
      </c>
      <c r="Y55" s="149">
        <f t="shared" si="13"/>
        <v>63034.172307692315</v>
      </c>
      <c r="Z55" s="149">
        <f t="shared" si="14"/>
        <v>0</v>
      </c>
      <c r="AA55" s="149">
        <f>IF($B55="","",IF(OR($B56="",ROUNDUP(($A55+1)/Inputs!$B$14,0)&gt;$B55),SUMIF($B$4:$B55,$B55,U$4:U55),0))</f>
        <v>243215.86153846158</v>
      </c>
      <c r="AB55" s="149">
        <f>IF($B55="","",IF(OR($B56="",ROUNDUP(($A55+1)/Inputs!$B$14,0)&gt;$B55),SUMIF($B$4:$B55,$B55,V$4:V55),0))</f>
        <v>54923.076923076937</v>
      </c>
      <c r="AC55" s="149">
        <f>IF($B55="","",IF(OR($B56="",ROUNDUP(($A55+1)/Inputs!$B$14,0)&gt;$B55),SUMIF($B$4:$B55,$B55,W$4:W55),0))</f>
        <v>17031.923076923078</v>
      </c>
      <c r="AD55" s="18"/>
      <c r="AE55" s="18"/>
      <c r="AF55" s="18"/>
      <c r="AG55" s="18"/>
      <c r="AH55" s="18"/>
      <c r="AI55" s="18"/>
      <c r="AJ55" s="18"/>
      <c r="AK55" s="18"/>
    </row>
    <row r="56" spans="1:37" ht="18" customHeight="1">
      <c r="A56" s="157">
        <f>IF(A55="","",IF(AND(A55&gt;=Inputs!$B$15,S55+N55+O55+P55+Z55&lt;=0.005),"",IF(A55&gt;=Inputs!$C$67,"",A55+1)))</f>
        <v>53</v>
      </c>
      <c r="B56" s="77">
        <f>IF(A56="","",ROUNDUP(A56/Inputs!$B$14,0))</f>
        <v>13</v>
      </c>
      <c r="C56" s="160" t="str">
        <f>IF(A56="","",IF(A56&lt;Inputs!$C$66,"Pago normal",IF(A56&gt;Inputs!$B$15,"Periodo adicional con cobranza","Pago tardío + cobranza")))</f>
        <v>Pago tardío + cobranza</v>
      </c>
      <c r="D56" s="149">
        <f t="shared" si="15"/>
        <v>3564992.1333591058</v>
      </c>
      <c r="E56" s="149">
        <f>IF(A56="","",D56*Inputs!$B$17)</f>
        <v>43290.754643797001</v>
      </c>
      <c r="F56" s="149">
        <f>IF(A56="","",IF(A56&lt;Inputs!$C$66,0,Q55*Inputs!$B$17+G56*(POWER(1+Inputs!$B$18,Inputs!$C$63)-1)))</f>
        <v>7717.0569460298575</v>
      </c>
      <c r="G56" s="149">
        <f>IF(A56="","",IF(A56&lt;=Inputs!$B$15,INDEX(Caso1_Normal!$H$4:$H$89,A56),0))</f>
        <v>73646.628340842406</v>
      </c>
      <c r="H56" s="149">
        <f>IF(A56="","",IF(AND(A56&gt;=Inputs!$C$66,D56&gt;0.005),Inputs!$C$65,0))</f>
        <v>42000</v>
      </c>
      <c r="I56" s="149">
        <f>IF(A56="","",MIN(Inputs!$B$20+X56,D56+N55+H56+O55+F56+P55+E56+Z55+X56))</f>
        <v>174048.99418446081</v>
      </c>
      <c r="J56" s="149">
        <f t="shared" si="16"/>
        <v>42000</v>
      </c>
      <c r="K56" s="149">
        <f t="shared" si="17"/>
        <v>7717.0569460298575</v>
      </c>
      <c r="L56" s="149">
        <f t="shared" si="18"/>
        <v>43290.754643797001</v>
      </c>
      <c r="M56" s="149">
        <f t="shared" si="11"/>
        <v>18007.010286941637</v>
      </c>
      <c r="N56" s="149">
        <f t="shared" si="19"/>
        <v>0</v>
      </c>
      <c r="O56" s="149">
        <f t="shared" si="20"/>
        <v>0</v>
      </c>
      <c r="P56" s="149">
        <f t="shared" si="21"/>
        <v>0</v>
      </c>
      <c r="Q56" s="149">
        <f t="shared" si="22"/>
        <v>543362.3184925213</v>
      </c>
      <c r="R56" s="149">
        <f t="shared" si="23"/>
        <v>3003622.8045796426</v>
      </c>
      <c r="S56" s="149">
        <f t="shared" si="24"/>
        <v>3546985.1230721641</v>
      </c>
      <c r="T56" s="163" t="str">
        <f t="shared" si="25"/>
        <v>En mora</v>
      </c>
      <c r="U56" s="149">
        <f>IF($A56="","",IF($A56&lt;=Inputs!$B$15,Inputs!$B$28,0))</f>
        <v>48643.172307692315</v>
      </c>
      <c r="V56" s="149">
        <f>IF($A56="","",IF($A56&lt;=Inputs!$B$15,Inputs!$B$29,0))</f>
        <v>10984.615384615387</v>
      </c>
      <c r="W56" s="149">
        <f>IF($A56="","",IF($A56&lt;=Inputs!$B$15,Inputs!$B$30,0))</f>
        <v>3406.3846153846157</v>
      </c>
      <c r="X56" s="149">
        <f t="shared" si="12"/>
        <v>63034.172307692315</v>
      </c>
      <c r="Y56" s="149">
        <f t="shared" si="13"/>
        <v>63034.172307692315</v>
      </c>
      <c r="Z56" s="149">
        <f t="shared" si="14"/>
        <v>0</v>
      </c>
      <c r="AA56" s="149">
        <f>IF($B56="","",IF(OR($B57="",ROUNDUP(($A56+1)/Inputs!$B$14,0)&gt;$B56),SUMIF($B$4:$B56,$B56,U$4:U56),0))</f>
        <v>0</v>
      </c>
      <c r="AB56" s="149">
        <f>IF($B56="","",IF(OR($B57="",ROUNDUP(($A56+1)/Inputs!$B$14,0)&gt;$B56),SUMIF($B$4:$B56,$B56,V$4:V56),0))</f>
        <v>0</v>
      </c>
      <c r="AC56" s="149">
        <f>IF($B56="","",IF(OR($B57="",ROUNDUP(($A56+1)/Inputs!$B$14,0)&gt;$B56),SUMIF($B$4:$B56,$B56,W$4:W56),0))</f>
        <v>0</v>
      </c>
      <c r="AD56" s="18"/>
      <c r="AE56" s="18"/>
      <c r="AF56" s="18"/>
      <c r="AG56" s="18"/>
      <c r="AH56" s="18"/>
      <c r="AI56" s="18"/>
      <c r="AJ56" s="18"/>
      <c r="AK56" s="18"/>
    </row>
    <row r="57" spans="1:37" ht="18" customHeight="1">
      <c r="A57" s="157">
        <f>IF(A56="","",IF(AND(A56&gt;=Inputs!$B$15,S56+N56+O56+P56+Z56&lt;=0.005),"",IF(A56&gt;=Inputs!$C$67,"",A56+1)))</f>
        <v>54</v>
      </c>
      <c r="B57" s="77">
        <f>IF(A57="","",ROUNDUP(A57/Inputs!$B$14,0))</f>
        <v>13</v>
      </c>
      <c r="C57" s="160" t="str">
        <f>IF(A57="","",IF(A57&lt;Inputs!$C$66,"Pago normal",IF(A57&gt;Inputs!$B$15,"Periodo adicional con cobranza","Pago tardío + cobranza")))</f>
        <v>Pago tardío + cobranza</v>
      </c>
      <c r="D57" s="149">
        <f t="shared" si="15"/>
        <v>3546985.1230721641</v>
      </c>
      <c r="E57" s="149">
        <f>IF(A57="","",D57*Inputs!$B$17)</f>
        <v>43072.090188157425</v>
      </c>
      <c r="F57" s="149">
        <f>IF(A57="","",IF(A57&lt;Inputs!$C$66,0,Q56*Inputs!$B$17+G57*(POWER(1+Inputs!$B$18,Inputs!$C$63)-1)))</f>
        <v>8414.4963904031283</v>
      </c>
      <c r="G57" s="149">
        <f>IF(A57="","",IF(A57&lt;=Inputs!$B$15,INDEX(Caso1_Normal!$H$4:$H$89,A57),0))</f>
        <v>74540.941146756581</v>
      </c>
      <c r="H57" s="149">
        <f>IF(A57="","",IF(AND(A57&gt;=Inputs!$C$66,D57&gt;0.005),Inputs!$C$65,0))</f>
        <v>42000</v>
      </c>
      <c r="I57" s="149">
        <f>IF(A57="","",MIN(Inputs!$B$20+X57,D57+N56+H57+O56+F57+P56+E57+Z56+X57))</f>
        <v>174048.99418446081</v>
      </c>
      <c r="J57" s="149">
        <f t="shared" si="16"/>
        <v>42000</v>
      </c>
      <c r="K57" s="149">
        <f t="shared" si="17"/>
        <v>8414.4963904031283</v>
      </c>
      <c r="L57" s="149">
        <f t="shared" si="18"/>
        <v>43072.090188157425</v>
      </c>
      <c r="M57" s="149">
        <f t="shared" si="11"/>
        <v>17528.235298207939</v>
      </c>
      <c r="N57" s="149">
        <f t="shared" si="19"/>
        <v>0</v>
      </c>
      <c r="O57" s="149">
        <f t="shared" si="20"/>
        <v>0</v>
      </c>
      <c r="P57" s="149">
        <f t="shared" si="21"/>
        <v>0</v>
      </c>
      <c r="Q57" s="149">
        <f t="shared" si="22"/>
        <v>600375.02434106986</v>
      </c>
      <c r="R57" s="149">
        <f t="shared" si="23"/>
        <v>2929081.8634328861</v>
      </c>
      <c r="S57" s="149">
        <f t="shared" si="24"/>
        <v>3529456.8877739562</v>
      </c>
      <c r="T57" s="163" t="str">
        <f t="shared" si="25"/>
        <v>En mora</v>
      </c>
      <c r="U57" s="149">
        <f>IF($A57="","",IF($A57&lt;=Inputs!$B$15,Inputs!$B$28,0))</f>
        <v>48643.172307692315</v>
      </c>
      <c r="V57" s="149">
        <f>IF($A57="","",IF($A57&lt;=Inputs!$B$15,Inputs!$B$29,0))</f>
        <v>10984.615384615387</v>
      </c>
      <c r="W57" s="149">
        <f>IF($A57="","",IF($A57&lt;=Inputs!$B$15,Inputs!$B$30,0))</f>
        <v>3406.3846153846157</v>
      </c>
      <c r="X57" s="149">
        <f t="shared" si="12"/>
        <v>63034.172307692315</v>
      </c>
      <c r="Y57" s="149">
        <f t="shared" si="13"/>
        <v>63034.172307692315</v>
      </c>
      <c r="Z57" s="149">
        <f t="shared" si="14"/>
        <v>0</v>
      </c>
      <c r="AA57" s="149">
        <f>IF($B57="","",IF(OR($B58="",ROUNDUP(($A57+1)/Inputs!$B$14,0)&gt;$B57),SUMIF($B$4:$B57,$B57,U$4:U57),0))</f>
        <v>0</v>
      </c>
      <c r="AB57" s="149">
        <f>IF($B57="","",IF(OR($B58="",ROUNDUP(($A57+1)/Inputs!$B$14,0)&gt;$B57),SUMIF($B$4:$B57,$B57,V$4:V57),0))</f>
        <v>0</v>
      </c>
      <c r="AC57" s="149">
        <f>IF($B57="","",IF(OR($B58="",ROUNDUP(($A57+1)/Inputs!$B$14,0)&gt;$B57),SUMIF($B$4:$B57,$B57,W$4:W57),0))</f>
        <v>0</v>
      </c>
      <c r="AD57" s="18"/>
      <c r="AE57" s="18"/>
      <c r="AF57" s="18"/>
      <c r="AG57" s="18"/>
      <c r="AH57" s="18"/>
      <c r="AI57" s="18"/>
      <c r="AJ57" s="18"/>
      <c r="AK57" s="18"/>
    </row>
    <row r="58" spans="1:37" ht="18" customHeight="1">
      <c r="A58" s="157">
        <f>IF(A57="","",IF(AND(A57&gt;=Inputs!$B$15,S57+N57+O57+P57+Z57&lt;=0.005),"",IF(A57&gt;=Inputs!$C$67,"",A57+1)))</f>
        <v>55</v>
      </c>
      <c r="B58" s="77">
        <f>IF(A58="","",ROUNDUP(A58/Inputs!$B$14,0))</f>
        <v>13</v>
      </c>
      <c r="C58" s="160" t="str">
        <f>IF(A58="","",IF(A58&lt;Inputs!$C$66,"Pago normal",IF(A58&gt;Inputs!$B$15,"Periodo adicional con cobranza","Pago tardío + cobranza")))</f>
        <v>Pago tardío + cobranza</v>
      </c>
      <c r="D58" s="149">
        <f t="shared" si="15"/>
        <v>3529456.8877739562</v>
      </c>
      <c r="E58" s="149">
        <f>IF(A58="","",D58*Inputs!$B$17)</f>
        <v>42859.239638914143</v>
      </c>
      <c r="F58" s="149">
        <f>IF(A58="","",IF(A58&lt;Inputs!$C$66,0,Q57*Inputs!$B$17+G58*(POWER(1+Inputs!$B$18,Inputs!$C$63)-1)))</f>
        <v>9128.8742619794975</v>
      </c>
      <c r="G58" s="149">
        <f>IF(A58="","",IF(A58&lt;=Inputs!$B$15,INDEX(Caso1_Normal!$H$4:$H$89,A58),0))</f>
        <v>75446.113857772172</v>
      </c>
      <c r="H58" s="149">
        <f>IF(A58="","",IF(AND(A58&gt;=Inputs!$C$66,D58&gt;0.005),Inputs!$C$65,0))</f>
        <v>42000</v>
      </c>
      <c r="I58" s="149">
        <f>IF(A58="","",MIN(Inputs!$B$20+X58,D58+N57+H58+O57+F58+P57+E58+Z57+X58))</f>
        <v>174048.99418446081</v>
      </c>
      <c r="J58" s="149">
        <f t="shared" si="16"/>
        <v>42000</v>
      </c>
      <c r="K58" s="149">
        <f t="shared" si="17"/>
        <v>9128.8742619794975</v>
      </c>
      <c r="L58" s="149">
        <f t="shared" si="18"/>
        <v>42859.239638914143</v>
      </c>
      <c r="M58" s="149">
        <f t="shared" si="11"/>
        <v>17026.707975874866</v>
      </c>
      <c r="N58" s="149">
        <f t="shared" si="19"/>
        <v>0</v>
      </c>
      <c r="O58" s="149">
        <f t="shared" si="20"/>
        <v>0</v>
      </c>
      <c r="P58" s="149">
        <f t="shared" si="21"/>
        <v>0</v>
      </c>
      <c r="Q58" s="149">
        <f t="shared" si="22"/>
        <v>658794.43022296717</v>
      </c>
      <c r="R58" s="149">
        <f t="shared" si="23"/>
        <v>2853635.7495751143</v>
      </c>
      <c r="S58" s="149">
        <f t="shared" si="24"/>
        <v>3512430.1797980815</v>
      </c>
      <c r="T58" s="163" t="str">
        <f t="shared" si="25"/>
        <v>En mora</v>
      </c>
      <c r="U58" s="149">
        <f>IF($A58="","",IF($A58&lt;=Inputs!$B$15,Inputs!$B$28,0))</f>
        <v>48643.172307692315</v>
      </c>
      <c r="V58" s="149">
        <f>IF($A58="","",IF($A58&lt;=Inputs!$B$15,Inputs!$B$29,0))</f>
        <v>10984.615384615387</v>
      </c>
      <c r="W58" s="149">
        <f>IF($A58="","",IF($A58&lt;=Inputs!$B$15,Inputs!$B$30,0))</f>
        <v>3406.3846153846157</v>
      </c>
      <c r="X58" s="149">
        <f t="shared" si="12"/>
        <v>63034.172307692315</v>
      </c>
      <c r="Y58" s="149">
        <f t="shared" si="13"/>
        <v>63034.172307692315</v>
      </c>
      <c r="Z58" s="149">
        <f t="shared" si="14"/>
        <v>0</v>
      </c>
      <c r="AA58" s="149">
        <f>IF($B58="","",IF(OR($B59="",ROUNDUP(($A58+1)/Inputs!$B$14,0)&gt;$B58),SUMIF($B$4:$B58,$B58,U$4:U58),0))</f>
        <v>0</v>
      </c>
      <c r="AB58" s="149">
        <f>IF($B58="","",IF(OR($B59="",ROUNDUP(($A58+1)/Inputs!$B$14,0)&gt;$B58),SUMIF($B$4:$B58,$B58,V$4:V58),0))</f>
        <v>0</v>
      </c>
      <c r="AC58" s="149">
        <f>IF($B58="","",IF(OR($B59="",ROUNDUP(($A58+1)/Inputs!$B$14,0)&gt;$B58),SUMIF($B$4:$B58,$B58,W$4:W58),0))</f>
        <v>0</v>
      </c>
      <c r="AD58" s="18"/>
      <c r="AE58" s="18"/>
      <c r="AF58" s="18"/>
      <c r="AG58" s="18"/>
      <c r="AH58" s="18"/>
      <c r="AI58" s="18"/>
      <c r="AJ58" s="18"/>
      <c r="AK58" s="18"/>
    </row>
    <row r="59" spans="1:37" ht="18" customHeight="1">
      <c r="A59" s="157">
        <f>IF(A58="","",IF(AND(A58&gt;=Inputs!$B$15,S58+N58+O58+P58+Z58&lt;=0.005),"",IF(A58&gt;=Inputs!$C$67,"",A58+1)))</f>
        <v>56</v>
      </c>
      <c r="B59" s="77">
        <f>IF(A59="","",ROUNDUP(A59/Inputs!$B$14,0))</f>
        <v>13</v>
      </c>
      <c r="C59" s="160" t="str">
        <f>IF(A59="","",IF(A59&lt;Inputs!$C$66,"Pago normal",IF(A59&gt;Inputs!$B$15,"Periodo adicional con cobranza","Pago tardío + cobranza")))</f>
        <v>Pago tardío + cobranza</v>
      </c>
      <c r="D59" s="149">
        <f t="shared" si="15"/>
        <v>3512430.1797980815</v>
      </c>
      <c r="E59" s="149">
        <f>IF(A59="","",D59*Inputs!$B$17)</f>
        <v>42652.479284388304</v>
      </c>
      <c r="F59" s="149">
        <f>IF(A59="","",IF(A59&lt;Inputs!$C$66,0,Q58*Inputs!$B$17+G59*(POWER(1+Inputs!$B$18,Inputs!$C$63)-1)))</f>
        <v>9860.6019374289172</v>
      </c>
      <c r="G59" s="149">
        <f>IF(A59="","",IF(A59&lt;=Inputs!$B$15,INDEX(Caso1_Normal!$H$4:$H$89,A59),0))</f>
        <v>76362.27834893117</v>
      </c>
      <c r="H59" s="149">
        <f>IF(A59="","",IF(AND(A59&gt;=Inputs!$C$66,D59&gt;0.005),Inputs!$C$65,0))</f>
        <v>42000</v>
      </c>
      <c r="I59" s="149">
        <f>IF(A59="","",MIN(Inputs!$B$20+X59,D59+N58+H59+O58+F59+P58+E59+Z58+X59))</f>
        <v>174048.99418446081</v>
      </c>
      <c r="J59" s="149">
        <f t="shared" si="16"/>
        <v>42000</v>
      </c>
      <c r="K59" s="149">
        <f t="shared" si="17"/>
        <v>9860.6019374289172</v>
      </c>
      <c r="L59" s="149">
        <f t="shared" si="18"/>
        <v>42652.479284388304</v>
      </c>
      <c r="M59" s="149">
        <f t="shared" si="11"/>
        <v>16501.740654951274</v>
      </c>
      <c r="N59" s="149">
        <f t="shared" si="19"/>
        <v>0</v>
      </c>
      <c r="O59" s="149">
        <f t="shared" si="20"/>
        <v>0</v>
      </c>
      <c r="P59" s="149">
        <f t="shared" si="21"/>
        <v>0</v>
      </c>
      <c r="Q59" s="149">
        <f t="shared" si="22"/>
        <v>718654.96791694697</v>
      </c>
      <c r="R59" s="149">
        <f t="shared" si="23"/>
        <v>2777273.4712261832</v>
      </c>
      <c r="S59" s="149">
        <f t="shared" si="24"/>
        <v>3495928.4391431301</v>
      </c>
      <c r="T59" s="163" t="str">
        <f t="shared" si="25"/>
        <v>En mora</v>
      </c>
      <c r="U59" s="149">
        <f>IF($A59="","",IF($A59&lt;=Inputs!$B$15,Inputs!$B$28,0))</f>
        <v>48643.172307692315</v>
      </c>
      <c r="V59" s="149">
        <f>IF($A59="","",IF($A59&lt;=Inputs!$B$15,Inputs!$B$29,0))</f>
        <v>10984.615384615387</v>
      </c>
      <c r="W59" s="149">
        <f>IF($A59="","",IF($A59&lt;=Inputs!$B$15,Inputs!$B$30,0))</f>
        <v>3406.3846153846157</v>
      </c>
      <c r="X59" s="149">
        <f t="shared" si="12"/>
        <v>63034.172307692315</v>
      </c>
      <c r="Y59" s="149">
        <f t="shared" si="13"/>
        <v>63034.172307692315</v>
      </c>
      <c r="Z59" s="149">
        <f t="shared" si="14"/>
        <v>0</v>
      </c>
      <c r="AA59" s="149">
        <f>IF($B59="","",IF(OR($B60="",ROUNDUP(($A59+1)/Inputs!$B$14,0)&gt;$B59),SUMIF($B$4:$B59,$B59,U$4:U59),0))</f>
        <v>194572.68923076926</v>
      </c>
      <c r="AB59" s="149">
        <f>IF($B59="","",IF(OR($B60="",ROUNDUP(($A59+1)/Inputs!$B$14,0)&gt;$B59),SUMIF($B$4:$B59,$B59,V$4:V59),0))</f>
        <v>43938.461538461546</v>
      </c>
      <c r="AC59" s="149">
        <f>IF($B59="","",IF(OR($B60="",ROUNDUP(($A59+1)/Inputs!$B$14,0)&gt;$B59),SUMIF($B$4:$B59,$B59,W$4:W59),0))</f>
        <v>13625.538461538463</v>
      </c>
      <c r="AD59" s="18"/>
      <c r="AE59" s="18"/>
      <c r="AF59" s="18"/>
      <c r="AG59" s="18"/>
      <c r="AH59" s="18"/>
      <c r="AI59" s="18"/>
      <c r="AJ59" s="18"/>
      <c r="AK59" s="18"/>
    </row>
    <row r="60" spans="1:37" ht="18" customHeight="1">
      <c r="A60" s="157">
        <f>IF(A59="","",IF(AND(A59&gt;=Inputs!$B$15,S59+N59+O59+P59+Z59&lt;=0.005),"",IF(A59&gt;=Inputs!$C$67,"",A59+1)))</f>
        <v>57</v>
      </c>
      <c r="B60" s="77">
        <f>IF(A60="","",ROUNDUP(A60/Inputs!$B$14,0))</f>
        <v>14</v>
      </c>
      <c r="C60" s="160" t="str">
        <f>IF(A60="","",IF(A60&lt;Inputs!$C$66,"Pago normal",IF(A60&gt;Inputs!$B$15,"Periodo adicional con cobranza","Pago tardío + cobranza")))</f>
        <v>Pago tardío + cobranza</v>
      </c>
      <c r="D60" s="149">
        <f t="shared" si="15"/>
        <v>3495928.4391431301</v>
      </c>
      <c r="E60" s="149">
        <f>IF(A60="","",D60*Inputs!$B$17)</f>
        <v>42452.093763420562</v>
      </c>
      <c r="F60" s="149">
        <f>IF(A60="","",IF(A60&lt;Inputs!$C$66,0,Q59*Inputs!$B$17+G60*(POWER(1+Inputs!$B$18,Inputs!$C$63)-1)))</f>
        <v>10610.100784358656</v>
      </c>
      <c r="G60" s="149">
        <f>IF(A60="","",IF(A60&lt;=Inputs!$B$15,INDEX(Caso1_Normal!$H$4:$H$89,A60),0))</f>
        <v>77289.568096673203</v>
      </c>
      <c r="H60" s="149">
        <f>IF(A60="","",IF(AND(A60&gt;=Inputs!$C$66,D60&gt;0.005),Inputs!$C$65,0))</f>
        <v>42000</v>
      </c>
      <c r="I60" s="149">
        <f>IF(A60="","",MIN(Inputs!$B$20+X60,D60+N59+H60+O59+F60+P59+E60+Z59+X60))</f>
        <v>174048.99418446081</v>
      </c>
      <c r="J60" s="149">
        <f t="shared" si="16"/>
        <v>42000</v>
      </c>
      <c r="K60" s="149">
        <f t="shared" si="17"/>
        <v>10610.100784358656</v>
      </c>
      <c r="L60" s="149">
        <f t="shared" si="18"/>
        <v>42452.093763420562</v>
      </c>
      <c r="M60" s="149">
        <f t="shared" si="11"/>
        <v>15952.627328989278</v>
      </c>
      <c r="N60" s="149">
        <f t="shared" si="19"/>
        <v>0</v>
      </c>
      <c r="O60" s="149">
        <f t="shared" si="20"/>
        <v>0</v>
      </c>
      <c r="P60" s="149">
        <f t="shared" si="21"/>
        <v>0</v>
      </c>
      <c r="Q60" s="149">
        <f t="shared" si="22"/>
        <v>779991.90868463088</v>
      </c>
      <c r="R60" s="149">
        <f t="shared" si="23"/>
        <v>2699983.9031295101</v>
      </c>
      <c r="S60" s="149">
        <f t="shared" si="24"/>
        <v>3479975.811814141</v>
      </c>
      <c r="T60" s="163" t="str">
        <f t="shared" si="25"/>
        <v>En mora</v>
      </c>
      <c r="U60" s="149">
        <f>IF($A60="","",IF($A60&lt;=Inputs!$B$15,Inputs!$B$28,0))</f>
        <v>48643.172307692315</v>
      </c>
      <c r="V60" s="149">
        <f>IF($A60="","",IF($A60&lt;=Inputs!$B$15,Inputs!$B$29,0))</f>
        <v>10984.615384615387</v>
      </c>
      <c r="W60" s="149">
        <f>IF($A60="","",IF($A60&lt;=Inputs!$B$15,Inputs!$B$30,0))</f>
        <v>3406.3846153846157</v>
      </c>
      <c r="X60" s="149">
        <f t="shared" si="12"/>
        <v>63034.172307692315</v>
      </c>
      <c r="Y60" s="149">
        <f t="shared" si="13"/>
        <v>63034.172307692315</v>
      </c>
      <c r="Z60" s="149">
        <f t="shared" si="14"/>
        <v>0</v>
      </c>
      <c r="AA60" s="149">
        <f>IF($B60="","",IF(OR($B61="",ROUNDUP(($A60+1)/Inputs!$B$14,0)&gt;$B60),SUMIF($B$4:$B60,$B60,U$4:U60),0))</f>
        <v>0</v>
      </c>
      <c r="AB60" s="149">
        <f>IF($B60="","",IF(OR($B61="",ROUNDUP(($A60+1)/Inputs!$B$14,0)&gt;$B60),SUMIF($B$4:$B60,$B60,V$4:V60),0))</f>
        <v>0</v>
      </c>
      <c r="AC60" s="149">
        <f>IF($B60="","",IF(OR($B61="",ROUNDUP(($A60+1)/Inputs!$B$14,0)&gt;$B60),SUMIF($B$4:$B60,$B60,W$4:W60),0))</f>
        <v>0</v>
      </c>
      <c r="AD60" s="18"/>
      <c r="AE60" s="18"/>
      <c r="AF60" s="18"/>
      <c r="AG60" s="18"/>
      <c r="AH60" s="18"/>
      <c r="AI60" s="18"/>
      <c r="AJ60" s="18"/>
      <c r="AK60" s="18"/>
    </row>
    <row r="61" spans="1:37" ht="18" customHeight="1">
      <c r="A61" s="157">
        <f>IF(A60="","",IF(AND(A60&gt;=Inputs!$B$15,S60+N60+O60+P60+Z60&lt;=0.005),"",IF(A60&gt;=Inputs!$C$67,"",A60+1)))</f>
        <v>58</v>
      </c>
      <c r="B61" s="77">
        <f>IF(A61="","",ROUNDUP(A61/Inputs!$B$14,0))</f>
        <v>14</v>
      </c>
      <c r="C61" s="160" t="str">
        <f>IF(A61="","",IF(A61&lt;Inputs!$C$66,"Pago normal",IF(A61&gt;Inputs!$B$15,"Periodo adicional con cobranza","Pago tardío + cobranza")))</f>
        <v>Pago tardío + cobranza</v>
      </c>
      <c r="D61" s="149">
        <f t="shared" si="15"/>
        <v>3479975.811814141</v>
      </c>
      <c r="E61" s="149">
        <f>IF(A61="","",D61*Inputs!$B$17)</f>
        <v>42258.376288096857</v>
      </c>
      <c r="F61" s="149">
        <f>IF(A61="","",IF(A61&lt;Inputs!$C$66,0,Q60*Inputs!$B$17+G61*(POWER(1+Inputs!$B$18,Inputs!$C$63)-1)))</f>
        <v>11377.802403959129</v>
      </c>
      <c r="G61" s="149">
        <f>IF(A61="","",IF(A61&lt;=Inputs!$B$15,INDEX(Caso1_Normal!$H$4:$H$89,A61),0))</f>
        <v>78228.118198281823</v>
      </c>
      <c r="H61" s="149">
        <f>IF(A61="","",IF(AND(A61&gt;=Inputs!$C$66,D61&gt;0.005),Inputs!$C$65,0))</f>
        <v>42000</v>
      </c>
      <c r="I61" s="149">
        <f>IF(A61="","",MIN(Inputs!$B$20+X61,D61+N60+H61+O60+F61+P60+E61+Z60+X61))</f>
        <v>174048.99418446081</v>
      </c>
      <c r="J61" s="149">
        <f t="shared" si="16"/>
        <v>42000</v>
      </c>
      <c r="K61" s="149">
        <f t="shared" si="17"/>
        <v>11377.802403959129</v>
      </c>
      <c r="L61" s="149">
        <f t="shared" si="18"/>
        <v>42258.376288096857</v>
      </c>
      <c r="M61" s="149">
        <f t="shared" si="11"/>
        <v>15378.643184712513</v>
      </c>
      <c r="N61" s="149">
        <f t="shared" si="19"/>
        <v>0</v>
      </c>
      <c r="O61" s="149">
        <f t="shared" si="20"/>
        <v>0</v>
      </c>
      <c r="P61" s="149">
        <f t="shared" si="21"/>
        <v>0</v>
      </c>
      <c r="Q61" s="149">
        <f t="shared" si="22"/>
        <v>842841.38369820022</v>
      </c>
      <c r="R61" s="149">
        <f t="shared" si="23"/>
        <v>2621755.784931228</v>
      </c>
      <c r="S61" s="149">
        <f t="shared" si="24"/>
        <v>3464597.1686294284</v>
      </c>
      <c r="T61" s="163" t="str">
        <f t="shared" si="25"/>
        <v>En mora</v>
      </c>
      <c r="U61" s="149">
        <f>IF($A61="","",IF($A61&lt;=Inputs!$B$15,Inputs!$B$28,0))</f>
        <v>48643.172307692315</v>
      </c>
      <c r="V61" s="149">
        <f>IF($A61="","",IF($A61&lt;=Inputs!$B$15,Inputs!$B$29,0))</f>
        <v>10984.615384615387</v>
      </c>
      <c r="W61" s="149">
        <f>IF($A61="","",IF($A61&lt;=Inputs!$B$15,Inputs!$B$30,0))</f>
        <v>3406.3846153846157</v>
      </c>
      <c r="X61" s="149">
        <f t="shared" si="12"/>
        <v>63034.172307692315</v>
      </c>
      <c r="Y61" s="149">
        <f t="shared" si="13"/>
        <v>63034.172307692315</v>
      </c>
      <c r="Z61" s="149">
        <f t="shared" si="14"/>
        <v>0</v>
      </c>
      <c r="AA61" s="149">
        <f>IF($B61="","",IF(OR($B62="",ROUNDUP(($A61+1)/Inputs!$B$14,0)&gt;$B61),SUMIF($B$4:$B61,$B61,U$4:U61),0))</f>
        <v>0</v>
      </c>
      <c r="AB61" s="149">
        <f>IF($B61="","",IF(OR($B62="",ROUNDUP(($A61+1)/Inputs!$B$14,0)&gt;$B61),SUMIF($B$4:$B61,$B61,V$4:V61),0))</f>
        <v>0</v>
      </c>
      <c r="AC61" s="149">
        <f>IF($B61="","",IF(OR($B62="",ROUNDUP(($A61+1)/Inputs!$B$14,0)&gt;$B61),SUMIF($B$4:$B61,$B61,W$4:W61),0))</f>
        <v>0</v>
      </c>
      <c r="AD61" s="18"/>
      <c r="AE61" s="18"/>
      <c r="AF61" s="18"/>
      <c r="AG61" s="18"/>
      <c r="AH61" s="18"/>
      <c r="AI61" s="18"/>
      <c r="AJ61" s="18"/>
      <c r="AK61" s="18"/>
    </row>
    <row r="62" spans="1:37" ht="18" customHeight="1">
      <c r="A62" s="157">
        <f>IF(A61="","",IF(AND(A61&gt;=Inputs!$B$15,S61+N61+O61+P61+Z61&lt;=0.005),"",IF(A61&gt;=Inputs!$C$67,"",A61+1)))</f>
        <v>59</v>
      </c>
      <c r="B62" s="77">
        <f>IF(A62="","",ROUNDUP(A62/Inputs!$B$14,0))</f>
        <v>14</v>
      </c>
      <c r="C62" s="160" t="str">
        <f>IF(A62="","",IF(A62&lt;Inputs!$C$66,"Pago normal",IF(A62&gt;Inputs!$B$15,"Periodo adicional con cobranza","Pago tardío + cobranza")))</f>
        <v>Pago tardío + cobranza</v>
      </c>
      <c r="D62" s="149">
        <f t="shared" si="15"/>
        <v>3464597.1686294284</v>
      </c>
      <c r="E62" s="149">
        <f>IF(A62="","",D62*Inputs!$B$17)</f>
        <v>42071.628872125257</v>
      </c>
      <c r="F62" s="149">
        <f>IF(A62="","",IF(A62&lt;Inputs!$C$66,0,Q61*Inputs!$B$17+G62*(POWER(1+Inputs!$B$18,Inputs!$C$63)-1)))</f>
        <v>12164.148879542752</v>
      </c>
      <c r="G62" s="149">
        <f>IF(A62="","",IF(A62&lt;=Inputs!$B$15,INDEX(Caso1_Normal!$H$4:$H$89,A62),0))</f>
        <v>79178.065391566881</v>
      </c>
      <c r="H62" s="149">
        <f>IF(A62="","",IF(AND(A62&gt;=Inputs!$C$66,D62&gt;0.005),Inputs!$C$65,0))</f>
        <v>42000</v>
      </c>
      <c r="I62" s="149">
        <f>IF(A62="","",MIN(Inputs!$B$20+X62,D62+N61+H62+O61+F62+P61+E62+Z61+X62))</f>
        <v>174048.99418446081</v>
      </c>
      <c r="J62" s="149">
        <f t="shared" si="16"/>
        <v>42000</v>
      </c>
      <c r="K62" s="149">
        <f t="shared" si="17"/>
        <v>12164.148879542752</v>
      </c>
      <c r="L62" s="149">
        <f t="shared" si="18"/>
        <v>42071.628872125257</v>
      </c>
      <c r="M62" s="149">
        <f t="shared" si="11"/>
        <v>14779.044125100489</v>
      </c>
      <c r="N62" s="149">
        <f t="shared" si="19"/>
        <v>0</v>
      </c>
      <c r="O62" s="149">
        <f t="shared" si="20"/>
        <v>0</v>
      </c>
      <c r="P62" s="149">
        <f t="shared" si="21"/>
        <v>0</v>
      </c>
      <c r="Q62" s="149">
        <f t="shared" si="22"/>
        <v>907240.40496466658</v>
      </c>
      <c r="R62" s="149">
        <f t="shared" si="23"/>
        <v>2542577.719539661</v>
      </c>
      <c r="S62" s="149">
        <f t="shared" si="24"/>
        <v>3449818.1245043278</v>
      </c>
      <c r="T62" s="163" t="str">
        <f t="shared" si="25"/>
        <v>En mora</v>
      </c>
      <c r="U62" s="149">
        <f>IF($A62="","",IF($A62&lt;=Inputs!$B$15,Inputs!$B$28,0))</f>
        <v>48643.172307692315</v>
      </c>
      <c r="V62" s="149">
        <f>IF($A62="","",IF($A62&lt;=Inputs!$B$15,Inputs!$B$29,0))</f>
        <v>10984.615384615387</v>
      </c>
      <c r="W62" s="149">
        <f>IF($A62="","",IF($A62&lt;=Inputs!$B$15,Inputs!$B$30,0))</f>
        <v>3406.3846153846157</v>
      </c>
      <c r="X62" s="149">
        <f t="shared" si="12"/>
        <v>63034.172307692315</v>
      </c>
      <c r="Y62" s="149">
        <f t="shared" si="13"/>
        <v>63034.172307692315</v>
      </c>
      <c r="Z62" s="149">
        <f t="shared" si="14"/>
        <v>0</v>
      </c>
      <c r="AA62" s="149">
        <f>IF($B62="","",IF(OR($B63="",ROUNDUP(($A62+1)/Inputs!$B$14,0)&gt;$B62),SUMIF($B$4:$B62,$B62,U$4:U62),0))</f>
        <v>0</v>
      </c>
      <c r="AB62" s="149">
        <f>IF($B62="","",IF(OR($B63="",ROUNDUP(($A62+1)/Inputs!$B$14,0)&gt;$B62),SUMIF($B$4:$B62,$B62,V$4:V62),0))</f>
        <v>0</v>
      </c>
      <c r="AC62" s="149">
        <f>IF($B62="","",IF(OR($B63="",ROUNDUP(($A62+1)/Inputs!$B$14,0)&gt;$B62),SUMIF($B$4:$B62,$B62,W$4:W62),0))</f>
        <v>0</v>
      </c>
      <c r="AD62" s="18"/>
      <c r="AE62" s="18"/>
      <c r="AF62" s="18"/>
      <c r="AG62" s="18"/>
      <c r="AH62" s="18"/>
      <c r="AI62" s="18"/>
      <c r="AJ62" s="18"/>
      <c r="AK62" s="18"/>
    </row>
    <row r="63" spans="1:37" ht="18" customHeight="1">
      <c r="A63" s="157">
        <f>IF(A62="","",IF(AND(A62&gt;=Inputs!$B$15,S62+N62+O62+P62+Z62&lt;=0.005),"",IF(A62&gt;=Inputs!$C$67,"",A62+1)))</f>
        <v>60</v>
      </c>
      <c r="B63" s="77">
        <f>IF(A63="","",ROUNDUP(A63/Inputs!$B$14,0))</f>
        <v>14</v>
      </c>
      <c r="C63" s="160" t="str">
        <f>IF(A63="","",IF(A63&lt;Inputs!$C$66,"Pago normal",IF(A63&gt;Inputs!$B$15,"Periodo adicional con cobranza","Pago tardío + cobranza")))</f>
        <v>Pago tardío + cobranza</v>
      </c>
      <c r="D63" s="149">
        <f t="shared" si="15"/>
        <v>3449818.1245043278</v>
      </c>
      <c r="E63" s="149">
        <f>IF(A63="","",D63*Inputs!$B$17)</f>
        <v>41892.162565004197</v>
      </c>
      <c r="F63" s="149">
        <f>IF(A63="","",IF(A63&lt;Inputs!$C$66,0,Q62*Inputs!$B$17+G63*(POWER(1+Inputs!$B$18,Inputs!$C$63)-1)))</f>
        <v>12969.593031118959</v>
      </c>
      <c r="G63" s="149">
        <f>IF(A63="","",IF(A63&lt;=Inputs!$B$15,INDEX(Caso1_Normal!$H$4:$H$89,A63),0))</f>
        <v>80139.548074785911</v>
      </c>
      <c r="H63" s="149">
        <f>IF(A63="","",IF(AND(A63&gt;=Inputs!$C$66,D63&gt;0.005),Inputs!$C$65,0))</f>
        <v>42000</v>
      </c>
      <c r="I63" s="149">
        <f>IF(A63="","",MIN(Inputs!$B$20+X63,D63+N62+H63+O62+F63+P62+E63+Z62+X63))</f>
        <v>174048.99418446081</v>
      </c>
      <c r="J63" s="149">
        <f t="shared" si="16"/>
        <v>42000</v>
      </c>
      <c r="K63" s="149">
        <f t="shared" si="17"/>
        <v>12969.593031118959</v>
      </c>
      <c r="L63" s="149">
        <f t="shared" si="18"/>
        <v>41892.162565004197</v>
      </c>
      <c r="M63" s="149">
        <f t="shared" si="11"/>
        <v>14153.06628064534</v>
      </c>
      <c r="N63" s="149">
        <f t="shared" si="19"/>
        <v>0</v>
      </c>
      <c r="O63" s="149">
        <f t="shared" si="20"/>
        <v>0</v>
      </c>
      <c r="P63" s="149">
        <f t="shared" si="21"/>
        <v>0</v>
      </c>
      <c r="Q63" s="149">
        <f t="shared" si="22"/>
        <v>973226.88675880712</v>
      </c>
      <c r="R63" s="149">
        <f t="shared" si="23"/>
        <v>2462438.1714648753</v>
      </c>
      <c r="S63" s="149">
        <f t="shared" si="24"/>
        <v>3435665.0582236825</v>
      </c>
      <c r="T63" s="163" t="str">
        <f t="shared" si="25"/>
        <v>En mora</v>
      </c>
      <c r="U63" s="149">
        <f>IF($A63="","",IF($A63&lt;=Inputs!$B$15,Inputs!$B$28,0))</f>
        <v>48643.172307692315</v>
      </c>
      <c r="V63" s="149">
        <f>IF($A63="","",IF($A63&lt;=Inputs!$B$15,Inputs!$B$29,0))</f>
        <v>10984.615384615387</v>
      </c>
      <c r="W63" s="149">
        <f>IF($A63="","",IF($A63&lt;=Inputs!$B$15,Inputs!$B$30,0))</f>
        <v>3406.3846153846157</v>
      </c>
      <c r="X63" s="149">
        <f t="shared" si="12"/>
        <v>63034.172307692315</v>
      </c>
      <c r="Y63" s="149">
        <f t="shared" si="13"/>
        <v>63034.172307692315</v>
      </c>
      <c r="Z63" s="149">
        <f t="shared" si="14"/>
        <v>0</v>
      </c>
      <c r="AA63" s="149">
        <f>IF($B63="","",IF(OR($B64="",ROUNDUP(($A63+1)/Inputs!$B$14,0)&gt;$B63),SUMIF($B$4:$B63,$B63,U$4:U63),0))</f>
        <v>194572.68923076926</v>
      </c>
      <c r="AB63" s="149">
        <f>IF($B63="","",IF(OR($B64="",ROUNDUP(($A63+1)/Inputs!$B$14,0)&gt;$B63),SUMIF($B$4:$B63,$B63,V$4:V63),0))</f>
        <v>43938.461538461546</v>
      </c>
      <c r="AC63" s="149">
        <f>IF($B63="","",IF(OR($B64="",ROUNDUP(($A63+1)/Inputs!$B$14,0)&gt;$B63),SUMIF($B$4:$B63,$B63,W$4:W63),0))</f>
        <v>13625.538461538463</v>
      </c>
      <c r="AD63" s="18"/>
      <c r="AE63" s="18"/>
      <c r="AF63" s="18"/>
      <c r="AG63" s="18"/>
      <c r="AH63" s="18"/>
      <c r="AI63" s="18"/>
      <c r="AJ63" s="18"/>
      <c r="AK63" s="18"/>
    </row>
    <row r="64" spans="1:37" ht="18" customHeight="1">
      <c r="A64" s="157">
        <f>IF(A63="","",IF(AND(A63&gt;=Inputs!$B$15,S63+N63+O63+P63+Z63&lt;=0.005),"",IF(A63&gt;=Inputs!$C$67,"",A63+1)))</f>
        <v>61</v>
      </c>
      <c r="B64" s="77">
        <f>IF(A64="","",ROUNDUP(A64/Inputs!$B$14,0))</f>
        <v>15</v>
      </c>
      <c r="C64" s="160" t="str">
        <f>IF(A64="","",IF(A64&lt;Inputs!$C$66,"Pago normal",IF(A64&gt;Inputs!$B$15,"Periodo adicional con cobranza","Pago tardío + cobranza")))</f>
        <v>Pago tardío + cobranza</v>
      </c>
      <c r="D64" s="149">
        <f t="shared" si="15"/>
        <v>3435665.0582236825</v>
      </c>
      <c r="E64" s="149">
        <f>IF(A64="","",D64*Inputs!$B$17)</f>
        <v>41720.297692125641</v>
      </c>
      <c r="F64" s="149">
        <f>IF(A64="","",IF(A64&lt;Inputs!$C$66,0,Q63*Inputs!$B$17+G64*(POWER(1+Inputs!$B$18,Inputs!$C$63)-1)))</f>
        <v>13794.598676151991</v>
      </c>
      <c r="G64" s="149">
        <f>IF(A64="","",IF(A64&lt;=Inputs!$B$15,INDEX(Caso1_Normal!$H$4:$H$89,A64),0))</f>
        <v>81112.706326807456</v>
      </c>
      <c r="H64" s="149">
        <f>IF(A64="","",IF(AND(A64&gt;=Inputs!$C$66,D64&gt;0.005),Inputs!$C$65,0))</f>
        <v>42000</v>
      </c>
      <c r="I64" s="149">
        <f>IF(A64="","",MIN(Inputs!$B$20+X64,D64+N63+H64+O63+F64+P63+E64+Z63+X64))</f>
        <v>174048.99418446081</v>
      </c>
      <c r="J64" s="149">
        <f t="shared" si="16"/>
        <v>42000</v>
      </c>
      <c r="K64" s="149">
        <f t="shared" si="17"/>
        <v>13794.598676151991</v>
      </c>
      <c r="L64" s="149">
        <f t="shared" si="18"/>
        <v>41720.297692125641</v>
      </c>
      <c r="M64" s="149">
        <f t="shared" si="11"/>
        <v>13499.925508490858</v>
      </c>
      <c r="N64" s="149">
        <f t="shared" si="19"/>
        <v>0</v>
      </c>
      <c r="O64" s="149">
        <f t="shared" si="20"/>
        <v>0</v>
      </c>
      <c r="P64" s="149">
        <f t="shared" si="21"/>
        <v>0</v>
      </c>
      <c r="Q64" s="149">
        <f t="shared" si="22"/>
        <v>1040839.6675771236</v>
      </c>
      <c r="R64" s="149">
        <f t="shared" si="23"/>
        <v>2381325.465138068</v>
      </c>
      <c r="S64" s="149">
        <f t="shared" si="24"/>
        <v>3422165.1327151917</v>
      </c>
      <c r="T64" s="163" t="str">
        <f t="shared" si="25"/>
        <v>En mora</v>
      </c>
      <c r="U64" s="149">
        <f>IF($A64="","",IF($A64&lt;=Inputs!$B$15,Inputs!$B$28,0))</f>
        <v>48643.172307692315</v>
      </c>
      <c r="V64" s="149">
        <f>IF($A64="","",IF($A64&lt;=Inputs!$B$15,Inputs!$B$29,0))</f>
        <v>10984.615384615387</v>
      </c>
      <c r="W64" s="149">
        <f>IF($A64="","",IF($A64&lt;=Inputs!$B$15,Inputs!$B$30,0))</f>
        <v>3406.3846153846157</v>
      </c>
      <c r="X64" s="149">
        <f t="shared" si="12"/>
        <v>63034.172307692315</v>
      </c>
      <c r="Y64" s="149">
        <f t="shared" si="13"/>
        <v>63034.172307692315</v>
      </c>
      <c r="Z64" s="149">
        <f t="shared" si="14"/>
        <v>0</v>
      </c>
      <c r="AA64" s="149">
        <f>IF($B64="","",IF(OR($B65="",ROUNDUP(($A64+1)/Inputs!$B$14,0)&gt;$B64),SUMIF($B$4:$B64,$B64,U$4:U64),0))</f>
        <v>0</v>
      </c>
      <c r="AB64" s="149">
        <f>IF($B64="","",IF(OR($B65="",ROUNDUP(($A64+1)/Inputs!$B$14,0)&gt;$B64),SUMIF($B$4:$B64,$B64,V$4:V64),0))</f>
        <v>0</v>
      </c>
      <c r="AC64" s="149">
        <f>IF($B64="","",IF(OR($B65="",ROUNDUP(($A64+1)/Inputs!$B$14,0)&gt;$B64),SUMIF($B$4:$B64,$B64,W$4:W64),0))</f>
        <v>0</v>
      </c>
      <c r="AD64" s="18"/>
      <c r="AE64" s="18"/>
      <c r="AF64" s="18"/>
      <c r="AG64" s="18"/>
      <c r="AH64" s="18"/>
      <c r="AI64" s="18"/>
      <c r="AJ64" s="18"/>
      <c r="AK64" s="18"/>
    </row>
    <row r="65" spans="1:37" ht="18" customHeight="1">
      <c r="A65" s="157">
        <f>IF(A64="","",IF(AND(A64&gt;=Inputs!$B$15,S64+N64+O64+P64+Z64&lt;=0.005),"",IF(A64&gt;=Inputs!$C$67,"",A64+1)))</f>
        <v>62</v>
      </c>
      <c r="B65" s="77">
        <f>IF(A65="","",ROUNDUP(A65/Inputs!$B$14,0))</f>
        <v>15</v>
      </c>
      <c r="C65" s="160" t="str">
        <f>IF(A65="","",IF(A65&lt;Inputs!$C$66,"Pago normal",IF(A65&gt;Inputs!$B$15,"Periodo adicional con cobranza","Pago tardío + cobranza")))</f>
        <v>Pago tardío + cobranza</v>
      </c>
      <c r="D65" s="149">
        <f t="shared" si="15"/>
        <v>3422165.1327151917</v>
      </c>
      <c r="E65" s="149">
        <f>IF(A65="","",D65*Inputs!$B$17)</f>
        <v>41556.364100960338</v>
      </c>
      <c r="F65" s="149">
        <f>IF(A65="","",IF(A65&lt;Inputs!$C$66,0,Q64*Inputs!$B$17+G65*(POWER(1+Inputs!$B$18,Inputs!$C$63)-1)))</f>
        <v>14639.640896651581</v>
      </c>
      <c r="G65" s="149">
        <f>IF(A65="","",IF(A65&lt;=Inputs!$B$15,INDEX(Caso1_Normal!$H$4:$H$89,A65),0))</f>
        <v>82097.681927519239</v>
      </c>
      <c r="H65" s="149">
        <f>IF(A65="","",IF(AND(A65&gt;=Inputs!$C$66,D65&gt;0.005),Inputs!$C$65,0))</f>
        <v>42000</v>
      </c>
      <c r="I65" s="149">
        <f>IF(A65="","",MIN(Inputs!$B$20+X65,D65+N64+H65+O64+F65+P64+E65+Z64+X65))</f>
        <v>174048.99418446081</v>
      </c>
      <c r="J65" s="149">
        <f t="shared" si="16"/>
        <v>42000</v>
      </c>
      <c r="K65" s="149">
        <f t="shared" si="17"/>
        <v>14639.640896651581</v>
      </c>
      <c r="L65" s="149">
        <f t="shared" si="18"/>
        <v>41556.364100960338</v>
      </c>
      <c r="M65" s="149">
        <f t="shared" si="11"/>
        <v>12818.816879156577</v>
      </c>
      <c r="N65" s="149">
        <f t="shared" si="19"/>
        <v>0</v>
      </c>
      <c r="O65" s="149">
        <f t="shared" si="20"/>
        <v>0</v>
      </c>
      <c r="P65" s="149">
        <f t="shared" si="21"/>
        <v>0</v>
      </c>
      <c r="Q65" s="149">
        <f t="shared" si="22"/>
        <v>1110118.5326254864</v>
      </c>
      <c r="R65" s="149">
        <f t="shared" si="23"/>
        <v>2299227.7832105486</v>
      </c>
      <c r="S65" s="149">
        <f t="shared" si="24"/>
        <v>3409346.3158360352</v>
      </c>
      <c r="T65" s="163" t="str">
        <f t="shared" si="25"/>
        <v>En mora</v>
      </c>
      <c r="U65" s="149">
        <f>IF($A65="","",IF($A65&lt;=Inputs!$B$15,Inputs!$B$28,0))</f>
        <v>48643.172307692315</v>
      </c>
      <c r="V65" s="149">
        <f>IF($A65="","",IF($A65&lt;=Inputs!$B$15,Inputs!$B$29,0))</f>
        <v>10984.615384615387</v>
      </c>
      <c r="W65" s="149">
        <f>IF($A65="","",IF($A65&lt;=Inputs!$B$15,Inputs!$B$30,0))</f>
        <v>3406.3846153846157</v>
      </c>
      <c r="X65" s="149">
        <f t="shared" si="12"/>
        <v>63034.172307692315</v>
      </c>
      <c r="Y65" s="149">
        <f t="shared" si="13"/>
        <v>63034.172307692315</v>
      </c>
      <c r="Z65" s="149">
        <f t="shared" si="14"/>
        <v>0</v>
      </c>
      <c r="AA65" s="149">
        <f>IF($B65="","",IF(OR($B66="",ROUNDUP(($A65+1)/Inputs!$B$14,0)&gt;$B65),SUMIF($B$4:$B65,$B65,U$4:U65),0))</f>
        <v>0</v>
      </c>
      <c r="AB65" s="149">
        <f>IF($B65="","",IF(OR($B66="",ROUNDUP(($A65+1)/Inputs!$B$14,0)&gt;$B65),SUMIF($B$4:$B65,$B65,V$4:V65),0))</f>
        <v>0</v>
      </c>
      <c r="AC65" s="149">
        <f>IF($B65="","",IF(OR($B66="",ROUNDUP(($A65+1)/Inputs!$B$14,0)&gt;$B65),SUMIF($B$4:$B65,$B65,W$4:W65),0))</f>
        <v>0</v>
      </c>
      <c r="AD65" s="18"/>
      <c r="AE65" s="18"/>
      <c r="AF65" s="18"/>
      <c r="AG65" s="18"/>
      <c r="AH65" s="18"/>
      <c r="AI65" s="18"/>
      <c r="AJ65" s="18"/>
      <c r="AK65" s="18"/>
    </row>
    <row r="66" spans="1:37" ht="18" customHeight="1">
      <c r="A66" s="157">
        <f>IF(A65="","",IF(AND(A65&gt;=Inputs!$B$15,S65+N65+O65+P65+Z65&lt;=0.005),"",IF(A65&gt;=Inputs!$C$67,"",A65+1)))</f>
        <v>63</v>
      </c>
      <c r="B66" s="77">
        <f>IF(A66="","",ROUNDUP(A66/Inputs!$B$14,0))</f>
        <v>15</v>
      </c>
      <c r="C66" s="160" t="str">
        <f>IF(A66="","",IF(A66&lt;Inputs!$C$66,"Pago normal",IF(A66&gt;Inputs!$B$15,"Periodo adicional con cobranza","Pago tardío + cobranza")))</f>
        <v>Pago tardío + cobranza</v>
      </c>
      <c r="D66" s="149">
        <f t="shared" si="15"/>
        <v>3409346.3158360352</v>
      </c>
      <c r="E66" s="149">
        <f>IF(A66="","",D66*Inputs!$B$17)</f>
        <v>41400.701413475967</v>
      </c>
      <c r="F66" s="149">
        <f>IF(A66="","",IF(A66&lt;Inputs!$C$66,0,Q65*Inputs!$B$17+G66*(POWER(1+Inputs!$B$18,Inputs!$C$63)-1)))</f>
        <v>15505.206312750392</v>
      </c>
      <c r="G66" s="149">
        <f>IF(A66="","",IF(A66&lt;=Inputs!$B$15,INDEX(Caso1_Normal!$H$4:$H$89,A66),0))</f>
        <v>83094.618378484127</v>
      </c>
      <c r="H66" s="149">
        <f>IF(A66="","",IF(AND(A66&gt;=Inputs!$C$66,D66&gt;0.005),Inputs!$C$65,0))</f>
        <v>42000</v>
      </c>
      <c r="I66" s="149">
        <f>IF(A66="","",MIN(Inputs!$B$20+X66,D66+N65+H66+O65+F66+P65+E66+Z65+X66))</f>
        <v>174048.99418446081</v>
      </c>
      <c r="J66" s="149">
        <f t="shared" si="16"/>
        <v>42000</v>
      </c>
      <c r="K66" s="149">
        <f t="shared" si="17"/>
        <v>15505.206312750392</v>
      </c>
      <c r="L66" s="149">
        <f t="shared" si="18"/>
        <v>41400.701413475967</v>
      </c>
      <c r="M66" s="149">
        <f t="shared" si="11"/>
        <v>12108.914150542136</v>
      </c>
      <c r="N66" s="149">
        <f t="shared" si="19"/>
        <v>0</v>
      </c>
      <c r="O66" s="149">
        <f t="shared" si="20"/>
        <v>0</v>
      </c>
      <c r="P66" s="149">
        <f t="shared" si="21"/>
        <v>0</v>
      </c>
      <c r="Q66" s="149">
        <f t="shared" si="22"/>
        <v>1181104.2368534284</v>
      </c>
      <c r="R66" s="149">
        <f t="shared" si="23"/>
        <v>2216133.1648320649</v>
      </c>
      <c r="S66" s="149">
        <f t="shared" si="24"/>
        <v>3397237.4016854931</v>
      </c>
      <c r="T66" s="163" t="str">
        <f t="shared" si="25"/>
        <v>En mora</v>
      </c>
      <c r="U66" s="149">
        <f>IF($A66="","",IF($A66&lt;=Inputs!$B$15,Inputs!$B$28,0))</f>
        <v>48643.172307692315</v>
      </c>
      <c r="V66" s="149">
        <f>IF($A66="","",IF($A66&lt;=Inputs!$B$15,Inputs!$B$29,0))</f>
        <v>10984.615384615387</v>
      </c>
      <c r="W66" s="149">
        <f>IF($A66="","",IF($A66&lt;=Inputs!$B$15,Inputs!$B$30,0))</f>
        <v>3406.3846153846157</v>
      </c>
      <c r="X66" s="149">
        <f t="shared" si="12"/>
        <v>63034.172307692315</v>
      </c>
      <c r="Y66" s="149">
        <f t="shared" si="13"/>
        <v>63034.172307692315</v>
      </c>
      <c r="Z66" s="149">
        <f t="shared" si="14"/>
        <v>0</v>
      </c>
      <c r="AA66" s="149">
        <f>IF($B66="","",IF(OR($B67="",ROUNDUP(($A66+1)/Inputs!$B$14,0)&gt;$B66),SUMIF($B$4:$B66,$B66,U$4:U66),0))</f>
        <v>0</v>
      </c>
      <c r="AB66" s="149">
        <f>IF($B66="","",IF(OR($B67="",ROUNDUP(($A66+1)/Inputs!$B$14,0)&gt;$B66),SUMIF($B$4:$B66,$B66,V$4:V66),0))</f>
        <v>0</v>
      </c>
      <c r="AC66" s="149">
        <f>IF($B66="","",IF(OR($B67="",ROUNDUP(($A66+1)/Inputs!$B$14,0)&gt;$B66),SUMIF($B$4:$B66,$B66,W$4:W66),0))</f>
        <v>0</v>
      </c>
      <c r="AD66" s="18"/>
      <c r="AE66" s="18"/>
      <c r="AF66" s="18"/>
      <c r="AG66" s="18"/>
      <c r="AH66" s="18"/>
      <c r="AI66" s="18"/>
      <c r="AJ66" s="18"/>
      <c r="AK66" s="18"/>
    </row>
    <row r="67" spans="1:37" ht="18" customHeight="1">
      <c r="A67" s="157">
        <f>IF(A66="","",IF(AND(A66&gt;=Inputs!$B$15,S66+N66+O66+P66+Z66&lt;=0.005),"",IF(A66&gt;=Inputs!$C$67,"",A66+1)))</f>
        <v>64</v>
      </c>
      <c r="B67" s="77">
        <f>IF(A67="","",ROUNDUP(A67/Inputs!$B$14,0))</f>
        <v>15</v>
      </c>
      <c r="C67" s="160" t="str">
        <f>IF(A67="","",IF(A67&lt;Inputs!$C$66,"Pago normal",IF(A67&gt;Inputs!$B$15,"Periodo adicional con cobranza","Pago tardío + cobranza")))</f>
        <v>Pago tardío + cobranza</v>
      </c>
      <c r="D67" s="149">
        <f t="shared" si="15"/>
        <v>3397237.4016854931</v>
      </c>
      <c r="E67" s="149">
        <f>IF(A67="","",D67*Inputs!$B$17)</f>
        <v>41253.659284942572</v>
      </c>
      <c r="F67" s="149">
        <f>IF(A67="","",IF(A67&lt;Inputs!$C$66,0,Q66*Inputs!$B$17+G67*(POWER(1+Inputs!$B$18,Inputs!$C$63)-1)))</f>
        <v>16391.793362925673</v>
      </c>
      <c r="G67" s="149">
        <f>IF(A67="","",IF(A67&lt;=Inputs!$B$15,INDEX(Caso1_Normal!$H$4:$H$89,A67),0))</f>
        <v>84103.660923846881</v>
      </c>
      <c r="H67" s="149">
        <f>IF(A67="","",IF(AND(A67&gt;=Inputs!$C$66,D67&gt;0.005),Inputs!$C$65,0))</f>
        <v>42000</v>
      </c>
      <c r="I67" s="149">
        <f>IF(A67="","",MIN(Inputs!$B$20+X67,D67+N66+H67+O66+F67+P66+E67+Z66+X67))</f>
        <v>174048.99418446081</v>
      </c>
      <c r="J67" s="149">
        <f t="shared" si="16"/>
        <v>42000</v>
      </c>
      <c r="K67" s="149">
        <f t="shared" si="17"/>
        <v>16391.793362925673</v>
      </c>
      <c r="L67" s="149">
        <f t="shared" si="18"/>
        <v>41253.659284942572</v>
      </c>
      <c r="M67" s="149">
        <f t="shared" si="11"/>
        <v>11369.369228900243</v>
      </c>
      <c r="N67" s="149">
        <f t="shared" si="19"/>
        <v>0</v>
      </c>
      <c r="O67" s="149">
        <f t="shared" si="20"/>
        <v>0</v>
      </c>
      <c r="P67" s="149">
        <f t="shared" si="21"/>
        <v>0</v>
      </c>
      <c r="Q67" s="149">
        <f t="shared" si="22"/>
        <v>1253838.528548375</v>
      </c>
      <c r="R67" s="149">
        <f t="shared" si="23"/>
        <v>2132029.5039082179</v>
      </c>
      <c r="S67" s="149">
        <f t="shared" si="24"/>
        <v>3385868.0324565927</v>
      </c>
      <c r="T67" s="163" t="str">
        <f t="shared" si="25"/>
        <v>En mora</v>
      </c>
      <c r="U67" s="149">
        <f>IF($A67="","",IF($A67&lt;=Inputs!$B$15,Inputs!$B$28,0))</f>
        <v>48643.172307692315</v>
      </c>
      <c r="V67" s="149">
        <f>IF($A67="","",IF($A67&lt;=Inputs!$B$15,Inputs!$B$29,0))</f>
        <v>10984.615384615387</v>
      </c>
      <c r="W67" s="149">
        <f>IF($A67="","",IF($A67&lt;=Inputs!$B$15,Inputs!$B$30,0))</f>
        <v>3406.3846153846157</v>
      </c>
      <c r="X67" s="149">
        <f t="shared" si="12"/>
        <v>63034.172307692315</v>
      </c>
      <c r="Y67" s="149">
        <f t="shared" si="13"/>
        <v>63034.172307692315</v>
      </c>
      <c r="Z67" s="149">
        <f t="shared" si="14"/>
        <v>0</v>
      </c>
      <c r="AA67" s="149">
        <f>IF($B67="","",IF(OR($B68="",ROUNDUP(($A67+1)/Inputs!$B$14,0)&gt;$B67),SUMIF($B$4:$B67,$B67,U$4:U67),0))</f>
        <v>0</v>
      </c>
      <c r="AB67" s="149">
        <f>IF($B67="","",IF(OR($B68="",ROUNDUP(($A67+1)/Inputs!$B$14,0)&gt;$B67),SUMIF($B$4:$B67,$B67,V$4:V67),0))</f>
        <v>0</v>
      </c>
      <c r="AC67" s="149">
        <f>IF($B67="","",IF(OR($B68="",ROUNDUP(($A67+1)/Inputs!$B$14,0)&gt;$B67),SUMIF($B$4:$B67,$B67,W$4:W67),0))</f>
        <v>0</v>
      </c>
      <c r="AD67" s="18"/>
      <c r="AE67" s="18"/>
      <c r="AF67" s="18"/>
      <c r="AG67" s="18"/>
      <c r="AH67" s="18"/>
      <c r="AI67" s="18"/>
      <c r="AJ67" s="18"/>
      <c r="AK67" s="18"/>
    </row>
    <row r="68" spans="1:37" ht="18" customHeight="1">
      <c r="A68" s="157">
        <f>IF(A67="","",IF(AND(A67&gt;=Inputs!$B$15,S67+N67+O67+P67+Z67&lt;=0.005),"",IF(A67&gt;=Inputs!$C$67,"",A67+1)))</f>
        <v>65</v>
      </c>
      <c r="B68" s="77">
        <f>IF(A68="","",ROUNDUP(A68/Inputs!$B$14,0))</f>
        <v>15</v>
      </c>
      <c r="C68" s="160" t="str">
        <f>IF(A68="","",IF(A68&lt;Inputs!$C$66,"Pago normal",IF(A68&gt;Inputs!$B$15,"Periodo adicional con cobranza","Pago tardío + cobranza")))</f>
        <v>Pago tardío + cobranza</v>
      </c>
      <c r="D68" s="149">
        <f t="shared" ref="D68:D99" si="26">IF(A68="","",S67)</f>
        <v>3385868.0324565927</v>
      </c>
      <c r="E68" s="149">
        <f>IF(A68="","",D68*Inputs!$B$17)</f>
        <v>41115.597669283605</v>
      </c>
      <c r="F68" s="149">
        <f>IF(A68="","",IF(A68&lt;Inputs!$C$66,0,Q67*Inputs!$B$17+G68*(POWER(1+Inputs!$B$18,Inputs!$C$63)-1)))</f>
        <v>17299.912591026601</v>
      </c>
      <c r="G68" s="149">
        <f>IF(A68="","",IF(A68&lt;=Inputs!$B$15,INDEX(Caso1_Normal!$H$4:$H$89,A68),0))</f>
        <v>85124.956571494986</v>
      </c>
      <c r="H68" s="149">
        <f>IF(A68="","",IF(AND(A68&gt;=Inputs!$C$66,D68&gt;0.005),Inputs!$C$65,0))</f>
        <v>42000</v>
      </c>
      <c r="I68" s="149">
        <f>IF(A68="","",MIN(Inputs!$B$20+X68,D68+N67+H68+O67+F68+P67+E68+Z67+X68))</f>
        <v>174048.99418446081</v>
      </c>
      <c r="J68" s="149">
        <f t="shared" ref="J68:J99" si="27">IF(A68="","",MIN(I68,N67+H68))</f>
        <v>42000</v>
      </c>
      <c r="K68" s="149">
        <f t="shared" ref="K68:K99" si="28">IF(A68="","",MIN(MAX(0,I68-J68),O67+F68))</f>
        <v>17299.912591026601</v>
      </c>
      <c r="L68" s="149">
        <f t="shared" ref="L68:L99" si="29">IF(A68="","",MIN(MAX(0,I68-J68-K68),P67+E68))</f>
        <v>41115.597669283605</v>
      </c>
      <c r="M68" s="149">
        <f t="shared" si="11"/>
        <v>10599.311616458297</v>
      </c>
      <c r="N68" s="149">
        <f t="shared" ref="N68:N99" si="30">IF(A68="","",MAX(0,N67+H68-J68))</f>
        <v>0</v>
      </c>
      <c r="O68" s="149">
        <f t="shared" ref="O68:O99" si="31">IF(A68="","",MAX(0,O67+F68-K68))</f>
        <v>0</v>
      </c>
      <c r="P68" s="149">
        <f t="shared" ref="P68:P99" si="32">IF(A68="","",MAX(0,P67+E68-L68))</f>
        <v>0</v>
      </c>
      <c r="Q68" s="149">
        <f t="shared" ref="Q68:Q99" si="33">IF(A68="","",MAX(0,Q67+G68-M68))</f>
        <v>1328364.1735034117</v>
      </c>
      <c r="R68" s="149">
        <f t="shared" ref="R68:R99" si="34">IF(A68="","",MAX(0,S68-Q68))</f>
        <v>2046904.5473367225</v>
      </c>
      <c r="S68" s="149">
        <f t="shared" ref="S68:S99" si="35">IF(A68="","",MAX(0,D68-M68))</f>
        <v>3375268.7208401342</v>
      </c>
      <c r="T68" s="163" t="str">
        <f t="shared" ref="T68:T99" si="36">IF(A68="","",IF(S68+N68+O68+P68+Z68&lt;=0.005,"Cancelado",IF(Q68+N68+O68+P68+Z68&gt;0,"En mora","Vigente al día")))</f>
        <v>En mora</v>
      </c>
      <c r="U68" s="149">
        <f>IF($A68="","",IF($A68&lt;=Inputs!$B$15,Inputs!$B$28,0))</f>
        <v>48643.172307692315</v>
      </c>
      <c r="V68" s="149">
        <f>IF($A68="","",IF($A68&lt;=Inputs!$B$15,Inputs!$B$29,0))</f>
        <v>10984.615384615387</v>
      </c>
      <c r="W68" s="149">
        <f>IF($A68="","",IF($A68&lt;=Inputs!$B$15,Inputs!$B$30,0))</f>
        <v>3406.3846153846157</v>
      </c>
      <c r="X68" s="149">
        <f t="shared" si="12"/>
        <v>63034.172307692315</v>
      </c>
      <c r="Y68" s="149">
        <f t="shared" si="13"/>
        <v>63034.172307692315</v>
      </c>
      <c r="Z68" s="149">
        <f t="shared" si="14"/>
        <v>0</v>
      </c>
      <c r="AA68" s="149">
        <f>IF($B68="","",IF(OR($B69="",ROUNDUP(($A68+1)/Inputs!$B$14,0)&gt;$B68),SUMIF($B$4:$B68,$B68,U$4:U68),0))</f>
        <v>243215.86153846158</v>
      </c>
      <c r="AB68" s="149">
        <f>IF($B68="","",IF(OR($B69="",ROUNDUP(($A68+1)/Inputs!$B$14,0)&gt;$B68),SUMIF($B$4:$B68,$B68,V$4:V68),0))</f>
        <v>54923.076923076937</v>
      </c>
      <c r="AC68" s="149">
        <f>IF($B68="","",IF(OR($B69="",ROUNDUP(($A68+1)/Inputs!$B$14,0)&gt;$B68),SUMIF($B$4:$B68,$B68,W$4:W68),0))</f>
        <v>17031.923076923078</v>
      </c>
      <c r="AD68" s="18"/>
      <c r="AE68" s="18"/>
      <c r="AF68" s="18"/>
      <c r="AG68" s="18"/>
      <c r="AH68" s="18"/>
      <c r="AI68" s="18"/>
      <c r="AJ68" s="18"/>
      <c r="AK68" s="18"/>
    </row>
    <row r="69" spans="1:37" ht="18" customHeight="1">
      <c r="A69" s="157">
        <f>IF(A68="","",IF(AND(A68&gt;=Inputs!$B$15,S68+N68+O68+P68+Z68&lt;=0.005),"",IF(A68&gt;=Inputs!$C$67,"",A68+1)))</f>
        <v>66</v>
      </c>
      <c r="B69" s="77">
        <f>IF(A69="","",ROUNDUP(A69/Inputs!$B$14,0))</f>
        <v>16</v>
      </c>
      <c r="C69" s="160" t="str">
        <f>IF(A69="","",IF(A69&lt;Inputs!$C$66,"Pago normal",IF(A69&gt;Inputs!$B$15,"Periodo adicional con cobranza","Pago tardío + cobranza")))</f>
        <v>Pago tardío + cobranza</v>
      </c>
      <c r="D69" s="149">
        <f t="shared" si="26"/>
        <v>3375268.7208401342</v>
      </c>
      <c r="E69" s="149">
        <f>IF(A69="","",D69*Inputs!$B$17)</f>
        <v>40986.887091134617</v>
      </c>
      <c r="F69" s="149">
        <f>IF(A69="","",IF(A69&lt;Inputs!$C$66,0,Q68*Inputs!$B$17+G69*(POWER(1+Inputs!$B$18,Inputs!$C$63)-1)))</f>
        <v>18230.086940272486</v>
      </c>
      <c r="G69" s="149">
        <f>IF(A69="","",IF(A69&lt;=Inputs!$B$15,INDEX(Caso1_Normal!$H$4:$H$89,A69),0))</f>
        <v>86158.654114476143</v>
      </c>
      <c r="H69" s="149">
        <f>IF(A69="","",IF(AND(A69&gt;=Inputs!$C$66,D69&gt;0.005),Inputs!$C$65,0))</f>
        <v>42000</v>
      </c>
      <c r="I69" s="149">
        <f>IF(A69="","",MIN(Inputs!$B$20+X69,D69+N68+H69+O68+F69+P68+E69+Z68+X69))</f>
        <v>174048.99418446081</v>
      </c>
      <c r="J69" s="149">
        <f t="shared" si="27"/>
        <v>42000</v>
      </c>
      <c r="K69" s="149">
        <f t="shared" si="28"/>
        <v>18230.086940272486</v>
      </c>
      <c r="L69" s="149">
        <f t="shared" si="29"/>
        <v>40986.887091134617</v>
      </c>
      <c r="M69" s="149">
        <f t="shared" ref="M69:M123" si="37">IF(A69="","",MIN(MAX(0,I69-J69-K69-L69-Y69),D69))</f>
        <v>9797.8478453614007</v>
      </c>
      <c r="N69" s="149">
        <f t="shared" si="30"/>
        <v>0</v>
      </c>
      <c r="O69" s="149">
        <f t="shared" si="31"/>
        <v>0</v>
      </c>
      <c r="P69" s="149">
        <f t="shared" si="32"/>
        <v>0</v>
      </c>
      <c r="Q69" s="149">
        <f t="shared" si="33"/>
        <v>1404724.9797725265</v>
      </c>
      <c r="R69" s="149">
        <f t="shared" si="34"/>
        <v>1960745.8932222461</v>
      </c>
      <c r="S69" s="149">
        <f t="shared" si="35"/>
        <v>3365470.8729947726</v>
      </c>
      <c r="T69" s="163" t="str">
        <f t="shared" si="36"/>
        <v>En mora</v>
      </c>
      <c r="U69" s="149">
        <f>IF($A69="","",IF($A69&lt;=Inputs!$B$15,Inputs!$B$28,0))</f>
        <v>48643.172307692315</v>
      </c>
      <c r="V69" s="149">
        <f>IF($A69="","",IF($A69&lt;=Inputs!$B$15,Inputs!$B$29,0))</f>
        <v>10984.615384615387</v>
      </c>
      <c r="W69" s="149">
        <f>IF($A69="","",IF($A69&lt;=Inputs!$B$15,Inputs!$B$30,0))</f>
        <v>3406.3846153846157</v>
      </c>
      <c r="X69" s="149">
        <f t="shared" ref="X69:X123" si="38">IF($A69="","",SUM(U69:W69))</f>
        <v>63034.172307692315</v>
      </c>
      <c r="Y69" s="149">
        <f t="shared" ref="Y69:Y123" si="39">IF($A69="","",MIN(MAX(0,I69-J69-K69-L69),Z68+X69))</f>
        <v>63034.172307692315</v>
      </c>
      <c r="Z69" s="149">
        <f t="shared" ref="Z69:Z123" si="40">IF($A69="","",MAX(0,Z68+X69-Y69))</f>
        <v>0</v>
      </c>
      <c r="AA69" s="149">
        <f>IF($B69="","",IF(OR($B70="",ROUNDUP(($A69+1)/Inputs!$B$14,0)&gt;$B69),SUMIF($B$4:$B69,$B69,U$4:U69),0))</f>
        <v>0</v>
      </c>
      <c r="AB69" s="149">
        <f>IF($B69="","",IF(OR($B70="",ROUNDUP(($A69+1)/Inputs!$B$14,0)&gt;$B69),SUMIF($B$4:$B69,$B69,V$4:V69),0))</f>
        <v>0</v>
      </c>
      <c r="AC69" s="149">
        <f>IF($B69="","",IF(OR($B70="",ROUNDUP(($A69+1)/Inputs!$B$14,0)&gt;$B69),SUMIF($B$4:$B69,$B69,W$4:W69),0))</f>
        <v>0</v>
      </c>
      <c r="AD69" s="18"/>
      <c r="AE69" s="18"/>
      <c r="AF69" s="18"/>
      <c r="AG69" s="18"/>
      <c r="AH69" s="18"/>
      <c r="AI69" s="18"/>
      <c r="AJ69" s="18"/>
      <c r="AK69" s="18"/>
    </row>
    <row r="70" spans="1:37" ht="18" customHeight="1">
      <c r="A70" s="157">
        <f>IF(A69="","",IF(AND(A69&gt;=Inputs!$B$15,S69+N69+O69+P69+Z69&lt;=0.005),"",IF(A69&gt;=Inputs!$C$67,"",A69+1)))</f>
        <v>67</v>
      </c>
      <c r="B70" s="77">
        <f>IF(A70="","",ROUNDUP(A70/Inputs!$B$14,0))</f>
        <v>16</v>
      </c>
      <c r="C70" s="160" t="str">
        <f>IF(A70="","",IF(A70&lt;Inputs!$C$66,"Pago normal",IF(A70&gt;Inputs!$B$15,"Periodo adicional con cobranza","Pago tardío + cobranza")))</f>
        <v>Pago tardío + cobranza</v>
      </c>
      <c r="D70" s="149">
        <f t="shared" si="26"/>
        <v>3365470.8729947726</v>
      </c>
      <c r="E70" s="149">
        <f>IF(A70="","",D70*Inputs!$B$17)</f>
        <v>40867.908924775766</v>
      </c>
      <c r="F70" s="149">
        <f>IF(A70="","",IF(A70&lt;Inputs!$C$66,0,Q69*Inputs!$B$17+G70*(POWER(1+Inputs!$B$18,Inputs!$C$63)-1)))</f>
        <v>19182.852054391235</v>
      </c>
      <c r="G70" s="149">
        <f>IF(A70="","",IF(A70&lt;=Inputs!$B$15,INDEX(Caso1_Normal!$H$4:$H$89,A70),0))</f>
        <v>87204.904152676114</v>
      </c>
      <c r="H70" s="149">
        <f>IF(A70="","",IF(AND(A70&gt;=Inputs!$C$66,D70&gt;0.005),Inputs!$C$65,0))</f>
        <v>42000</v>
      </c>
      <c r="I70" s="149">
        <f>IF(A70="","",MIN(Inputs!$B$20+X70,D70+N69+H70+O69+F70+P69+E70+Z69+X70))</f>
        <v>174048.99418446081</v>
      </c>
      <c r="J70" s="149">
        <f t="shared" si="27"/>
        <v>42000</v>
      </c>
      <c r="K70" s="149">
        <f t="shared" si="28"/>
        <v>19182.852054391235</v>
      </c>
      <c r="L70" s="149">
        <f t="shared" si="29"/>
        <v>40867.908924775766</v>
      </c>
      <c r="M70" s="149">
        <f t="shared" si="37"/>
        <v>8964.0608976014992</v>
      </c>
      <c r="N70" s="149">
        <f t="shared" si="30"/>
        <v>0</v>
      </c>
      <c r="O70" s="149">
        <f t="shared" si="31"/>
        <v>0</v>
      </c>
      <c r="P70" s="149">
        <f t="shared" si="32"/>
        <v>0</v>
      </c>
      <c r="Q70" s="149">
        <f t="shared" si="33"/>
        <v>1482965.8230276012</v>
      </c>
      <c r="R70" s="149">
        <f t="shared" si="34"/>
        <v>1873540.9890695701</v>
      </c>
      <c r="S70" s="149">
        <f t="shared" si="35"/>
        <v>3356506.8120971713</v>
      </c>
      <c r="T70" s="163" t="str">
        <f t="shared" si="36"/>
        <v>En mora</v>
      </c>
      <c r="U70" s="149">
        <f>IF($A70="","",IF($A70&lt;=Inputs!$B$15,Inputs!$B$28,0))</f>
        <v>48643.172307692315</v>
      </c>
      <c r="V70" s="149">
        <f>IF($A70="","",IF($A70&lt;=Inputs!$B$15,Inputs!$B$29,0))</f>
        <v>10984.615384615387</v>
      </c>
      <c r="W70" s="149">
        <f>IF($A70="","",IF($A70&lt;=Inputs!$B$15,Inputs!$B$30,0))</f>
        <v>3406.3846153846157</v>
      </c>
      <c r="X70" s="149">
        <f t="shared" si="38"/>
        <v>63034.172307692315</v>
      </c>
      <c r="Y70" s="149">
        <f t="shared" si="39"/>
        <v>63034.172307692315</v>
      </c>
      <c r="Z70" s="149">
        <f t="shared" si="40"/>
        <v>0</v>
      </c>
      <c r="AA70" s="149">
        <f>IF($B70="","",IF(OR($B71="",ROUNDUP(($A70+1)/Inputs!$B$14,0)&gt;$B70),SUMIF($B$4:$B70,$B70,U$4:U70),0))</f>
        <v>0</v>
      </c>
      <c r="AB70" s="149">
        <f>IF($B70="","",IF(OR($B71="",ROUNDUP(($A70+1)/Inputs!$B$14,0)&gt;$B70),SUMIF($B$4:$B70,$B70,V$4:V70),0))</f>
        <v>0</v>
      </c>
      <c r="AC70" s="149">
        <f>IF($B70="","",IF(OR($B71="",ROUNDUP(($A70+1)/Inputs!$B$14,0)&gt;$B70),SUMIF($B$4:$B70,$B70,W$4:W70),0))</f>
        <v>0</v>
      </c>
      <c r="AD70" s="18"/>
      <c r="AE70" s="18"/>
      <c r="AF70" s="18"/>
      <c r="AG70" s="18"/>
      <c r="AH70" s="18"/>
      <c r="AI70" s="18"/>
      <c r="AJ70" s="18"/>
      <c r="AK70" s="18"/>
    </row>
    <row r="71" spans="1:37" ht="18" customHeight="1">
      <c r="A71" s="157">
        <f>IF(A70="","",IF(AND(A70&gt;=Inputs!$B$15,S70+N70+O70+P70+Z70&lt;=0.005),"",IF(A70&gt;=Inputs!$C$67,"",A70+1)))</f>
        <v>68</v>
      </c>
      <c r="B71" s="77">
        <f>IF(A71="","",ROUNDUP(A71/Inputs!$B$14,0))</f>
        <v>16</v>
      </c>
      <c r="C71" s="160" t="str">
        <f>IF(A71="","",IF(A71&lt;Inputs!$C$66,"Pago normal",IF(A71&gt;Inputs!$B$15,"Periodo adicional con cobranza","Pago tardío + cobranza")))</f>
        <v>Pago tardío + cobranza</v>
      </c>
      <c r="D71" s="149">
        <f t="shared" si="26"/>
        <v>3356506.8120971713</v>
      </c>
      <c r="E71" s="149">
        <f>IF(A71="","",D71*Inputs!$B$17)</f>
        <v>40759.0556801083</v>
      </c>
      <c r="F71" s="149">
        <f>IF(A71="","",IF(A71&lt;Inputs!$C$66,0,Q70*Inputs!$B$17+G71*(POWER(1+Inputs!$B$18,Inputs!$C$63)-1)))</f>
        <v>20158.756586071398</v>
      </c>
      <c r="G71" s="149">
        <f>IF(A71="","",IF(A71&lt;=Inputs!$B$15,INDEX(Caso1_Normal!$H$4:$H$89,A71),0))</f>
        <v>88263.859114759631</v>
      </c>
      <c r="H71" s="149">
        <f>IF(A71="","",IF(AND(A71&gt;=Inputs!$C$66,D71&gt;0.005),Inputs!$C$65,0))</f>
        <v>42000</v>
      </c>
      <c r="I71" s="149">
        <f>IF(A71="","",MIN(Inputs!$B$20+X71,D71+N70+H71+O70+F71+P70+E71+Z70+X71))</f>
        <v>174048.99418446081</v>
      </c>
      <c r="J71" s="149">
        <f t="shared" si="27"/>
        <v>42000</v>
      </c>
      <c r="K71" s="149">
        <f t="shared" si="28"/>
        <v>20158.756586071398</v>
      </c>
      <c r="L71" s="149">
        <f t="shared" si="29"/>
        <v>40759.0556801083</v>
      </c>
      <c r="M71" s="149">
        <f t="shared" si="37"/>
        <v>8097.0096105888006</v>
      </c>
      <c r="N71" s="149">
        <f t="shared" si="30"/>
        <v>0</v>
      </c>
      <c r="O71" s="149">
        <f t="shared" si="31"/>
        <v>0</v>
      </c>
      <c r="P71" s="149">
        <f t="shared" si="32"/>
        <v>0</v>
      </c>
      <c r="Q71" s="149">
        <f t="shared" si="33"/>
        <v>1563132.6725317719</v>
      </c>
      <c r="R71" s="149">
        <f t="shared" si="34"/>
        <v>1785277.1299548107</v>
      </c>
      <c r="S71" s="149">
        <f t="shared" si="35"/>
        <v>3348409.8024865827</v>
      </c>
      <c r="T71" s="163" t="str">
        <f t="shared" si="36"/>
        <v>En mora</v>
      </c>
      <c r="U71" s="149">
        <f>IF($A71="","",IF($A71&lt;=Inputs!$B$15,Inputs!$B$28,0))</f>
        <v>48643.172307692315</v>
      </c>
      <c r="V71" s="149">
        <f>IF($A71="","",IF($A71&lt;=Inputs!$B$15,Inputs!$B$29,0))</f>
        <v>10984.615384615387</v>
      </c>
      <c r="W71" s="149">
        <f>IF($A71="","",IF($A71&lt;=Inputs!$B$15,Inputs!$B$30,0))</f>
        <v>3406.3846153846157</v>
      </c>
      <c r="X71" s="149">
        <f t="shared" si="38"/>
        <v>63034.172307692315</v>
      </c>
      <c r="Y71" s="149">
        <f t="shared" si="39"/>
        <v>63034.172307692315</v>
      </c>
      <c r="Z71" s="149">
        <f t="shared" si="40"/>
        <v>0</v>
      </c>
      <c r="AA71" s="149">
        <f>IF($B71="","",IF(OR($B72="",ROUNDUP(($A71+1)/Inputs!$B$14,0)&gt;$B71),SUMIF($B$4:$B71,$B71,U$4:U71),0))</f>
        <v>0</v>
      </c>
      <c r="AB71" s="149">
        <f>IF($B71="","",IF(OR($B72="",ROUNDUP(($A71+1)/Inputs!$B$14,0)&gt;$B71),SUMIF($B$4:$B71,$B71,V$4:V71),0))</f>
        <v>0</v>
      </c>
      <c r="AC71" s="149">
        <f>IF($B71="","",IF(OR($B72="",ROUNDUP(($A71+1)/Inputs!$B$14,0)&gt;$B71),SUMIF($B$4:$B71,$B71,W$4:W71),0))</f>
        <v>0</v>
      </c>
      <c r="AD71" s="18"/>
      <c r="AE71" s="18"/>
      <c r="AF71" s="18"/>
      <c r="AG71" s="18"/>
      <c r="AH71" s="18"/>
      <c r="AI71" s="18"/>
      <c r="AJ71" s="18"/>
      <c r="AK71" s="18"/>
    </row>
    <row r="72" spans="1:37" ht="18" customHeight="1">
      <c r="A72" s="157">
        <f>IF(A71="","",IF(AND(A71&gt;=Inputs!$B$15,S71+N71+O71+P71+Z71&lt;=0.005),"",IF(A71&gt;=Inputs!$C$67,"",A71+1)))</f>
        <v>69</v>
      </c>
      <c r="B72" s="77">
        <f>IF(A72="","",ROUNDUP(A72/Inputs!$B$14,0))</f>
        <v>16</v>
      </c>
      <c r="C72" s="160" t="str">
        <f>IF(A72="","",IF(A72&lt;Inputs!$C$66,"Pago normal",IF(A72&gt;Inputs!$B$15,"Periodo adicional con cobranza","Pago tardío + cobranza")))</f>
        <v>Pago tardío + cobranza</v>
      </c>
      <c r="D72" s="149">
        <f t="shared" si="26"/>
        <v>3348409.8024865827</v>
      </c>
      <c r="E72" s="149">
        <f>IF(A72="","",D72*Inputs!$B$17)</f>
        <v>40660.731295849371</v>
      </c>
      <c r="F72" s="149">
        <f>IF(A72="","",IF(A72&lt;Inputs!$C$66,0,Q71*Inputs!$B$17+G72*(POWER(1+Inputs!$B$18,Inputs!$C$63)-1)))</f>
        <v>21158.362512905511</v>
      </c>
      <c r="G72" s="149">
        <f>IF(A72="","",IF(A72&lt;=Inputs!$B$15,INDEX(Caso1_Normal!$H$4:$H$89,A72),0))</f>
        <v>89335.673280377829</v>
      </c>
      <c r="H72" s="149">
        <f>IF(A72="","",IF(AND(A72&gt;=Inputs!$C$66,D72&gt;0.005),Inputs!$C$65,0))</f>
        <v>42000</v>
      </c>
      <c r="I72" s="149">
        <f>IF(A72="","",MIN(Inputs!$B$20+X72,D72+N71+H72+O71+F72+P71+E72+Z71+X72))</f>
        <v>174048.99418446081</v>
      </c>
      <c r="J72" s="149">
        <f t="shared" si="27"/>
        <v>42000</v>
      </c>
      <c r="K72" s="149">
        <f t="shared" si="28"/>
        <v>21158.362512905511</v>
      </c>
      <c r="L72" s="149">
        <f t="shared" si="29"/>
        <v>40660.731295849371</v>
      </c>
      <c r="M72" s="149">
        <f t="shared" si="37"/>
        <v>7195.72806801361</v>
      </c>
      <c r="N72" s="149">
        <f t="shared" si="30"/>
        <v>0</v>
      </c>
      <c r="O72" s="149">
        <f t="shared" si="31"/>
        <v>0</v>
      </c>
      <c r="P72" s="149">
        <f t="shared" si="32"/>
        <v>0</v>
      </c>
      <c r="Q72" s="149">
        <f t="shared" si="33"/>
        <v>1645272.6177441361</v>
      </c>
      <c r="R72" s="149">
        <f t="shared" si="34"/>
        <v>1695941.4566744328</v>
      </c>
      <c r="S72" s="149">
        <f t="shared" si="35"/>
        <v>3341214.074418569</v>
      </c>
      <c r="T72" s="163" t="str">
        <f t="shared" si="36"/>
        <v>En mora</v>
      </c>
      <c r="U72" s="149">
        <f>IF($A72="","",IF($A72&lt;=Inputs!$B$15,Inputs!$B$28,0))</f>
        <v>48643.172307692315</v>
      </c>
      <c r="V72" s="149">
        <f>IF($A72="","",IF($A72&lt;=Inputs!$B$15,Inputs!$B$29,0))</f>
        <v>10984.615384615387</v>
      </c>
      <c r="W72" s="149">
        <f>IF($A72="","",IF($A72&lt;=Inputs!$B$15,Inputs!$B$30,0))</f>
        <v>3406.3846153846157</v>
      </c>
      <c r="X72" s="149">
        <f t="shared" si="38"/>
        <v>63034.172307692315</v>
      </c>
      <c r="Y72" s="149">
        <f t="shared" si="39"/>
        <v>63034.172307692315</v>
      </c>
      <c r="Z72" s="149">
        <f t="shared" si="40"/>
        <v>0</v>
      </c>
      <c r="AA72" s="149">
        <f>IF($B72="","",IF(OR($B73="",ROUNDUP(($A72+1)/Inputs!$B$14,0)&gt;$B72),SUMIF($B$4:$B72,$B72,U$4:U72),0))</f>
        <v>194572.68923076926</v>
      </c>
      <c r="AB72" s="149">
        <f>IF($B72="","",IF(OR($B73="",ROUNDUP(($A72+1)/Inputs!$B$14,0)&gt;$B72),SUMIF($B$4:$B72,$B72,V$4:V72),0))</f>
        <v>43938.461538461546</v>
      </c>
      <c r="AC72" s="149">
        <f>IF($B72="","",IF(OR($B73="",ROUNDUP(($A72+1)/Inputs!$B$14,0)&gt;$B72),SUMIF($B$4:$B72,$B72,W$4:W72),0))</f>
        <v>13625.538461538463</v>
      </c>
      <c r="AD72" s="18"/>
      <c r="AE72" s="18"/>
      <c r="AF72" s="18"/>
      <c r="AG72" s="18"/>
      <c r="AH72" s="18"/>
      <c r="AI72" s="18"/>
      <c r="AJ72" s="18"/>
      <c r="AK72" s="18"/>
    </row>
    <row r="73" spans="1:37" ht="18" customHeight="1">
      <c r="A73" s="157">
        <f>IF(A72="","",IF(AND(A72&gt;=Inputs!$B$15,S72+N72+O72+P72+Z72&lt;=0.005),"",IF(A72&gt;=Inputs!$C$67,"",A72+1)))</f>
        <v>70</v>
      </c>
      <c r="B73" s="77">
        <f>IF(A73="","",ROUNDUP(A73/Inputs!$B$14,0))</f>
        <v>17</v>
      </c>
      <c r="C73" s="160" t="str">
        <f>IF(A73="","",IF(A73&lt;Inputs!$C$66,"Pago normal",IF(A73&gt;Inputs!$B$15,"Periodo adicional con cobranza","Pago tardío + cobranza")))</f>
        <v>Pago tardío + cobranza</v>
      </c>
      <c r="D73" s="149">
        <f t="shared" si="26"/>
        <v>3341214.074418569</v>
      </c>
      <c r="E73" s="149">
        <f>IF(A73="","",D73*Inputs!$B$17)</f>
        <v>40573.351440123763</v>
      </c>
      <c r="F73" s="149">
        <f>IF(A73="","",IF(A73&lt;Inputs!$C$66,0,Q72*Inputs!$B$17+G73*(POWER(1+Inputs!$B$18,Inputs!$C$63)-1)))</f>
        <v>22182.245461006594</v>
      </c>
      <c r="G73" s="149">
        <f>IF(A73="","",IF(A73&lt;=Inputs!$B$15,INDEX(Caso1_Normal!$H$4:$H$89,A73),0))</f>
        <v>90420.502802645293</v>
      </c>
      <c r="H73" s="149">
        <f>IF(A73="","",IF(AND(A73&gt;=Inputs!$C$66,D73&gt;0.005),Inputs!$C$65,0))</f>
        <v>42000</v>
      </c>
      <c r="I73" s="149">
        <f>IF(A73="","",MIN(Inputs!$B$20+X73,D73+N72+H73+O72+F73+P72+E73+Z72+X73))</f>
        <v>174048.99418446081</v>
      </c>
      <c r="J73" s="149">
        <f t="shared" si="27"/>
        <v>42000</v>
      </c>
      <c r="K73" s="149">
        <f t="shared" si="28"/>
        <v>22182.245461006594</v>
      </c>
      <c r="L73" s="149">
        <f t="shared" si="29"/>
        <v>40573.351440123763</v>
      </c>
      <c r="M73" s="149">
        <f t="shared" si="37"/>
        <v>6259.2249756381425</v>
      </c>
      <c r="N73" s="149">
        <f t="shared" si="30"/>
        <v>0</v>
      </c>
      <c r="O73" s="149">
        <f t="shared" si="31"/>
        <v>0</v>
      </c>
      <c r="P73" s="149">
        <f t="shared" si="32"/>
        <v>0</v>
      </c>
      <c r="Q73" s="149">
        <f t="shared" si="33"/>
        <v>1729433.8955711434</v>
      </c>
      <c r="R73" s="149">
        <f t="shared" si="34"/>
        <v>1605520.9538717875</v>
      </c>
      <c r="S73" s="149">
        <f t="shared" si="35"/>
        <v>3334954.8494429309</v>
      </c>
      <c r="T73" s="163" t="str">
        <f t="shared" si="36"/>
        <v>En mora</v>
      </c>
      <c r="U73" s="149">
        <f>IF($A73="","",IF($A73&lt;=Inputs!$B$15,Inputs!$B$28,0))</f>
        <v>48643.172307692315</v>
      </c>
      <c r="V73" s="149">
        <f>IF($A73="","",IF($A73&lt;=Inputs!$B$15,Inputs!$B$29,0))</f>
        <v>10984.615384615387</v>
      </c>
      <c r="W73" s="149">
        <f>IF($A73="","",IF($A73&lt;=Inputs!$B$15,Inputs!$B$30,0))</f>
        <v>3406.3846153846157</v>
      </c>
      <c r="X73" s="149">
        <f t="shared" si="38"/>
        <v>63034.172307692315</v>
      </c>
      <c r="Y73" s="149">
        <f t="shared" si="39"/>
        <v>63034.172307692315</v>
      </c>
      <c r="Z73" s="149">
        <f t="shared" si="40"/>
        <v>0</v>
      </c>
      <c r="AA73" s="149">
        <f>IF($B73="","",IF(OR($B74="",ROUNDUP(($A73+1)/Inputs!$B$14,0)&gt;$B73),SUMIF($B$4:$B73,$B73,U$4:U73),0))</f>
        <v>0</v>
      </c>
      <c r="AB73" s="149">
        <f>IF($B73="","",IF(OR($B74="",ROUNDUP(($A73+1)/Inputs!$B$14,0)&gt;$B73),SUMIF($B$4:$B73,$B73,V$4:V73),0))</f>
        <v>0</v>
      </c>
      <c r="AC73" s="149">
        <f>IF($B73="","",IF(OR($B74="",ROUNDUP(($A73+1)/Inputs!$B$14,0)&gt;$B73),SUMIF($B$4:$B73,$B73,W$4:W73),0))</f>
        <v>0</v>
      </c>
      <c r="AD73" s="18"/>
      <c r="AE73" s="18"/>
      <c r="AF73" s="18"/>
      <c r="AG73" s="18"/>
      <c r="AH73" s="18"/>
      <c r="AI73" s="18"/>
      <c r="AJ73" s="18"/>
      <c r="AK73" s="18"/>
    </row>
    <row r="74" spans="1:37" ht="18" customHeight="1">
      <c r="A74" s="157">
        <f>IF(A73="","",IF(AND(A73&gt;=Inputs!$B$15,S73+N73+O73+P73+Z73&lt;=0.005),"",IF(A73&gt;=Inputs!$C$67,"",A73+1)))</f>
        <v>71</v>
      </c>
      <c r="B74" s="77">
        <f>IF(A74="","",ROUNDUP(A74/Inputs!$B$14,0))</f>
        <v>17</v>
      </c>
      <c r="C74" s="160" t="str">
        <f>IF(A74="","",IF(A74&lt;Inputs!$C$66,"Pago normal",IF(A74&gt;Inputs!$B$15,"Periodo adicional con cobranza","Pago tardío + cobranza")))</f>
        <v>Pago tardío + cobranza</v>
      </c>
      <c r="D74" s="149">
        <f t="shared" si="26"/>
        <v>3334954.8494429309</v>
      </c>
      <c r="E74" s="149">
        <f>IF(A74="","",D74*Inputs!$B$17)</f>
        <v>40497.343818635585</v>
      </c>
      <c r="F74" s="149">
        <f>IF(A74="","",IF(A74&lt;Inputs!$C$66,0,Q73*Inputs!$B$17+G74*(POWER(1+Inputs!$B$18,Inputs!$C$63)-1)))</f>
        <v>23230.995036484182</v>
      </c>
      <c r="G74" s="149">
        <f>IF(A74="","",IF(A74&lt;=Inputs!$B$15,INDEX(Caso1_Normal!$H$4:$H$89,A74),0))</f>
        <v>91518.505730890116</v>
      </c>
      <c r="H74" s="149">
        <f>IF(A74="","",IF(AND(A74&gt;=Inputs!$C$66,D74&gt;0.005),Inputs!$C$65,0))</f>
        <v>42000</v>
      </c>
      <c r="I74" s="149">
        <f>IF(A74="","",MIN(Inputs!$B$20+X74,D74+N73+H74+O73+F74+P73+E74+Z73+X74))</f>
        <v>174048.99418446081</v>
      </c>
      <c r="J74" s="149">
        <f t="shared" si="27"/>
        <v>42000</v>
      </c>
      <c r="K74" s="149">
        <f t="shared" si="28"/>
        <v>23230.995036484182</v>
      </c>
      <c r="L74" s="149">
        <f t="shared" si="29"/>
        <v>40497.343818635585</v>
      </c>
      <c r="M74" s="149">
        <f t="shared" si="37"/>
        <v>5286.4830216487244</v>
      </c>
      <c r="N74" s="149">
        <f t="shared" si="30"/>
        <v>0</v>
      </c>
      <c r="O74" s="149">
        <f t="shared" si="31"/>
        <v>0</v>
      </c>
      <c r="P74" s="149">
        <f t="shared" si="32"/>
        <v>0</v>
      </c>
      <c r="Q74" s="149">
        <f t="shared" si="33"/>
        <v>1815665.9182803847</v>
      </c>
      <c r="R74" s="149">
        <f t="shared" si="34"/>
        <v>1514002.4481408976</v>
      </c>
      <c r="S74" s="149">
        <f t="shared" si="35"/>
        <v>3329668.3664212823</v>
      </c>
      <c r="T74" s="163" t="str">
        <f t="shared" si="36"/>
        <v>En mora</v>
      </c>
      <c r="U74" s="149">
        <f>IF($A74="","",IF($A74&lt;=Inputs!$B$15,Inputs!$B$28,0))</f>
        <v>48643.172307692315</v>
      </c>
      <c r="V74" s="149">
        <f>IF($A74="","",IF($A74&lt;=Inputs!$B$15,Inputs!$B$29,0))</f>
        <v>10984.615384615387</v>
      </c>
      <c r="W74" s="149">
        <f>IF($A74="","",IF($A74&lt;=Inputs!$B$15,Inputs!$B$30,0))</f>
        <v>3406.3846153846157</v>
      </c>
      <c r="X74" s="149">
        <f t="shared" si="38"/>
        <v>63034.172307692315</v>
      </c>
      <c r="Y74" s="149">
        <f t="shared" si="39"/>
        <v>63034.172307692315</v>
      </c>
      <c r="Z74" s="149">
        <f t="shared" si="40"/>
        <v>0</v>
      </c>
      <c r="AA74" s="149">
        <f>IF($B74="","",IF(OR($B75="",ROUNDUP(($A74+1)/Inputs!$B$14,0)&gt;$B74),SUMIF($B$4:$B74,$B74,U$4:U74),0))</f>
        <v>0</v>
      </c>
      <c r="AB74" s="149">
        <f>IF($B74="","",IF(OR($B75="",ROUNDUP(($A74+1)/Inputs!$B$14,0)&gt;$B74),SUMIF($B$4:$B74,$B74,V$4:V74),0))</f>
        <v>0</v>
      </c>
      <c r="AC74" s="149">
        <f>IF($B74="","",IF(OR($B75="",ROUNDUP(($A74+1)/Inputs!$B$14,0)&gt;$B74),SUMIF($B$4:$B74,$B74,W$4:W74),0))</f>
        <v>0</v>
      </c>
      <c r="AD74" s="18"/>
      <c r="AE74" s="18"/>
      <c r="AF74" s="18"/>
      <c r="AG74" s="18"/>
      <c r="AH74" s="18"/>
      <c r="AI74" s="18"/>
      <c r="AJ74" s="18"/>
      <c r="AK74" s="18"/>
    </row>
    <row r="75" spans="1:37" ht="18" customHeight="1">
      <c r="A75" s="157">
        <f>IF(A74="","",IF(AND(A74&gt;=Inputs!$B$15,S74+N74+O74+P74+Z74&lt;=0.005),"",IF(A74&gt;=Inputs!$C$67,"",A74+1)))</f>
        <v>72</v>
      </c>
      <c r="B75" s="77">
        <f>IF(A75="","",ROUNDUP(A75/Inputs!$B$14,0))</f>
        <v>17</v>
      </c>
      <c r="C75" s="160" t="str">
        <f>IF(A75="","",IF(A75&lt;Inputs!$C$66,"Pago normal",IF(A75&gt;Inputs!$B$15,"Periodo adicional con cobranza","Pago tardío + cobranza")))</f>
        <v>Pago tardío + cobranza</v>
      </c>
      <c r="D75" s="149">
        <f t="shared" si="26"/>
        <v>3329668.3664212823</v>
      </c>
      <c r="E75" s="149">
        <f>IF(A75="","",D75*Inputs!$B$17)</f>
        <v>40433.148490607433</v>
      </c>
      <c r="F75" s="149">
        <f>IF(A75="","",IF(A75&lt;Inputs!$C$66,0,Q74*Inputs!$B$17+G75*(POWER(1+Inputs!$B$18,Inputs!$C$63)-1)))</f>
        <v>24305.215164970825</v>
      </c>
      <c r="G75" s="149">
        <f>IF(A75="","",IF(A75&lt;=Inputs!$B$15,INDEX(Caso1_Normal!$H$4:$H$89,A75),0))</f>
        <v>92629.842033680165</v>
      </c>
      <c r="H75" s="149">
        <f>IF(A75="","",IF(AND(A75&gt;=Inputs!$C$66,D75&gt;0.005),Inputs!$C$65,0))</f>
        <v>42000</v>
      </c>
      <c r="I75" s="149">
        <f>IF(A75="","",MIN(Inputs!$B$20+X75,D75+N74+H75+O74+F75+P74+E75+Z74+X75))</f>
        <v>174048.99418446081</v>
      </c>
      <c r="J75" s="149">
        <f t="shared" si="27"/>
        <v>42000</v>
      </c>
      <c r="K75" s="149">
        <f t="shared" si="28"/>
        <v>24305.215164970825</v>
      </c>
      <c r="L75" s="149">
        <f t="shared" si="29"/>
        <v>40433.148490607433</v>
      </c>
      <c r="M75" s="149">
        <f t="shared" si="37"/>
        <v>4276.458221190238</v>
      </c>
      <c r="N75" s="149">
        <f t="shared" si="30"/>
        <v>0</v>
      </c>
      <c r="O75" s="149">
        <f t="shared" si="31"/>
        <v>0</v>
      </c>
      <c r="P75" s="149">
        <f t="shared" si="32"/>
        <v>0</v>
      </c>
      <c r="Q75" s="149">
        <f t="shared" si="33"/>
        <v>1904019.3020928747</v>
      </c>
      <c r="R75" s="149">
        <f t="shared" si="34"/>
        <v>1421372.6061072175</v>
      </c>
      <c r="S75" s="149">
        <f t="shared" si="35"/>
        <v>3325391.9082000921</v>
      </c>
      <c r="T75" s="163" t="str">
        <f t="shared" si="36"/>
        <v>En mora</v>
      </c>
      <c r="U75" s="149">
        <f>IF($A75="","",IF($A75&lt;=Inputs!$B$15,Inputs!$B$28,0))</f>
        <v>48643.172307692315</v>
      </c>
      <c r="V75" s="149">
        <f>IF($A75="","",IF($A75&lt;=Inputs!$B$15,Inputs!$B$29,0))</f>
        <v>10984.615384615387</v>
      </c>
      <c r="W75" s="149">
        <f>IF($A75="","",IF($A75&lt;=Inputs!$B$15,Inputs!$B$30,0))</f>
        <v>3406.3846153846157</v>
      </c>
      <c r="X75" s="149">
        <f t="shared" si="38"/>
        <v>63034.172307692315</v>
      </c>
      <c r="Y75" s="149">
        <f t="shared" si="39"/>
        <v>63034.172307692315</v>
      </c>
      <c r="Z75" s="149">
        <f t="shared" si="40"/>
        <v>0</v>
      </c>
      <c r="AA75" s="149">
        <f>IF($B75="","",IF(OR($B76="",ROUNDUP(($A75+1)/Inputs!$B$14,0)&gt;$B75),SUMIF($B$4:$B75,$B75,U$4:U75),0))</f>
        <v>0</v>
      </c>
      <c r="AB75" s="149">
        <f>IF($B75="","",IF(OR($B76="",ROUNDUP(($A75+1)/Inputs!$B$14,0)&gt;$B75),SUMIF($B$4:$B75,$B75,V$4:V75),0))</f>
        <v>0</v>
      </c>
      <c r="AC75" s="149">
        <f>IF($B75="","",IF(OR($B76="",ROUNDUP(($A75+1)/Inputs!$B$14,0)&gt;$B75),SUMIF($B$4:$B75,$B75,W$4:W75),0))</f>
        <v>0</v>
      </c>
      <c r="AD75" s="18"/>
      <c r="AE75" s="18"/>
      <c r="AF75" s="18"/>
      <c r="AG75" s="18"/>
      <c r="AH75" s="18"/>
      <c r="AI75" s="18"/>
      <c r="AJ75" s="18"/>
      <c r="AK75" s="18"/>
    </row>
    <row r="76" spans="1:37" ht="18" customHeight="1">
      <c r="A76" s="157">
        <f>IF(A75="","",IF(AND(A75&gt;=Inputs!$B$15,S75+N75+O75+P75+Z75&lt;=0.005),"",IF(A75&gt;=Inputs!$C$67,"",A75+1)))</f>
        <v>73</v>
      </c>
      <c r="B76" s="77">
        <f>IF(A76="","",ROUNDUP(A76/Inputs!$B$14,0))</f>
        <v>17</v>
      </c>
      <c r="C76" s="160" t="str">
        <f>IF(A76="","",IF(A76&lt;Inputs!$C$66,"Pago normal",IF(A76&gt;Inputs!$B$15,"Periodo adicional con cobranza","Pago tardío + cobranza")))</f>
        <v>Pago tardío + cobranza</v>
      </c>
      <c r="D76" s="149">
        <f t="shared" si="26"/>
        <v>3325391.9082000921</v>
      </c>
      <c r="E76" s="149">
        <f>IF(A76="","",D76*Inputs!$B$17)</f>
        <v>40381.218192678964</v>
      </c>
      <c r="F76" s="149">
        <f>IF(A76="","",IF(A76&lt;Inputs!$C$66,0,Q75*Inputs!$B$17+G76*(POWER(1+Inputs!$B$18,Inputs!$C$63)-1)))</f>
        <v>25405.524439394467</v>
      </c>
      <c r="G76" s="149">
        <f>IF(A76="","",IF(A76&lt;=Inputs!$B$15,INDEX(Caso1_Normal!$H$4:$H$89,A76),0))</f>
        <v>93754.673622128947</v>
      </c>
      <c r="H76" s="149">
        <f>IF(A76="","",IF(AND(A76&gt;=Inputs!$C$66,D76&gt;0.005),Inputs!$C$65,0))</f>
        <v>42000</v>
      </c>
      <c r="I76" s="149">
        <f>IF(A76="","",MIN(Inputs!$B$20+X76,D76+N75+H76+O75+F76+P75+E76+Z75+X76))</f>
        <v>174048.99418446081</v>
      </c>
      <c r="J76" s="149">
        <f t="shared" si="27"/>
        <v>42000</v>
      </c>
      <c r="K76" s="149">
        <f t="shared" si="28"/>
        <v>25405.524439394467</v>
      </c>
      <c r="L76" s="149">
        <f t="shared" si="29"/>
        <v>40381.218192678964</v>
      </c>
      <c r="M76" s="149">
        <f t="shared" si="37"/>
        <v>3228.0792446950582</v>
      </c>
      <c r="N76" s="149">
        <f t="shared" si="30"/>
        <v>0</v>
      </c>
      <c r="O76" s="149">
        <f t="shared" si="31"/>
        <v>0</v>
      </c>
      <c r="P76" s="149">
        <f t="shared" si="32"/>
        <v>0</v>
      </c>
      <c r="Q76" s="149">
        <f t="shared" si="33"/>
        <v>1994545.8964703085</v>
      </c>
      <c r="R76" s="149">
        <f t="shared" si="34"/>
        <v>1327617.9324850885</v>
      </c>
      <c r="S76" s="149">
        <f t="shared" si="35"/>
        <v>3322163.828955397</v>
      </c>
      <c r="T76" s="163" t="str">
        <f t="shared" si="36"/>
        <v>En mora</v>
      </c>
      <c r="U76" s="149">
        <f>IF($A76="","",IF($A76&lt;=Inputs!$B$15,Inputs!$B$28,0))</f>
        <v>48643.172307692315</v>
      </c>
      <c r="V76" s="149">
        <f>IF($A76="","",IF($A76&lt;=Inputs!$B$15,Inputs!$B$29,0))</f>
        <v>10984.615384615387</v>
      </c>
      <c r="W76" s="149">
        <f>IF($A76="","",IF($A76&lt;=Inputs!$B$15,Inputs!$B$30,0))</f>
        <v>3406.3846153846157</v>
      </c>
      <c r="X76" s="149">
        <f t="shared" si="38"/>
        <v>63034.172307692315</v>
      </c>
      <c r="Y76" s="149">
        <f t="shared" si="39"/>
        <v>63034.172307692315</v>
      </c>
      <c r="Z76" s="149">
        <f t="shared" si="40"/>
        <v>0</v>
      </c>
      <c r="AA76" s="149">
        <f>IF($B76="","",IF(OR($B77="",ROUNDUP(($A76+1)/Inputs!$B$14,0)&gt;$B76),SUMIF($B$4:$B76,$B76,U$4:U76),0))</f>
        <v>194572.68923076926</v>
      </c>
      <c r="AB76" s="149">
        <f>IF($B76="","",IF(OR($B77="",ROUNDUP(($A76+1)/Inputs!$B$14,0)&gt;$B76),SUMIF($B$4:$B76,$B76,V$4:V76),0))</f>
        <v>43938.461538461546</v>
      </c>
      <c r="AC76" s="149">
        <f>IF($B76="","",IF(OR($B77="",ROUNDUP(($A76+1)/Inputs!$B$14,0)&gt;$B76),SUMIF($B$4:$B76,$B76,W$4:W76),0))</f>
        <v>13625.538461538463</v>
      </c>
      <c r="AD76" s="18"/>
      <c r="AE76" s="18"/>
      <c r="AF76" s="18"/>
      <c r="AG76" s="18"/>
      <c r="AH76" s="18"/>
      <c r="AI76" s="18"/>
      <c r="AJ76" s="18"/>
      <c r="AK76" s="18"/>
    </row>
    <row r="77" spans="1:37" ht="18" customHeight="1">
      <c r="A77" s="157">
        <f>IF(A76="","",IF(AND(A76&gt;=Inputs!$B$15,S76+N76+O76+P76+Z76&lt;=0.005),"",IF(A76&gt;=Inputs!$C$67,"",A76+1)))</f>
        <v>74</v>
      </c>
      <c r="B77" s="77">
        <f>IF(A77="","",ROUNDUP(A77/Inputs!$B$14,0))</f>
        <v>18</v>
      </c>
      <c r="C77" s="160" t="str">
        <f>IF(A77="","",IF(A77&lt;Inputs!$C$66,"Pago normal",IF(A77&gt;Inputs!$B$15,"Periodo adicional con cobranza","Pago tardío + cobranza")))</f>
        <v>Pago tardío + cobranza</v>
      </c>
      <c r="D77" s="149">
        <f t="shared" si="26"/>
        <v>3322163.828955397</v>
      </c>
      <c r="E77" s="149">
        <f>IF(A77="","",D77*Inputs!$B$17)</f>
        <v>40342.018670961879</v>
      </c>
      <c r="F77" s="149">
        <f>IF(A77="","",IF(A77&lt;Inputs!$C$66,0,Q76*Inputs!$B$17+G77*(POWER(1+Inputs!$B$18,Inputs!$C$63)-1)))</f>
        <v>26532.556476197111</v>
      </c>
      <c r="G77" s="149">
        <f>IF(A77="","",IF(A77&lt;=Inputs!$B$15,INDEX(Caso1_Normal!$H$4:$H$89,A77),0))</f>
        <v>94893.164373484557</v>
      </c>
      <c r="H77" s="149">
        <f>IF(A77="","",IF(AND(A77&gt;=Inputs!$C$66,D77&gt;0.005),Inputs!$C$65,0))</f>
        <v>42000</v>
      </c>
      <c r="I77" s="149">
        <f>IF(A77="","",MIN(Inputs!$B$20+X77,D77+N76+H77+O76+F77+P76+E77+Z76+X77))</f>
        <v>174048.99418446081</v>
      </c>
      <c r="J77" s="149">
        <f t="shared" si="27"/>
        <v>42000</v>
      </c>
      <c r="K77" s="149">
        <f t="shared" si="28"/>
        <v>26532.556476197111</v>
      </c>
      <c r="L77" s="149">
        <f t="shared" si="29"/>
        <v>40342.018670961879</v>
      </c>
      <c r="M77" s="149">
        <f t="shared" si="37"/>
        <v>2140.2467296094983</v>
      </c>
      <c r="N77" s="149">
        <f t="shared" si="30"/>
        <v>0</v>
      </c>
      <c r="O77" s="149">
        <f t="shared" si="31"/>
        <v>0</v>
      </c>
      <c r="P77" s="149">
        <f t="shared" si="32"/>
        <v>0</v>
      </c>
      <c r="Q77" s="149">
        <f t="shared" si="33"/>
        <v>2087298.8141141837</v>
      </c>
      <c r="R77" s="149">
        <f t="shared" si="34"/>
        <v>1232724.7681116038</v>
      </c>
      <c r="S77" s="149">
        <f t="shared" si="35"/>
        <v>3320023.5822257875</v>
      </c>
      <c r="T77" s="163" t="str">
        <f t="shared" si="36"/>
        <v>En mora</v>
      </c>
      <c r="U77" s="149">
        <f>IF($A77="","",IF($A77&lt;=Inputs!$B$15,Inputs!$B$28,0))</f>
        <v>48643.172307692315</v>
      </c>
      <c r="V77" s="149">
        <f>IF($A77="","",IF($A77&lt;=Inputs!$B$15,Inputs!$B$29,0))</f>
        <v>10984.615384615387</v>
      </c>
      <c r="W77" s="149">
        <f>IF($A77="","",IF($A77&lt;=Inputs!$B$15,Inputs!$B$30,0))</f>
        <v>3406.3846153846157</v>
      </c>
      <c r="X77" s="149">
        <f t="shared" si="38"/>
        <v>63034.172307692315</v>
      </c>
      <c r="Y77" s="149">
        <f t="shared" si="39"/>
        <v>63034.172307692315</v>
      </c>
      <c r="Z77" s="149">
        <f t="shared" si="40"/>
        <v>0</v>
      </c>
      <c r="AA77" s="149">
        <f>IF($B77="","",IF(OR($B78="",ROUNDUP(($A77+1)/Inputs!$B$14,0)&gt;$B77),SUMIF($B$4:$B77,$B77,U$4:U77),0))</f>
        <v>0</v>
      </c>
      <c r="AB77" s="149">
        <f>IF($B77="","",IF(OR($B78="",ROUNDUP(($A77+1)/Inputs!$B$14,0)&gt;$B77),SUMIF($B$4:$B77,$B77,V$4:V77),0))</f>
        <v>0</v>
      </c>
      <c r="AC77" s="149">
        <f>IF($B77="","",IF(OR($B78="",ROUNDUP(($A77+1)/Inputs!$B$14,0)&gt;$B77),SUMIF($B$4:$B77,$B77,W$4:W77),0))</f>
        <v>0</v>
      </c>
      <c r="AD77" s="18"/>
      <c r="AE77" s="18"/>
      <c r="AF77" s="18"/>
      <c r="AG77" s="18"/>
      <c r="AH77" s="18"/>
      <c r="AI77" s="18"/>
      <c r="AJ77" s="18"/>
      <c r="AK77" s="18"/>
    </row>
    <row r="78" spans="1:37" ht="18" customHeight="1">
      <c r="A78" s="157">
        <f>IF(A77="","",IF(AND(A77&gt;=Inputs!$B$15,S77+N77+O77+P77+Z77&lt;=0.005),"",IF(A77&gt;=Inputs!$C$67,"",A77+1)))</f>
        <v>75</v>
      </c>
      <c r="B78" s="77">
        <f>IF(A78="","",ROUNDUP(A78/Inputs!$B$14,0))</f>
        <v>18</v>
      </c>
      <c r="C78" s="160" t="str">
        <f>IF(A78="","",IF(A78&lt;Inputs!$C$66,"Pago normal",IF(A78&gt;Inputs!$B$15,"Periodo adicional con cobranza","Pago tardío + cobranza")))</f>
        <v>Pago tardío + cobranza</v>
      </c>
      <c r="D78" s="149">
        <f t="shared" si="26"/>
        <v>3320023.5822257875</v>
      </c>
      <c r="E78" s="149">
        <f>IF(A78="","",D78*Inputs!$B$17)</f>
        <v>40316.029021452778</v>
      </c>
      <c r="F78" s="149">
        <f>IF(A78="","",IF(A78&lt;Inputs!$C$66,0,Q77*Inputs!$B$17+G78*(POWER(1+Inputs!$B$18,Inputs!$C$63)-1)))</f>
        <v>27686.960280204716</v>
      </c>
      <c r="G78" s="149">
        <f>IF(A78="","",IF(A78&lt;=Inputs!$B$15,INDEX(Caso1_Normal!$H$4:$H$89,A78),0))</f>
        <v>96045.480155005018</v>
      </c>
      <c r="H78" s="149">
        <f>IF(A78="","",IF(AND(A78&gt;=Inputs!$C$66,D78&gt;0.005),Inputs!$C$65,0))</f>
        <v>42000</v>
      </c>
      <c r="I78" s="149">
        <f>IF(A78="","",MIN(Inputs!$B$20+X78,D78+N77+H78+O77+F78+P77+E78+Z77+X78))</f>
        <v>174048.99418446081</v>
      </c>
      <c r="J78" s="149">
        <f t="shared" si="27"/>
        <v>42000</v>
      </c>
      <c r="K78" s="149">
        <f t="shared" si="28"/>
        <v>27686.960280204716</v>
      </c>
      <c r="L78" s="149">
        <f t="shared" si="29"/>
        <v>40316.029021452778</v>
      </c>
      <c r="M78" s="149">
        <f t="shared" si="37"/>
        <v>1011.8325751110024</v>
      </c>
      <c r="N78" s="149">
        <f t="shared" si="30"/>
        <v>0</v>
      </c>
      <c r="O78" s="149">
        <f t="shared" si="31"/>
        <v>0</v>
      </c>
      <c r="P78" s="149">
        <f t="shared" si="32"/>
        <v>0</v>
      </c>
      <c r="Q78" s="149">
        <f t="shared" si="33"/>
        <v>2182332.4616940776</v>
      </c>
      <c r="R78" s="149">
        <f t="shared" si="34"/>
        <v>1136679.2879565987</v>
      </c>
      <c r="S78" s="149">
        <f t="shared" si="35"/>
        <v>3319011.7496506763</v>
      </c>
      <c r="T78" s="163" t="str">
        <f t="shared" si="36"/>
        <v>En mora</v>
      </c>
      <c r="U78" s="149">
        <f>IF($A78="","",IF($A78&lt;=Inputs!$B$15,Inputs!$B$28,0))</f>
        <v>48643.172307692315</v>
      </c>
      <c r="V78" s="149">
        <f>IF($A78="","",IF($A78&lt;=Inputs!$B$15,Inputs!$B$29,0))</f>
        <v>10984.615384615387</v>
      </c>
      <c r="W78" s="149">
        <f>IF($A78="","",IF($A78&lt;=Inputs!$B$15,Inputs!$B$30,0))</f>
        <v>3406.3846153846157</v>
      </c>
      <c r="X78" s="149">
        <f t="shared" si="38"/>
        <v>63034.172307692315</v>
      </c>
      <c r="Y78" s="149">
        <f t="shared" si="39"/>
        <v>63034.172307692315</v>
      </c>
      <c r="Z78" s="149">
        <f t="shared" si="40"/>
        <v>0</v>
      </c>
      <c r="AA78" s="149">
        <f>IF($B78="","",IF(OR($B79="",ROUNDUP(($A78+1)/Inputs!$B$14,0)&gt;$B78),SUMIF($B$4:$B78,$B78,U$4:U78),0))</f>
        <v>0</v>
      </c>
      <c r="AB78" s="149">
        <f>IF($B78="","",IF(OR($B79="",ROUNDUP(($A78+1)/Inputs!$B$14,0)&gt;$B78),SUMIF($B$4:$B78,$B78,V$4:V78),0))</f>
        <v>0</v>
      </c>
      <c r="AC78" s="149">
        <f>IF($B78="","",IF(OR($B79="",ROUNDUP(($A78+1)/Inputs!$B$14,0)&gt;$B78),SUMIF($B$4:$B78,$B78,W$4:W78),0))</f>
        <v>0</v>
      </c>
      <c r="AD78" s="18"/>
      <c r="AE78" s="18"/>
      <c r="AF78" s="18"/>
      <c r="AG78" s="18"/>
      <c r="AH78" s="18"/>
      <c r="AI78" s="18"/>
      <c r="AJ78" s="18"/>
      <c r="AK78" s="18"/>
    </row>
    <row r="79" spans="1:37" ht="18" customHeight="1">
      <c r="A79" s="157">
        <f>IF(A78="","",IF(AND(A78&gt;=Inputs!$B$15,S78+N78+O78+P78+Z78&lt;=0.005),"",IF(A78&gt;=Inputs!$C$67,"",A78+1)))</f>
        <v>76</v>
      </c>
      <c r="B79" s="77">
        <f>IF(A79="","",ROUNDUP(A79/Inputs!$B$14,0))</f>
        <v>18</v>
      </c>
      <c r="C79" s="160" t="str">
        <f>IF(A79="","",IF(A79&lt;Inputs!$C$66,"Pago normal",IF(A79&gt;Inputs!$B$15,"Periodo adicional con cobranza","Pago tardío + cobranza")))</f>
        <v>Pago tardío + cobranza</v>
      </c>
      <c r="D79" s="149">
        <f t="shared" si="26"/>
        <v>3319011.7496506763</v>
      </c>
      <c r="E79" s="149">
        <f>IF(A79="","",D79*Inputs!$B$17)</f>
        <v>40303.742039010416</v>
      </c>
      <c r="F79" s="149">
        <f>IF(A79="","",IF(A79&lt;Inputs!$C$66,0,Q78*Inputs!$B$17+G79*(POWER(1+Inputs!$B$18,Inputs!$C$63)-1)))</f>
        <v>28869.400618358653</v>
      </c>
      <c r="G79" s="149">
        <f>IF(A79="","",IF(A79&lt;=Inputs!$B$15,INDEX(Caso1_Normal!$H$4:$H$89,A79),0))</f>
        <v>97211.788848123586</v>
      </c>
      <c r="H79" s="149">
        <f>IF(A79="","",IF(AND(A79&gt;=Inputs!$C$66,D79&gt;0.005),Inputs!$C$65,0))</f>
        <v>42000</v>
      </c>
      <c r="I79" s="149">
        <f>IF(A79="","",MIN(Inputs!$B$20+X79,D79+N78+H79+O78+F79+P78+E79+Z78+X79))</f>
        <v>174048.99418446081</v>
      </c>
      <c r="J79" s="149">
        <f t="shared" si="27"/>
        <v>42000</v>
      </c>
      <c r="K79" s="149">
        <f t="shared" si="28"/>
        <v>28869.400618358653</v>
      </c>
      <c r="L79" s="149">
        <f t="shared" si="29"/>
        <v>40303.742039010416</v>
      </c>
      <c r="M79" s="149">
        <f t="shared" si="37"/>
        <v>0</v>
      </c>
      <c r="N79" s="149">
        <f t="shared" si="30"/>
        <v>0</v>
      </c>
      <c r="O79" s="149">
        <f t="shared" si="31"/>
        <v>0</v>
      </c>
      <c r="P79" s="149">
        <f t="shared" si="32"/>
        <v>0</v>
      </c>
      <c r="Q79" s="149">
        <f t="shared" si="33"/>
        <v>2279544.2505422011</v>
      </c>
      <c r="R79" s="149">
        <f t="shared" si="34"/>
        <v>1039467.4991084752</v>
      </c>
      <c r="S79" s="149">
        <f t="shared" si="35"/>
        <v>3319011.7496506763</v>
      </c>
      <c r="T79" s="163" t="str">
        <f t="shared" si="36"/>
        <v>En mora</v>
      </c>
      <c r="U79" s="149">
        <f>IF($A79="","",IF($A79&lt;=Inputs!$B$15,Inputs!$B$28,0))</f>
        <v>48643.172307692315</v>
      </c>
      <c r="V79" s="149">
        <f>IF($A79="","",IF($A79&lt;=Inputs!$B$15,Inputs!$B$29,0))</f>
        <v>10984.615384615387</v>
      </c>
      <c r="W79" s="149">
        <f>IF($A79="","",IF($A79&lt;=Inputs!$B$15,Inputs!$B$30,0))</f>
        <v>3406.3846153846157</v>
      </c>
      <c r="X79" s="149">
        <f t="shared" si="38"/>
        <v>63034.172307692315</v>
      </c>
      <c r="Y79" s="149">
        <f t="shared" si="39"/>
        <v>62875.851527091734</v>
      </c>
      <c r="Z79" s="149">
        <f t="shared" si="40"/>
        <v>158.3207806005812</v>
      </c>
      <c r="AA79" s="149">
        <f>IF($B79="","",IF(OR($B80="",ROUNDUP(($A79+1)/Inputs!$B$14,0)&gt;$B79),SUMIF($B$4:$B79,$B79,U$4:U79),0))</f>
        <v>0</v>
      </c>
      <c r="AB79" s="149">
        <f>IF($B79="","",IF(OR($B80="",ROUNDUP(($A79+1)/Inputs!$B$14,0)&gt;$B79),SUMIF($B$4:$B79,$B79,V$4:V79),0))</f>
        <v>0</v>
      </c>
      <c r="AC79" s="149">
        <f>IF($B79="","",IF(OR($B80="",ROUNDUP(($A79+1)/Inputs!$B$14,0)&gt;$B79),SUMIF($B$4:$B79,$B79,W$4:W79),0))</f>
        <v>0</v>
      </c>
      <c r="AD79" s="18"/>
      <c r="AE79" s="18"/>
      <c r="AF79" s="18"/>
      <c r="AG79" s="18"/>
      <c r="AH79" s="18"/>
      <c r="AI79" s="18"/>
      <c r="AJ79" s="18"/>
      <c r="AK79" s="18"/>
    </row>
    <row r="80" spans="1:37" ht="18" customHeight="1">
      <c r="A80" s="157">
        <f>IF(A79="","",IF(AND(A79&gt;=Inputs!$B$15,S79+N79+O79+P79+Z79&lt;=0.005),"",IF(A79&gt;=Inputs!$C$67,"",A79+1)))</f>
        <v>77</v>
      </c>
      <c r="B80" s="77">
        <f>IF(A80="","",ROUNDUP(A80/Inputs!$B$14,0))</f>
        <v>18</v>
      </c>
      <c r="C80" s="160" t="str">
        <f>IF(A80="","",IF(A80&lt;Inputs!$C$66,"Pago normal",IF(A80&gt;Inputs!$B$15,"Periodo adicional con cobranza","Pago tardío + cobranza")))</f>
        <v>Pago tardío + cobranza</v>
      </c>
      <c r="D80" s="149">
        <f t="shared" si="26"/>
        <v>3319011.7496506763</v>
      </c>
      <c r="E80" s="149">
        <f>IF(A80="","",D80*Inputs!$B$17)</f>
        <v>40303.742039010416</v>
      </c>
      <c r="F80" s="149">
        <f>IF(A80="","",IF(A80&lt;Inputs!$C$66,0,Q79*Inputs!$B$17+G80*(POWER(1+Inputs!$B$18,Inputs!$C$63)-1)))</f>
        <v>30078.635866425026</v>
      </c>
      <c r="G80" s="149">
        <f>IF(A80="","",IF(A80&lt;=Inputs!$B$15,INDEX(Caso1_Normal!$H$4:$H$89,A80),0))</f>
        <v>98392.260372907389</v>
      </c>
      <c r="H80" s="149">
        <f>IF(A80="","",IF(AND(A80&gt;=Inputs!$C$66,D80&gt;0.005),Inputs!$C$65,0))</f>
        <v>42000</v>
      </c>
      <c r="I80" s="149">
        <f>IF(A80="","",MIN(Inputs!$B$20+X80,D80+N79+H80+O79+F80+P79+E80+Z79+X80))</f>
        <v>174048.99418446081</v>
      </c>
      <c r="J80" s="149">
        <f t="shared" si="27"/>
        <v>42000</v>
      </c>
      <c r="K80" s="149">
        <f t="shared" si="28"/>
        <v>30078.635866425026</v>
      </c>
      <c r="L80" s="149">
        <f t="shared" si="29"/>
        <v>40303.742039010416</v>
      </c>
      <c r="M80" s="149">
        <f t="shared" si="37"/>
        <v>0</v>
      </c>
      <c r="N80" s="149">
        <f t="shared" si="30"/>
        <v>0</v>
      </c>
      <c r="O80" s="149">
        <f t="shared" si="31"/>
        <v>0</v>
      </c>
      <c r="P80" s="149">
        <f t="shared" si="32"/>
        <v>0</v>
      </c>
      <c r="Q80" s="149">
        <f t="shared" si="33"/>
        <v>2377936.5109151085</v>
      </c>
      <c r="R80" s="149">
        <f t="shared" si="34"/>
        <v>941075.23873556778</v>
      </c>
      <c r="S80" s="149">
        <f t="shared" si="35"/>
        <v>3319011.7496506763</v>
      </c>
      <c r="T80" s="163" t="str">
        <f t="shared" si="36"/>
        <v>En mora</v>
      </c>
      <c r="U80" s="149">
        <f>IF($A80="","",IF($A80&lt;=Inputs!$B$15,Inputs!$B$28,0))</f>
        <v>48643.172307692315</v>
      </c>
      <c r="V80" s="149">
        <f>IF($A80="","",IF($A80&lt;=Inputs!$B$15,Inputs!$B$29,0))</f>
        <v>10984.615384615387</v>
      </c>
      <c r="W80" s="149">
        <f>IF($A80="","",IF($A80&lt;=Inputs!$B$15,Inputs!$B$30,0))</f>
        <v>3406.3846153846157</v>
      </c>
      <c r="X80" s="149">
        <f t="shared" si="38"/>
        <v>63034.172307692315</v>
      </c>
      <c r="Y80" s="149">
        <f t="shared" si="39"/>
        <v>61666.616279025366</v>
      </c>
      <c r="Z80" s="149">
        <f t="shared" si="40"/>
        <v>1525.8768092675309</v>
      </c>
      <c r="AA80" s="149">
        <f>IF($B80="","",IF(OR($B81="",ROUNDUP(($A80+1)/Inputs!$B$14,0)&gt;$B80),SUMIF($B$4:$B80,$B80,U$4:U80),0))</f>
        <v>0</v>
      </c>
      <c r="AB80" s="149">
        <f>IF($B80="","",IF(OR($B81="",ROUNDUP(($A80+1)/Inputs!$B$14,0)&gt;$B80),SUMIF($B$4:$B80,$B80,V$4:V80),0))</f>
        <v>0</v>
      </c>
      <c r="AC80" s="149">
        <f>IF($B80="","",IF(OR($B81="",ROUNDUP(($A80+1)/Inputs!$B$14,0)&gt;$B80),SUMIF($B$4:$B80,$B80,W$4:W80),0))</f>
        <v>0</v>
      </c>
      <c r="AD80" s="18"/>
      <c r="AE80" s="18"/>
      <c r="AF80" s="18"/>
      <c r="AG80" s="18"/>
      <c r="AH80" s="18"/>
      <c r="AI80" s="18"/>
      <c r="AJ80" s="18"/>
      <c r="AK80" s="18"/>
    </row>
    <row r="81" spans="1:37" ht="18" customHeight="1">
      <c r="A81" s="157">
        <f>IF(A80="","",IF(AND(A80&gt;=Inputs!$B$15,S80+N80+O80+P80+Z80&lt;=0.005),"",IF(A80&gt;=Inputs!$C$67,"",A80+1)))</f>
        <v>78</v>
      </c>
      <c r="B81" s="77">
        <f>IF(A81="","",ROUNDUP(A81/Inputs!$B$14,0))</f>
        <v>18</v>
      </c>
      <c r="C81" s="160" t="str">
        <f>IF(A81="","",IF(A81&lt;Inputs!$C$66,"Pago normal",IF(A81&gt;Inputs!$B$15,"Periodo adicional con cobranza","Pago tardío + cobranza")))</f>
        <v>Pago tardío + cobranza</v>
      </c>
      <c r="D81" s="149">
        <f t="shared" si="26"/>
        <v>3319011.7496506763</v>
      </c>
      <c r="E81" s="149">
        <f>IF(A81="","",D81*Inputs!$B$17)</f>
        <v>40303.742039010416</v>
      </c>
      <c r="F81" s="149">
        <f>IF(A81="","",IF(A81&lt;Inputs!$C$66,0,Q80*Inputs!$B$17+G81*(POWER(1+Inputs!$B$18,Inputs!$C$63)-1)))</f>
        <v>31302.555216018809</v>
      </c>
      <c r="G81" s="149">
        <f>IF(A81="","",IF(A81&lt;=Inputs!$B$15,INDEX(Caso1_Normal!$H$4:$H$89,A81),0))</f>
        <v>99587.066712813292</v>
      </c>
      <c r="H81" s="149">
        <f>IF(A81="","",IF(AND(A81&gt;=Inputs!$C$66,D81&gt;0.005),Inputs!$C$65,0))</f>
        <v>42000</v>
      </c>
      <c r="I81" s="149">
        <f>IF(A81="","",MIN(Inputs!$B$20+X81,D81+N80+H81+O80+F81+P80+E81+Z80+X81))</f>
        <v>174048.99418446081</v>
      </c>
      <c r="J81" s="149">
        <f t="shared" si="27"/>
        <v>42000</v>
      </c>
      <c r="K81" s="149">
        <f t="shared" si="28"/>
        <v>31302.555216018809</v>
      </c>
      <c r="L81" s="149">
        <f t="shared" si="29"/>
        <v>40303.742039010416</v>
      </c>
      <c r="M81" s="149">
        <f t="shared" si="37"/>
        <v>0</v>
      </c>
      <c r="N81" s="149">
        <f t="shared" si="30"/>
        <v>0</v>
      </c>
      <c r="O81" s="149">
        <f t="shared" si="31"/>
        <v>0</v>
      </c>
      <c r="P81" s="149">
        <f t="shared" si="32"/>
        <v>0</v>
      </c>
      <c r="Q81" s="149">
        <f t="shared" si="33"/>
        <v>2477523.5776279219</v>
      </c>
      <c r="R81" s="149">
        <f t="shared" si="34"/>
        <v>841488.17202275433</v>
      </c>
      <c r="S81" s="149">
        <f t="shared" si="35"/>
        <v>3319011.7496506763</v>
      </c>
      <c r="T81" s="163" t="str">
        <f t="shared" si="36"/>
        <v>En mora</v>
      </c>
      <c r="U81" s="149">
        <f>IF($A81="","",IF($A81&lt;=Inputs!$B$15,Inputs!$B$28,0))</f>
        <v>48643.172307692315</v>
      </c>
      <c r="V81" s="149">
        <f>IF($A81="","",IF($A81&lt;=Inputs!$B$15,Inputs!$B$29,0))</f>
        <v>10984.615384615387</v>
      </c>
      <c r="W81" s="149">
        <f>IF($A81="","",IF($A81&lt;=Inputs!$B$15,Inputs!$B$30,0))</f>
        <v>3406.3846153846157</v>
      </c>
      <c r="X81" s="149">
        <f t="shared" si="38"/>
        <v>63034.172307692315</v>
      </c>
      <c r="Y81" s="149">
        <f t="shared" si="39"/>
        <v>60442.696929431586</v>
      </c>
      <c r="Z81" s="149">
        <f t="shared" si="40"/>
        <v>4117.3521875282604</v>
      </c>
      <c r="AA81" s="149">
        <f>IF($B81="","",IF(OR($B82="",ROUNDUP(($A81+1)/Inputs!$B$14,0)&gt;$B81),SUMIF($B$4:$B81,$B81,U$4:U81),0))</f>
        <v>243215.86153846158</v>
      </c>
      <c r="AB81" s="149">
        <f>IF($B81="","",IF(OR($B82="",ROUNDUP(($A81+1)/Inputs!$B$14,0)&gt;$B81),SUMIF($B$4:$B81,$B81,V$4:V81),0))</f>
        <v>54923.076923076937</v>
      </c>
      <c r="AC81" s="149">
        <f>IF($B81="","",IF(OR($B82="",ROUNDUP(($A81+1)/Inputs!$B$14,0)&gt;$B81),SUMIF($B$4:$B81,$B81,W$4:W81),0))</f>
        <v>17031.923076923078</v>
      </c>
      <c r="AD81" s="18"/>
      <c r="AE81" s="18"/>
      <c r="AF81" s="18"/>
      <c r="AG81" s="18"/>
      <c r="AH81" s="18"/>
      <c r="AI81" s="18"/>
      <c r="AJ81" s="18"/>
      <c r="AK81" s="18"/>
    </row>
    <row r="82" spans="1:37" ht="18" customHeight="1">
      <c r="A82" s="157">
        <f>IF(A81="","",IF(AND(A81&gt;=Inputs!$B$15,S81+N81+O81+P81+Z81&lt;=0.005),"",IF(A81&gt;=Inputs!$C$67,"",A81+1)))</f>
        <v>79</v>
      </c>
      <c r="B82" s="77">
        <f>IF(A82="","",ROUNDUP(A82/Inputs!$B$14,0))</f>
        <v>19</v>
      </c>
      <c r="C82" s="160" t="str">
        <f>IF(A82="","",IF(A82&lt;Inputs!$C$66,"Pago normal",IF(A82&gt;Inputs!$B$15,"Periodo adicional con cobranza","Pago tardío + cobranza")))</f>
        <v>Pago tardío + cobranza</v>
      </c>
      <c r="D82" s="149">
        <f t="shared" si="26"/>
        <v>3319011.7496506763</v>
      </c>
      <c r="E82" s="149">
        <f>IF(A82="","",D82*Inputs!$B$17)</f>
        <v>40303.742039010416</v>
      </c>
      <c r="F82" s="149">
        <f>IF(A82="","",IF(A82&lt;Inputs!$C$66,0,Q81*Inputs!$B$17+G82*(POWER(1+Inputs!$B$18,Inputs!$C$63)-1)))</f>
        <v>32541.336980531069</v>
      </c>
      <c r="G82" s="149">
        <f>IF(A82="","",IF(A82&lt;=Inputs!$B$15,INDEX(Caso1_Normal!$H$4:$H$89,A82),0))</f>
        <v>100796.38193974414</v>
      </c>
      <c r="H82" s="149">
        <f>IF(A82="","",IF(AND(A82&gt;=Inputs!$C$66,D82&gt;0.005),Inputs!$C$65,0))</f>
        <v>42000</v>
      </c>
      <c r="I82" s="149">
        <f>IF(A82="","",MIN(Inputs!$B$20+X82,D82+N81+H82+O81+F82+P81+E82+Z81+X82))</f>
        <v>174048.99418446081</v>
      </c>
      <c r="J82" s="149">
        <f t="shared" si="27"/>
        <v>42000</v>
      </c>
      <c r="K82" s="149">
        <f t="shared" si="28"/>
        <v>32541.336980531069</v>
      </c>
      <c r="L82" s="149">
        <f t="shared" si="29"/>
        <v>40303.742039010416</v>
      </c>
      <c r="M82" s="149">
        <f t="shared" si="37"/>
        <v>0</v>
      </c>
      <c r="N82" s="149">
        <f t="shared" si="30"/>
        <v>0</v>
      </c>
      <c r="O82" s="149">
        <f t="shared" si="31"/>
        <v>0</v>
      </c>
      <c r="P82" s="149">
        <f t="shared" si="32"/>
        <v>0</v>
      </c>
      <c r="Q82" s="149">
        <f t="shared" si="33"/>
        <v>2578319.9595676661</v>
      </c>
      <c r="R82" s="149">
        <f t="shared" si="34"/>
        <v>740691.79008301022</v>
      </c>
      <c r="S82" s="149">
        <f t="shared" si="35"/>
        <v>3319011.7496506763</v>
      </c>
      <c r="T82" s="163" t="str">
        <f t="shared" si="36"/>
        <v>En mora</v>
      </c>
      <c r="U82" s="149">
        <f>IF($A82="","",IF($A82&lt;=Inputs!$B$15,Inputs!$B$28,0))</f>
        <v>48643.172307692315</v>
      </c>
      <c r="V82" s="149">
        <f>IF($A82="","",IF($A82&lt;=Inputs!$B$15,Inputs!$B$29,0))</f>
        <v>10984.615384615387</v>
      </c>
      <c r="W82" s="149">
        <f>IF($A82="","",IF($A82&lt;=Inputs!$B$15,Inputs!$B$30,0))</f>
        <v>3406.3846153846157</v>
      </c>
      <c r="X82" s="149">
        <f t="shared" si="38"/>
        <v>63034.172307692315</v>
      </c>
      <c r="Y82" s="149">
        <f t="shared" si="39"/>
        <v>59203.91516491933</v>
      </c>
      <c r="Z82" s="149">
        <f t="shared" si="40"/>
        <v>7947.6093303012385</v>
      </c>
      <c r="AA82" s="149">
        <f>IF($B82="","",IF(OR($B83="",ROUNDUP(($A82+1)/Inputs!$B$14,0)&gt;$B82),SUMIF($B$4:$B82,$B82,U$4:U82),0))</f>
        <v>0</v>
      </c>
      <c r="AB82" s="149">
        <f>IF($B82="","",IF(OR($B83="",ROUNDUP(($A82+1)/Inputs!$B$14,0)&gt;$B82),SUMIF($B$4:$B82,$B82,V$4:V82),0))</f>
        <v>0</v>
      </c>
      <c r="AC82" s="149">
        <f>IF($B82="","",IF(OR($B83="",ROUNDUP(($A82+1)/Inputs!$B$14,0)&gt;$B82),SUMIF($B$4:$B82,$B82,W$4:W82),0))</f>
        <v>0</v>
      </c>
      <c r="AD82" s="18"/>
      <c r="AE82" s="18"/>
      <c r="AF82" s="18"/>
      <c r="AG82" s="18"/>
      <c r="AH82" s="18"/>
      <c r="AI82" s="18"/>
      <c r="AJ82" s="18"/>
      <c r="AK82" s="18"/>
    </row>
    <row r="83" spans="1:37" ht="18" customHeight="1">
      <c r="A83" s="157">
        <f>IF(A82="","",IF(AND(A82&gt;=Inputs!$B$15,S82+N82+O82+P82+Z82&lt;=0.005),"",IF(A82&gt;=Inputs!$C$67,"",A82+1)))</f>
        <v>80</v>
      </c>
      <c r="B83" s="77">
        <f>IF(A83="","",ROUNDUP(A83/Inputs!$B$14,0))</f>
        <v>19</v>
      </c>
      <c r="C83" s="160" t="str">
        <f>IF(A83="","",IF(A83&lt;Inputs!$C$66,"Pago normal",IF(A83&gt;Inputs!$B$15,"Periodo adicional con cobranza","Pago tardío + cobranza")))</f>
        <v>Pago tardío + cobranza</v>
      </c>
      <c r="D83" s="149">
        <f t="shared" si="26"/>
        <v>3319011.7496506763</v>
      </c>
      <c r="E83" s="149">
        <f>IF(A83="","",D83*Inputs!$B$17)</f>
        <v>40303.742039010416</v>
      </c>
      <c r="F83" s="149">
        <f>IF(A83="","",IF(A83&lt;Inputs!$C$66,0,Q82*Inputs!$B$17+G83*(POWER(1+Inputs!$B$18,Inputs!$C$63)-1)))</f>
        <v>33795.161638665137</v>
      </c>
      <c r="G83" s="149">
        <f>IF(A83="","",IF(A83&lt;=Inputs!$B$15,INDEX(Caso1_Normal!$H$4:$H$89,A83),0))</f>
        <v>102020.38223940942</v>
      </c>
      <c r="H83" s="149">
        <f>IF(A83="","",IF(AND(A83&gt;=Inputs!$C$66,D83&gt;0.005),Inputs!$C$65,0))</f>
        <v>42000</v>
      </c>
      <c r="I83" s="149">
        <f>IF(A83="","",MIN(Inputs!$B$20+X83,D83+N82+H83+O82+F83+P82+E83+Z82+X83))</f>
        <v>174048.99418446081</v>
      </c>
      <c r="J83" s="149">
        <f t="shared" si="27"/>
        <v>42000</v>
      </c>
      <c r="K83" s="149">
        <f t="shared" si="28"/>
        <v>33795.161638665137</v>
      </c>
      <c r="L83" s="149">
        <f t="shared" si="29"/>
        <v>40303.742039010416</v>
      </c>
      <c r="M83" s="149">
        <f t="shared" si="37"/>
        <v>0</v>
      </c>
      <c r="N83" s="149">
        <f t="shared" si="30"/>
        <v>0</v>
      </c>
      <c r="O83" s="149">
        <f t="shared" si="31"/>
        <v>0</v>
      </c>
      <c r="P83" s="149">
        <f t="shared" si="32"/>
        <v>0</v>
      </c>
      <c r="Q83" s="149">
        <f t="shared" si="33"/>
        <v>2680340.3418070753</v>
      </c>
      <c r="R83" s="149">
        <f t="shared" si="34"/>
        <v>638671.40784360096</v>
      </c>
      <c r="S83" s="149">
        <f t="shared" si="35"/>
        <v>3319011.7496506763</v>
      </c>
      <c r="T83" s="163" t="str">
        <f t="shared" si="36"/>
        <v>En mora</v>
      </c>
      <c r="U83" s="149">
        <f>IF($A83="","",IF($A83&lt;=Inputs!$B$15,Inputs!$B$28,0))</f>
        <v>48643.172307692315</v>
      </c>
      <c r="V83" s="149">
        <f>IF($A83="","",IF($A83&lt;=Inputs!$B$15,Inputs!$B$29,0))</f>
        <v>10984.615384615387</v>
      </c>
      <c r="W83" s="149">
        <f>IF($A83="","",IF($A83&lt;=Inputs!$B$15,Inputs!$B$30,0))</f>
        <v>3406.3846153846157</v>
      </c>
      <c r="X83" s="149">
        <f t="shared" si="38"/>
        <v>63034.172307692315</v>
      </c>
      <c r="Y83" s="149">
        <f t="shared" si="39"/>
        <v>57950.090506785265</v>
      </c>
      <c r="Z83" s="149">
        <f t="shared" si="40"/>
        <v>13031.691131208288</v>
      </c>
      <c r="AA83" s="149">
        <f>IF($B83="","",IF(OR($B84="",ROUNDUP(($A83+1)/Inputs!$B$14,0)&gt;$B83),SUMIF($B$4:$B83,$B83,U$4:U83),0))</f>
        <v>0</v>
      </c>
      <c r="AB83" s="149">
        <f>IF($B83="","",IF(OR($B84="",ROUNDUP(($A83+1)/Inputs!$B$14,0)&gt;$B83),SUMIF($B$4:$B83,$B83,V$4:V83),0))</f>
        <v>0</v>
      </c>
      <c r="AC83" s="149">
        <f>IF($B83="","",IF(OR($B84="",ROUNDUP(($A83+1)/Inputs!$B$14,0)&gt;$B83),SUMIF($B$4:$B83,$B83,W$4:W83),0))</f>
        <v>0</v>
      </c>
      <c r="AD83" s="18"/>
      <c r="AE83" s="18"/>
      <c r="AF83" s="18"/>
      <c r="AG83" s="18"/>
      <c r="AH83" s="18"/>
      <c r="AI83" s="18"/>
      <c r="AJ83" s="18"/>
      <c r="AK83" s="18"/>
    </row>
    <row r="84" spans="1:37" ht="18" customHeight="1">
      <c r="A84" s="157">
        <f>IF(A83="","",IF(AND(A83&gt;=Inputs!$B$15,S83+N83+O83+P83+Z83&lt;=0.005),"",IF(A83&gt;=Inputs!$C$67,"",A83+1)))</f>
        <v>81</v>
      </c>
      <c r="B84" s="77">
        <f>IF(A84="","",ROUNDUP(A84/Inputs!$B$14,0))</f>
        <v>19</v>
      </c>
      <c r="C84" s="160" t="str">
        <f>IF(A84="","",IF(A84&lt;Inputs!$C$66,"Pago normal",IF(A84&gt;Inputs!$B$15,"Periodo adicional con cobranza","Pago tardío + cobranza")))</f>
        <v>Pago tardío + cobranza</v>
      </c>
      <c r="D84" s="149">
        <f t="shared" si="26"/>
        <v>3319011.7496506763</v>
      </c>
      <c r="E84" s="149">
        <f>IF(A84="","",D84*Inputs!$B$17)</f>
        <v>40303.742039010416</v>
      </c>
      <c r="F84" s="149">
        <f>IF(A84="","",IF(A84&lt;Inputs!$C$66,0,Q83*Inputs!$B$17+G84*(POWER(1+Inputs!$B$18,Inputs!$C$63)-1)))</f>
        <v>35064.211860730662</v>
      </c>
      <c r="G84" s="149">
        <f>IF(A84="","",IF(A84&lt;=Inputs!$B$15,INDEX(Caso1_Normal!$H$4:$H$89,A84),0))</f>
        <v>103259.24593699384</v>
      </c>
      <c r="H84" s="149">
        <f>IF(A84="","",IF(AND(A84&gt;=Inputs!$C$66,D84&gt;0.005),Inputs!$C$65,0))</f>
        <v>42000</v>
      </c>
      <c r="I84" s="149">
        <f>IF(A84="","",MIN(Inputs!$B$20+X84,D84+N83+H84+O83+F84+P83+E84+Z83+X84))</f>
        <v>174048.99418446081</v>
      </c>
      <c r="J84" s="149">
        <f t="shared" si="27"/>
        <v>42000</v>
      </c>
      <c r="K84" s="149">
        <f t="shared" si="28"/>
        <v>35064.211860730662</v>
      </c>
      <c r="L84" s="149">
        <f t="shared" si="29"/>
        <v>40303.742039010416</v>
      </c>
      <c r="M84" s="149">
        <f t="shared" si="37"/>
        <v>0</v>
      </c>
      <c r="N84" s="149">
        <f t="shared" si="30"/>
        <v>0</v>
      </c>
      <c r="O84" s="149">
        <f t="shared" si="31"/>
        <v>0</v>
      </c>
      <c r="P84" s="149">
        <f t="shared" si="32"/>
        <v>0</v>
      </c>
      <c r="Q84" s="149">
        <f t="shared" si="33"/>
        <v>2783599.5877440693</v>
      </c>
      <c r="R84" s="149">
        <f t="shared" si="34"/>
        <v>535412.16190660698</v>
      </c>
      <c r="S84" s="149">
        <f t="shared" si="35"/>
        <v>3319011.7496506763</v>
      </c>
      <c r="T84" s="163" t="str">
        <f t="shared" si="36"/>
        <v>En mora</v>
      </c>
      <c r="U84" s="149">
        <f>IF($A84="","",IF($A84&lt;=Inputs!$B$15,Inputs!$B$28,0))</f>
        <v>48643.172307692315</v>
      </c>
      <c r="V84" s="149">
        <f>IF($A84="","",IF($A84&lt;=Inputs!$B$15,Inputs!$B$29,0))</f>
        <v>10984.615384615387</v>
      </c>
      <c r="W84" s="149">
        <f>IF($A84="","",IF($A84&lt;=Inputs!$B$15,Inputs!$B$30,0))</f>
        <v>3406.3846153846157</v>
      </c>
      <c r="X84" s="149">
        <f t="shared" si="38"/>
        <v>63034.172307692315</v>
      </c>
      <c r="Y84" s="149">
        <f t="shared" si="39"/>
        <v>56681.040284719733</v>
      </c>
      <c r="Z84" s="149">
        <f t="shared" si="40"/>
        <v>19384.823154180871</v>
      </c>
      <c r="AA84" s="149">
        <f>IF($B84="","",IF(OR($B85="",ROUNDUP(($A84+1)/Inputs!$B$14,0)&gt;$B84),SUMIF($B$4:$B84,$B84,U$4:U84),0))</f>
        <v>0</v>
      </c>
      <c r="AB84" s="149">
        <f>IF($B84="","",IF(OR($B85="",ROUNDUP(($A84+1)/Inputs!$B$14,0)&gt;$B84),SUMIF($B$4:$B84,$B84,V$4:V84),0))</f>
        <v>0</v>
      </c>
      <c r="AC84" s="149">
        <f>IF($B84="","",IF(OR($B85="",ROUNDUP(($A84+1)/Inputs!$B$14,0)&gt;$B84),SUMIF($B$4:$B84,$B84,W$4:W84),0))</f>
        <v>0</v>
      </c>
      <c r="AD84" s="18"/>
      <c r="AE84" s="18"/>
      <c r="AF84" s="18"/>
      <c r="AG84" s="18"/>
      <c r="AH84" s="18"/>
      <c r="AI84" s="18"/>
      <c r="AJ84" s="18"/>
      <c r="AK84" s="18"/>
    </row>
    <row r="85" spans="1:37" ht="18" customHeight="1">
      <c r="A85" s="157">
        <f>IF(A84="","",IF(AND(A84&gt;=Inputs!$B$15,S84+N84+O84+P84+Z84&lt;=0.005),"",IF(A84&gt;=Inputs!$C$67,"",A84+1)))</f>
        <v>82</v>
      </c>
      <c r="B85" s="77">
        <f>IF(A85="","",ROUNDUP(A85/Inputs!$B$14,0))</f>
        <v>19</v>
      </c>
      <c r="C85" s="160" t="str">
        <f>IF(A85="","",IF(A85&lt;Inputs!$C$66,"Pago normal",IF(A85&gt;Inputs!$B$15,"Periodo adicional con cobranza","Pago tardío + cobranza")))</f>
        <v>Pago tardío + cobranza</v>
      </c>
      <c r="D85" s="149">
        <f t="shared" si="26"/>
        <v>3319011.7496506763</v>
      </c>
      <c r="E85" s="149">
        <f>IF(A85="","",D85*Inputs!$B$17)</f>
        <v>40303.742039010416</v>
      </c>
      <c r="F85" s="149">
        <f>IF(A85="","",IF(A85&lt;Inputs!$C$66,0,Q84*Inputs!$B$17+G85*(POWER(1+Inputs!$B$18,Inputs!$C$63)-1)))</f>
        <v>36348.672535256948</v>
      </c>
      <c r="G85" s="149">
        <f>IF(A85="","",IF(A85&lt;=Inputs!$B$15,INDEX(Caso1_Normal!$H$4:$H$89,A85),0))</f>
        <v>104513.15352313763</v>
      </c>
      <c r="H85" s="149">
        <f>IF(A85="","",IF(AND(A85&gt;=Inputs!$C$66,D85&gt;0.005),Inputs!$C$65,0))</f>
        <v>42000</v>
      </c>
      <c r="I85" s="149">
        <f>IF(A85="","",MIN(Inputs!$B$20+X85,D85+N84+H85+O84+F85+P84+E85+Z84+X85))</f>
        <v>174048.99418446081</v>
      </c>
      <c r="J85" s="149">
        <f t="shared" si="27"/>
        <v>42000</v>
      </c>
      <c r="K85" s="149">
        <f t="shared" si="28"/>
        <v>36348.672535256948</v>
      </c>
      <c r="L85" s="149">
        <f t="shared" si="29"/>
        <v>40303.742039010416</v>
      </c>
      <c r="M85" s="149">
        <f t="shared" si="37"/>
        <v>0</v>
      </c>
      <c r="N85" s="149">
        <f t="shared" si="30"/>
        <v>0</v>
      </c>
      <c r="O85" s="149">
        <f t="shared" si="31"/>
        <v>0</v>
      </c>
      <c r="P85" s="149">
        <f t="shared" si="32"/>
        <v>0</v>
      </c>
      <c r="Q85" s="149">
        <f t="shared" si="33"/>
        <v>2888112.7412672071</v>
      </c>
      <c r="R85" s="149">
        <f t="shared" si="34"/>
        <v>430899.00838346919</v>
      </c>
      <c r="S85" s="149">
        <f t="shared" si="35"/>
        <v>3319011.7496506763</v>
      </c>
      <c r="T85" s="163" t="str">
        <f t="shared" si="36"/>
        <v>En mora</v>
      </c>
      <c r="U85" s="149">
        <f>IF($A85="","",IF($A85&lt;=Inputs!$B$15,Inputs!$B$28,0))</f>
        <v>48643.172307692315</v>
      </c>
      <c r="V85" s="149">
        <f>IF($A85="","",IF($A85&lt;=Inputs!$B$15,Inputs!$B$29,0))</f>
        <v>10984.615384615387</v>
      </c>
      <c r="W85" s="149">
        <f>IF($A85="","",IF($A85&lt;=Inputs!$B$15,Inputs!$B$30,0))</f>
        <v>3406.3846153846157</v>
      </c>
      <c r="X85" s="149">
        <f t="shared" si="38"/>
        <v>63034.172307692315</v>
      </c>
      <c r="Y85" s="149">
        <f t="shared" si="39"/>
        <v>55396.579610193447</v>
      </c>
      <c r="Z85" s="149">
        <f t="shared" si="40"/>
        <v>27022.41585167974</v>
      </c>
      <c r="AA85" s="149">
        <f>IF($B85="","",IF(OR($B86="",ROUNDUP(($A85+1)/Inputs!$B$14,0)&gt;$B85),SUMIF($B$4:$B85,$B85,U$4:U85),0))</f>
        <v>194572.68923076926</v>
      </c>
      <c r="AB85" s="149">
        <f>IF($B85="","",IF(OR($B86="",ROUNDUP(($A85+1)/Inputs!$B$14,0)&gt;$B85),SUMIF($B$4:$B85,$B85,V$4:V85),0))</f>
        <v>43938.461538461546</v>
      </c>
      <c r="AC85" s="149">
        <f>IF($B85="","",IF(OR($B86="",ROUNDUP(($A85+1)/Inputs!$B$14,0)&gt;$B85),SUMIF($B$4:$B85,$B85,W$4:W85),0))</f>
        <v>13625.538461538463</v>
      </c>
      <c r="AD85" s="18"/>
      <c r="AE85" s="18"/>
      <c r="AF85" s="18"/>
      <c r="AG85" s="18"/>
      <c r="AH85" s="18"/>
      <c r="AI85" s="18"/>
      <c r="AJ85" s="18"/>
      <c r="AK85" s="18"/>
    </row>
    <row r="86" spans="1:37" ht="18" customHeight="1">
      <c r="A86" s="157">
        <f>IF(A85="","",IF(AND(A85&gt;=Inputs!$B$15,S85+N85+O85+P85+Z85&lt;=0.005),"",IF(A85&gt;=Inputs!$C$67,"",A85+1)))</f>
        <v>83</v>
      </c>
      <c r="B86" s="77">
        <f>IF(A86="","",ROUNDUP(A86/Inputs!$B$14,0))</f>
        <v>20</v>
      </c>
      <c r="C86" s="160" t="str">
        <f>IF(A86="","",IF(A86&lt;Inputs!$C$66,"Pago normal",IF(A86&gt;Inputs!$B$15,"Periodo adicional con cobranza","Pago tardío + cobranza")))</f>
        <v>Pago tardío + cobranza</v>
      </c>
      <c r="D86" s="149">
        <f t="shared" si="26"/>
        <v>3319011.7496506763</v>
      </c>
      <c r="E86" s="149">
        <f>IF(A86="","",D86*Inputs!$B$17)</f>
        <v>40303.742039010416</v>
      </c>
      <c r="F86" s="149">
        <f>IF(A86="","",IF(A86&lt;Inputs!$C$66,0,Q85*Inputs!$B$17+G86*(POWER(1+Inputs!$B$18,Inputs!$C$63)-1)))</f>
        <v>37648.730795929412</v>
      </c>
      <c r="G86" s="149">
        <f>IF(A86="","",IF(A86&lt;=Inputs!$B$15,INDEX(Caso1_Normal!$H$4:$H$89,A86),0))</f>
        <v>105782.28768023224</v>
      </c>
      <c r="H86" s="149">
        <f>IF(A86="","",IF(AND(A86&gt;=Inputs!$C$66,D86&gt;0.005),Inputs!$C$65,0))</f>
        <v>42000</v>
      </c>
      <c r="I86" s="149">
        <f>IF(A86="","",MIN(Inputs!$B$20+X86,D86+N85+H86+O85+F86+P85+E86+Z85+X86))</f>
        <v>174048.99418446081</v>
      </c>
      <c r="J86" s="149">
        <f t="shared" si="27"/>
        <v>42000</v>
      </c>
      <c r="K86" s="149">
        <f t="shared" si="28"/>
        <v>37648.730795929412</v>
      </c>
      <c r="L86" s="149">
        <f t="shared" si="29"/>
        <v>40303.742039010416</v>
      </c>
      <c r="M86" s="149">
        <f t="shared" si="37"/>
        <v>0</v>
      </c>
      <c r="N86" s="149">
        <f t="shared" si="30"/>
        <v>0</v>
      </c>
      <c r="O86" s="149">
        <f t="shared" si="31"/>
        <v>0</v>
      </c>
      <c r="P86" s="149">
        <f t="shared" si="32"/>
        <v>0</v>
      </c>
      <c r="Q86" s="149">
        <f t="shared" si="33"/>
        <v>2993895.0289474395</v>
      </c>
      <c r="R86" s="149">
        <f t="shared" si="34"/>
        <v>325116.72070323676</v>
      </c>
      <c r="S86" s="149">
        <f t="shared" si="35"/>
        <v>3319011.7496506763</v>
      </c>
      <c r="T86" s="163" t="str">
        <f t="shared" si="36"/>
        <v>En mora</v>
      </c>
      <c r="U86" s="149">
        <f>IF($A86="","",IF($A86&lt;=Inputs!$B$15,Inputs!$B$28,0))</f>
        <v>48643.172307692315</v>
      </c>
      <c r="V86" s="149">
        <f>IF($A86="","",IF($A86&lt;=Inputs!$B$15,Inputs!$B$29,0))</f>
        <v>10984.615384615387</v>
      </c>
      <c r="W86" s="149">
        <f>IF($A86="","",IF($A86&lt;=Inputs!$B$15,Inputs!$B$30,0))</f>
        <v>3406.3846153846157</v>
      </c>
      <c r="X86" s="149">
        <f t="shared" si="38"/>
        <v>63034.172307692315</v>
      </c>
      <c r="Y86" s="149">
        <f t="shared" si="39"/>
        <v>54096.521349520983</v>
      </c>
      <c r="Z86" s="149">
        <f t="shared" si="40"/>
        <v>35960.066809851072</v>
      </c>
      <c r="AA86" s="149">
        <f>IF($B86="","",IF(OR($B87="",ROUNDUP(($A86+1)/Inputs!$B$14,0)&gt;$B86),SUMIF($B$4:$B86,$B86,U$4:U86),0))</f>
        <v>0</v>
      </c>
      <c r="AB86" s="149">
        <f>IF($B86="","",IF(OR($B87="",ROUNDUP(($A86+1)/Inputs!$B$14,0)&gt;$B86),SUMIF($B$4:$B86,$B86,V$4:V86),0))</f>
        <v>0</v>
      </c>
      <c r="AC86" s="149">
        <f>IF($B86="","",IF(OR($B87="",ROUNDUP(($A86+1)/Inputs!$B$14,0)&gt;$B86),SUMIF($B$4:$B86,$B86,W$4:W86),0))</f>
        <v>0</v>
      </c>
      <c r="AD86" s="18"/>
      <c r="AE86" s="18"/>
      <c r="AF86" s="18"/>
      <c r="AG86" s="18"/>
      <c r="AH86" s="18"/>
      <c r="AI86" s="18"/>
      <c r="AJ86" s="18"/>
      <c r="AK86" s="18"/>
    </row>
    <row r="87" spans="1:37" ht="18" customHeight="1">
      <c r="A87" s="157">
        <f>IF(A86="","",IF(AND(A86&gt;=Inputs!$B$15,S86+N86+O86+P86+Z86&lt;=0.005),"",IF(A86&gt;=Inputs!$C$67,"",A86+1)))</f>
        <v>84</v>
      </c>
      <c r="B87" s="77">
        <f>IF(A87="","",ROUNDUP(A87/Inputs!$B$14,0))</f>
        <v>20</v>
      </c>
      <c r="C87" s="160" t="str">
        <f>IF(A87="","",IF(A87&lt;Inputs!$C$66,"Pago normal",IF(A87&gt;Inputs!$B$15,"Periodo adicional con cobranza","Pago tardío + cobranza")))</f>
        <v>Pago tardío + cobranza</v>
      </c>
      <c r="D87" s="149">
        <f t="shared" si="26"/>
        <v>3319011.7496506763</v>
      </c>
      <c r="E87" s="149">
        <f>IF(A87="","",D87*Inputs!$B$17)</f>
        <v>40303.742039010416</v>
      </c>
      <c r="F87" s="149">
        <f>IF(A87="","",IF(A87&lt;Inputs!$C$66,0,Q86*Inputs!$B$17+G87*(POWER(1+Inputs!$B$18,Inputs!$C$63)-1)))</f>
        <v>38964.576048853218</v>
      </c>
      <c r="G87" s="149">
        <f>IF(A87="","",IF(A87&lt;=Inputs!$B$15,INDEX(Caso1_Normal!$H$4:$H$89,A87),0))</f>
        <v>107066.83330903552</v>
      </c>
      <c r="H87" s="149">
        <f>IF(A87="","",IF(AND(A87&gt;=Inputs!$C$66,D87&gt;0.005),Inputs!$C$65,0))</f>
        <v>42000</v>
      </c>
      <c r="I87" s="149">
        <f>IF(A87="","",MIN(Inputs!$B$20+X87,D87+N86+H87+O86+F87+P86+E87+Z86+X87))</f>
        <v>174048.99418446081</v>
      </c>
      <c r="J87" s="149">
        <f t="shared" si="27"/>
        <v>42000</v>
      </c>
      <c r="K87" s="149">
        <f t="shared" si="28"/>
        <v>38964.576048853218</v>
      </c>
      <c r="L87" s="149">
        <f t="shared" si="29"/>
        <v>40303.742039010416</v>
      </c>
      <c r="M87" s="149">
        <f t="shared" si="37"/>
        <v>0</v>
      </c>
      <c r="N87" s="149">
        <f t="shared" si="30"/>
        <v>0</v>
      </c>
      <c r="O87" s="149">
        <f t="shared" si="31"/>
        <v>0</v>
      </c>
      <c r="P87" s="149">
        <f t="shared" si="32"/>
        <v>0</v>
      </c>
      <c r="Q87" s="149">
        <f t="shared" si="33"/>
        <v>3100961.8622564748</v>
      </c>
      <c r="R87" s="149">
        <f t="shared" si="34"/>
        <v>218049.88739420148</v>
      </c>
      <c r="S87" s="149">
        <f t="shared" si="35"/>
        <v>3319011.7496506763</v>
      </c>
      <c r="T87" s="163" t="str">
        <f t="shared" si="36"/>
        <v>En mora</v>
      </c>
      <c r="U87" s="149">
        <f>IF($A87="","",IF($A87&lt;=Inputs!$B$15,Inputs!$B$28,0))</f>
        <v>48643.172307692315</v>
      </c>
      <c r="V87" s="149">
        <f>IF($A87="","",IF($A87&lt;=Inputs!$B$15,Inputs!$B$29,0))</f>
        <v>10984.615384615387</v>
      </c>
      <c r="W87" s="149">
        <f>IF($A87="","",IF($A87&lt;=Inputs!$B$15,Inputs!$B$30,0))</f>
        <v>3406.3846153846157</v>
      </c>
      <c r="X87" s="149">
        <f t="shared" si="38"/>
        <v>63034.172307692315</v>
      </c>
      <c r="Y87" s="149">
        <f t="shared" si="39"/>
        <v>52780.67609659717</v>
      </c>
      <c r="Z87" s="149">
        <f t="shared" si="40"/>
        <v>46213.563020946218</v>
      </c>
      <c r="AA87" s="149">
        <f>IF($B87="","",IF(OR($B88="",ROUNDUP(($A87+1)/Inputs!$B$14,0)&gt;$B87),SUMIF($B$4:$B87,$B87,U$4:U87),0))</f>
        <v>0</v>
      </c>
      <c r="AB87" s="149">
        <f>IF($B87="","",IF(OR($B88="",ROUNDUP(($A87+1)/Inputs!$B$14,0)&gt;$B87),SUMIF($B$4:$B87,$B87,V$4:V87),0))</f>
        <v>0</v>
      </c>
      <c r="AC87" s="149">
        <f>IF($B87="","",IF(OR($B88="",ROUNDUP(($A87+1)/Inputs!$B$14,0)&gt;$B87),SUMIF($B$4:$B87,$B87,W$4:W87),0))</f>
        <v>0</v>
      </c>
      <c r="AD87" s="18"/>
      <c r="AE87" s="18"/>
      <c r="AF87" s="18"/>
      <c r="AG87" s="18"/>
      <c r="AH87" s="18"/>
      <c r="AI87" s="18"/>
      <c r="AJ87" s="18"/>
      <c r="AK87" s="18"/>
    </row>
    <row r="88" spans="1:37" ht="18" customHeight="1">
      <c r="A88" s="157">
        <f>IF(A87="","",IF(AND(A87&gt;=Inputs!$B$15,S87+N87+O87+P87+Z87&lt;=0.005),"",IF(A87&gt;=Inputs!$C$67,"",A87+1)))</f>
        <v>85</v>
      </c>
      <c r="B88" s="77">
        <f>IF(A88="","",ROUNDUP(A88/Inputs!$B$14,0))</f>
        <v>20</v>
      </c>
      <c r="C88" s="160" t="str">
        <f>IF(A88="","",IF(A88&lt;Inputs!$C$66,"Pago normal",IF(A88&gt;Inputs!$B$15,"Periodo adicional con cobranza","Pago tardío + cobranza")))</f>
        <v>Pago tardío + cobranza</v>
      </c>
      <c r="D88" s="149">
        <f t="shared" si="26"/>
        <v>3319011.7496506763</v>
      </c>
      <c r="E88" s="149">
        <f>IF(A88="","",D88*Inputs!$B$17)</f>
        <v>40303.742039010416</v>
      </c>
      <c r="F88" s="149">
        <f>IF(A88="","",IF(A88&lt;Inputs!$C$66,0,Q87*Inputs!$B$17+G88*(POWER(1+Inputs!$B$18,Inputs!$C$63)-1)))</f>
        <v>40296.4000001479</v>
      </c>
      <c r="G88" s="149">
        <f>IF(A88="","",IF(A88&lt;=Inputs!$B$15,INDEX(Caso1_Normal!$H$4:$H$89,A88),0))</f>
        <v>108366.97755560989</v>
      </c>
      <c r="H88" s="149">
        <f>IF(A88="","",IF(AND(A88&gt;=Inputs!$C$66,D88&gt;0.005),Inputs!$C$65,0))</f>
        <v>42000</v>
      </c>
      <c r="I88" s="149">
        <f>IF(A88="","",MIN(Inputs!$B$20+X88,D88+N87+H88+O87+F88+P87+E88+Z87+X88))</f>
        <v>174048.99418446081</v>
      </c>
      <c r="J88" s="149">
        <f t="shared" si="27"/>
        <v>42000</v>
      </c>
      <c r="K88" s="149">
        <f t="shared" si="28"/>
        <v>40296.4000001479</v>
      </c>
      <c r="L88" s="149">
        <f t="shared" si="29"/>
        <v>40303.742039010416</v>
      </c>
      <c r="M88" s="149">
        <f t="shared" si="37"/>
        <v>0</v>
      </c>
      <c r="N88" s="149">
        <f t="shared" si="30"/>
        <v>0</v>
      </c>
      <c r="O88" s="149">
        <f t="shared" si="31"/>
        <v>0</v>
      </c>
      <c r="P88" s="149">
        <f t="shared" si="32"/>
        <v>0</v>
      </c>
      <c r="Q88" s="149">
        <f t="shared" si="33"/>
        <v>3209328.8398120846</v>
      </c>
      <c r="R88" s="149">
        <f t="shared" si="34"/>
        <v>109682.9098385917</v>
      </c>
      <c r="S88" s="149">
        <f t="shared" si="35"/>
        <v>3319011.7496506763</v>
      </c>
      <c r="T88" s="163" t="str">
        <f t="shared" si="36"/>
        <v>En mora</v>
      </c>
      <c r="U88" s="149">
        <f>IF($A88="","",IF($A88&lt;=Inputs!$B$15,Inputs!$B$28,0))</f>
        <v>48643.172307692315</v>
      </c>
      <c r="V88" s="149">
        <f>IF($A88="","",IF($A88&lt;=Inputs!$B$15,Inputs!$B$29,0))</f>
        <v>10984.615384615387</v>
      </c>
      <c r="W88" s="149">
        <f>IF($A88="","",IF($A88&lt;=Inputs!$B$15,Inputs!$B$30,0))</f>
        <v>3406.3846153846157</v>
      </c>
      <c r="X88" s="149">
        <f t="shared" si="38"/>
        <v>63034.172307692315</v>
      </c>
      <c r="Y88" s="149">
        <f t="shared" si="39"/>
        <v>51448.852145302495</v>
      </c>
      <c r="Z88" s="149">
        <f t="shared" si="40"/>
        <v>57798.883183336038</v>
      </c>
      <c r="AA88" s="149">
        <f>IF($B88="","",IF(OR($B89="",ROUNDUP(($A88+1)/Inputs!$B$14,0)&gt;$B88),SUMIF($B$4:$B88,$B88,U$4:U88),0))</f>
        <v>0</v>
      </c>
      <c r="AB88" s="149">
        <f>IF($B88="","",IF(OR($B89="",ROUNDUP(($A88+1)/Inputs!$B$14,0)&gt;$B88),SUMIF($B$4:$B88,$B88,V$4:V88),0))</f>
        <v>0</v>
      </c>
      <c r="AC88" s="149">
        <f>IF($B88="","",IF(OR($B89="",ROUNDUP(($A88+1)/Inputs!$B$14,0)&gt;$B88),SUMIF($B$4:$B88,$B88,W$4:W88),0))</f>
        <v>0</v>
      </c>
      <c r="AD88" s="18"/>
      <c r="AE88" s="18"/>
      <c r="AF88" s="18"/>
      <c r="AG88" s="18"/>
      <c r="AH88" s="18"/>
      <c r="AI88" s="18"/>
      <c r="AJ88" s="18"/>
      <c r="AK88" s="18"/>
    </row>
    <row r="89" spans="1:37" ht="18" customHeight="1">
      <c r="A89" s="157">
        <f>IF(A88="","",IF(AND(A88&gt;=Inputs!$B$15,S88+N88+O88+P88+Z88&lt;=0.005),"",IF(A88&gt;=Inputs!$C$67,"",A88+1)))</f>
        <v>86</v>
      </c>
      <c r="B89" s="77">
        <f>IF(A89="","",ROUNDUP(A89/Inputs!$B$14,0))</f>
        <v>20</v>
      </c>
      <c r="C89" s="160" t="str">
        <f>IF(A89="","",IF(A89&lt;Inputs!$C$66,"Pago normal",IF(A89&gt;Inputs!$B$15,"Periodo adicional con cobranza","Pago tardío + cobranza")))</f>
        <v>Pago tardío + cobranza</v>
      </c>
      <c r="D89" s="149">
        <f t="shared" si="26"/>
        <v>3319011.7496506763</v>
      </c>
      <c r="E89" s="149">
        <f>IF(A89="","",D89*Inputs!$B$17)</f>
        <v>40303.742039010416</v>
      </c>
      <c r="F89" s="149">
        <f>IF(A89="","",IF(A89&lt;Inputs!$C$66,0,Q88*Inputs!$B$17+G89*(POWER(1+Inputs!$B$18,Inputs!$C$63)-1)))</f>
        <v>41644.396683877174</v>
      </c>
      <c r="G89" s="149">
        <f>IF(A89="","",IF(A89&lt;=Inputs!$B$15,INDEX(Caso1_Normal!$H$4:$H$89,A89),0))</f>
        <v>109682.90983858788</v>
      </c>
      <c r="H89" s="149">
        <f>IF(A89="","",IF(AND(A89&gt;=Inputs!$C$66,D89&gt;0.005),Inputs!$C$65,0))</f>
        <v>42000</v>
      </c>
      <c r="I89" s="149">
        <f>IF(A89="","",MIN(Inputs!$B$20+X89,D89+N88+H89+O88+F89+P88+E89+Z88+X89))</f>
        <v>174048.99418446081</v>
      </c>
      <c r="J89" s="149">
        <f t="shared" si="27"/>
        <v>42000</v>
      </c>
      <c r="K89" s="149">
        <f t="shared" si="28"/>
        <v>41644.396683877174</v>
      </c>
      <c r="L89" s="149">
        <f t="shared" si="29"/>
        <v>40303.742039010416</v>
      </c>
      <c r="M89" s="149">
        <f t="shared" si="37"/>
        <v>0</v>
      </c>
      <c r="N89" s="149">
        <f t="shared" si="30"/>
        <v>0</v>
      </c>
      <c r="O89" s="149">
        <f t="shared" si="31"/>
        <v>0</v>
      </c>
      <c r="P89" s="149">
        <f t="shared" si="32"/>
        <v>0</v>
      </c>
      <c r="Q89" s="149">
        <f t="shared" si="33"/>
        <v>3319011.7496506725</v>
      </c>
      <c r="R89" s="149">
        <f t="shared" si="34"/>
        <v>3.7252902984619141E-9</v>
      </c>
      <c r="S89" s="149">
        <f t="shared" si="35"/>
        <v>3319011.7496506763</v>
      </c>
      <c r="T89" s="163" t="str">
        <f t="shared" si="36"/>
        <v>En mora</v>
      </c>
      <c r="U89" s="149">
        <f>IF($A89="","",IF($A89&lt;=Inputs!$B$15,Inputs!$B$28,0))</f>
        <v>48643.172307692315</v>
      </c>
      <c r="V89" s="149">
        <f>IF($A89="","",IF($A89&lt;=Inputs!$B$15,Inputs!$B$29,0))</f>
        <v>10984.615384615387</v>
      </c>
      <c r="W89" s="149">
        <f>IF($A89="","",IF($A89&lt;=Inputs!$B$15,Inputs!$B$30,0))</f>
        <v>3406.3846153846157</v>
      </c>
      <c r="X89" s="149">
        <f t="shared" si="38"/>
        <v>63034.172307692315</v>
      </c>
      <c r="Y89" s="149">
        <f t="shared" si="39"/>
        <v>50100.855461573221</v>
      </c>
      <c r="Z89" s="149">
        <f t="shared" si="40"/>
        <v>70732.200029455125</v>
      </c>
      <c r="AA89" s="149">
        <f>IF($B89="","",IF(OR($B90="",ROUNDUP(($A89+1)/Inputs!$B$14,0)&gt;$B89),SUMIF($B$4:$B89,$B89,U$4:U89),0))</f>
        <v>194572.68923076926</v>
      </c>
      <c r="AB89" s="149">
        <f>IF($B89="","",IF(OR($B90="",ROUNDUP(($A89+1)/Inputs!$B$14,0)&gt;$B89),SUMIF($B$4:$B89,$B89,V$4:V89),0))</f>
        <v>43938.461538461546</v>
      </c>
      <c r="AC89" s="149">
        <f>IF($B89="","",IF(OR($B90="",ROUNDUP(($A89+1)/Inputs!$B$14,0)&gt;$B89),SUMIF($B$4:$B89,$B89,W$4:W89),0))</f>
        <v>13625.538461538463</v>
      </c>
      <c r="AD89" s="18"/>
      <c r="AE89" s="18"/>
      <c r="AF89" s="18"/>
      <c r="AG89" s="18"/>
      <c r="AH89" s="18"/>
      <c r="AI89" s="18"/>
      <c r="AJ89" s="18"/>
      <c r="AK89" s="18"/>
    </row>
    <row r="90" spans="1:37" ht="18" customHeight="1">
      <c r="A90" s="157">
        <f>IF(A89="","",IF(AND(A89&gt;=Inputs!$B$15,S89+N89+O89+P89+Z89&lt;=0.005),"",IF(A89&gt;=Inputs!$C$67,"",A89+1)))</f>
        <v>87</v>
      </c>
      <c r="B90" s="77">
        <f>IF(A90="","",ROUNDUP(A90/Inputs!$B$14,0))</f>
        <v>21</v>
      </c>
      <c r="C90" s="160" t="str">
        <f>IF(A90="","",IF(A90&lt;Inputs!$C$66,"Pago normal",IF(A90&gt;Inputs!$B$15,"Periodo adicional con cobranza","Pago tardío + cobranza")))</f>
        <v>Periodo adicional con cobranza</v>
      </c>
      <c r="D90" s="149">
        <f t="shared" si="26"/>
        <v>3319011.7496506763</v>
      </c>
      <c r="E90" s="149">
        <f>IF(A90="","",D90*Inputs!$B$17)</f>
        <v>40303.742039010416</v>
      </c>
      <c r="F90" s="149">
        <f>IF(A90="","",IF(A90&lt;Inputs!$C$66,0,Q89*Inputs!$B$17+G90*(POWER(1+Inputs!$B$18,Inputs!$C$63)-1)))</f>
        <v>40303.742039010373</v>
      </c>
      <c r="G90" s="149">
        <f>IF(A90="","",IF(A90&lt;=Inputs!$B$15,INDEX(Caso1_Normal!$H$4:$H$89,A90),0))</f>
        <v>0</v>
      </c>
      <c r="H90" s="149">
        <f>IF(A90="","",IF(AND(A90&gt;=Inputs!$C$66,D90&gt;0.005),Inputs!$C$65,0))</f>
        <v>42000</v>
      </c>
      <c r="I90" s="149">
        <f>IF(A90="","",MIN(Inputs!$B$20+X90,D90+N89+H90+O89+F90+P89+E90+Z89+X90))</f>
        <v>111014.82187676849</v>
      </c>
      <c r="J90" s="149">
        <f t="shared" si="27"/>
        <v>42000</v>
      </c>
      <c r="K90" s="149">
        <f t="shared" si="28"/>
        <v>40303.742039010373</v>
      </c>
      <c r="L90" s="149">
        <f t="shared" si="29"/>
        <v>28711.079837758116</v>
      </c>
      <c r="M90" s="149">
        <f t="shared" si="37"/>
        <v>0</v>
      </c>
      <c r="N90" s="149">
        <f t="shared" si="30"/>
        <v>0</v>
      </c>
      <c r="O90" s="149">
        <f t="shared" si="31"/>
        <v>0</v>
      </c>
      <c r="P90" s="149">
        <f t="shared" si="32"/>
        <v>11592.6622012523</v>
      </c>
      <c r="Q90" s="149">
        <f t="shared" si="33"/>
        <v>3319011.7496506725</v>
      </c>
      <c r="R90" s="149">
        <f t="shared" si="34"/>
        <v>3.7252902984619141E-9</v>
      </c>
      <c r="S90" s="149">
        <f t="shared" si="35"/>
        <v>3319011.7496506763</v>
      </c>
      <c r="T90" s="163" t="str">
        <f t="shared" si="36"/>
        <v>En mora</v>
      </c>
      <c r="U90" s="149">
        <f>IF($A90="","",IF($A90&lt;=Inputs!$B$15,Inputs!$B$28,0))</f>
        <v>0</v>
      </c>
      <c r="V90" s="149">
        <f>IF($A90="","",IF($A90&lt;=Inputs!$B$15,Inputs!$B$29,0))</f>
        <v>0</v>
      </c>
      <c r="W90" s="149">
        <f>IF($A90="","",IF($A90&lt;=Inputs!$B$15,Inputs!$B$30,0))</f>
        <v>0</v>
      </c>
      <c r="X90" s="149">
        <f t="shared" si="38"/>
        <v>0</v>
      </c>
      <c r="Y90" s="149">
        <f t="shared" si="39"/>
        <v>0</v>
      </c>
      <c r="Z90" s="149">
        <f t="shared" si="40"/>
        <v>70732.200029455125</v>
      </c>
      <c r="AA90" s="149">
        <f>IF($B90="","",IF(OR($B91="",ROUNDUP(($A90+1)/Inputs!$B$14,0)&gt;$B90),SUMIF($B$4:$B90,$B90,U$4:U90),0))</f>
        <v>0</v>
      </c>
      <c r="AB90" s="149">
        <f>IF($B90="","",IF(OR($B91="",ROUNDUP(($A90+1)/Inputs!$B$14,0)&gt;$B90),SUMIF($B$4:$B90,$B90,V$4:V90),0))</f>
        <v>0</v>
      </c>
      <c r="AC90" s="149">
        <f>IF($B90="","",IF(OR($B91="",ROUNDUP(($A90+1)/Inputs!$B$14,0)&gt;$B90),SUMIF($B$4:$B90,$B90,W$4:W90),0))</f>
        <v>0</v>
      </c>
      <c r="AD90" s="18"/>
      <c r="AE90" s="18"/>
      <c r="AF90" s="18"/>
      <c r="AG90" s="18"/>
      <c r="AH90" s="18"/>
      <c r="AI90" s="18"/>
      <c r="AJ90" s="18"/>
      <c r="AK90" s="18"/>
    </row>
    <row r="91" spans="1:37" ht="18" customHeight="1">
      <c r="A91" s="157">
        <f>IF(A90="","",IF(AND(A90&gt;=Inputs!$B$15,S90+N90+O90+P90+Z90&lt;=0.005),"",IF(A90&gt;=Inputs!$C$67,"",A90+1)))</f>
        <v>88</v>
      </c>
      <c r="B91" s="77">
        <f>IF(A91="","",ROUNDUP(A91/Inputs!$B$14,0))</f>
        <v>21</v>
      </c>
      <c r="C91" s="160" t="str">
        <f>IF(A91="","",IF(A91&lt;Inputs!$C$66,"Pago normal",IF(A91&gt;Inputs!$B$15,"Periodo adicional con cobranza","Pago tardío + cobranza")))</f>
        <v>Periodo adicional con cobranza</v>
      </c>
      <c r="D91" s="149">
        <f t="shared" si="26"/>
        <v>3319011.7496506763</v>
      </c>
      <c r="E91" s="149">
        <f>IF(A91="","",D91*Inputs!$B$17)</f>
        <v>40303.742039010416</v>
      </c>
      <c r="F91" s="149">
        <f>IF(A91="","",IF(A91&lt;Inputs!$C$66,0,Q90*Inputs!$B$17+G91*(POWER(1+Inputs!$B$18,Inputs!$C$63)-1)))</f>
        <v>40303.742039010373</v>
      </c>
      <c r="G91" s="149">
        <f>IF(A91="","",IF(A91&lt;=Inputs!$B$15,INDEX(Caso1_Normal!$H$4:$H$89,A91),0))</f>
        <v>0</v>
      </c>
      <c r="H91" s="149">
        <f>IF(A91="","",IF(AND(A91&gt;=Inputs!$C$66,D91&gt;0.005),Inputs!$C$65,0))</f>
        <v>42000</v>
      </c>
      <c r="I91" s="149">
        <f>IF(A91="","",MIN(Inputs!$B$20+X91,D91+N90+H91+O90+F91+P90+E91+Z90+X91))</f>
        <v>111014.82187676849</v>
      </c>
      <c r="J91" s="149">
        <f t="shared" si="27"/>
        <v>42000</v>
      </c>
      <c r="K91" s="149">
        <f t="shared" si="28"/>
        <v>40303.742039010373</v>
      </c>
      <c r="L91" s="149">
        <f t="shared" si="29"/>
        <v>28711.079837758116</v>
      </c>
      <c r="M91" s="149">
        <f t="shared" si="37"/>
        <v>0</v>
      </c>
      <c r="N91" s="149">
        <f t="shared" si="30"/>
        <v>0</v>
      </c>
      <c r="O91" s="149">
        <f t="shared" si="31"/>
        <v>0</v>
      </c>
      <c r="P91" s="149">
        <f t="shared" si="32"/>
        <v>23185.324402504601</v>
      </c>
      <c r="Q91" s="149">
        <f t="shared" si="33"/>
        <v>3319011.7496506725</v>
      </c>
      <c r="R91" s="149">
        <f t="shared" si="34"/>
        <v>3.7252902984619141E-9</v>
      </c>
      <c r="S91" s="149">
        <f t="shared" si="35"/>
        <v>3319011.7496506763</v>
      </c>
      <c r="T91" s="163" t="str">
        <f t="shared" si="36"/>
        <v>En mora</v>
      </c>
      <c r="U91" s="149">
        <f>IF($A91="","",IF($A91&lt;=Inputs!$B$15,Inputs!$B$28,0))</f>
        <v>0</v>
      </c>
      <c r="V91" s="149">
        <f>IF($A91="","",IF($A91&lt;=Inputs!$B$15,Inputs!$B$29,0))</f>
        <v>0</v>
      </c>
      <c r="W91" s="149">
        <f>IF($A91="","",IF($A91&lt;=Inputs!$B$15,Inputs!$B$30,0))</f>
        <v>0</v>
      </c>
      <c r="X91" s="149">
        <f t="shared" si="38"/>
        <v>0</v>
      </c>
      <c r="Y91" s="149">
        <f t="shared" si="39"/>
        <v>0</v>
      </c>
      <c r="Z91" s="149">
        <f t="shared" si="40"/>
        <v>70732.200029455125</v>
      </c>
      <c r="AA91" s="149">
        <f>IF($B91="","",IF(OR($B92="",ROUNDUP(($A91+1)/Inputs!$B$14,0)&gt;$B91),SUMIF($B$4:$B91,$B91,U$4:U91),0))</f>
        <v>0</v>
      </c>
      <c r="AB91" s="149">
        <f>IF($B91="","",IF(OR($B92="",ROUNDUP(($A91+1)/Inputs!$B$14,0)&gt;$B91),SUMIF($B$4:$B91,$B91,V$4:V91),0))</f>
        <v>0</v>
      </c>
      <c r="AC91" s="149">
        <f>IF($B91="","",IF(OR($B92="",ROUNDUP(($A91+1)/Inputs!$B$14,0)&gt;$B91),SUMIF($B$4:$B91,$B91,W$4:W91),0))</f>
        <v>0</v>
      </c>
      <c r="AD91" s="18"/>
      <c r="AE91" s="18"/>
      <c r="AF91" s="18"/>
      <c r="AG91" s="18"/>
      <c r="AH91" s="18"/>
      <c r="AI91" s="18"/>
      <c r="AJ91" s="18"/>
      <c r="AK91" s="18"/>
    </row>
    <row r="92" spans="1:37" ht="18" customHeight="1">
      <c r="A92" s="157">
        <f>IF(A91="","",IF(AND(A91&gt;=Inputs!$B$15,S91+N91+O91+P91+Z91&lt;=0.005),"",IF(A91&gt;=Inputs!$C$67,"",A91+1)))</f>
        <v>89</v>
      </c>
      <c r="B92" s="77">
        <f>IF(A92="","",ROUNDUP(A92/Inputs!$B$14,0))</f>
        <v>21</v>
      </c>
      <c r="C92" s="160" t="str">
        <f>IF(A92="","",IF(A92&lt;Inputs!$C$66,"Pago normal",IF(A92&gt;Inputs!$B$15,"Periodo adicional con cobranza","Pago tardío + cobranza")))</f>
        <v>Periodo adicional con cobranza</v>
      </c>
      <c r="D92" s="149">
        <f t="shared" si="26"/>
        <v>3319011.7496506763</v>
      </c>
      <c r="E92" s="149">
        <f>IF(A92="","",D92*Inputs!$B$17)</f>
        <v>40303.742039010416</v>
      </c>
      <c r="F92" s="149">
        <f>IF(A92="","",IF(A92&lt;Inputs!$C$66,0,Q91*Inputs!$B$17+G92*(POWER(1+Inputs!$B$18,Inputs!$C$63)-1)))</f>
        <v>40303.742039010373</v>
      </c>
      <c r="G92" s="149">
        <f>IF(A92="","",IF(A92&lt;=Inputs!$B$15,INDEX(Caso1_Normal!$H$4:$H$89,A92),0))</f>
        <v>0</v>
      </c>
      <c r="H92" s="149">
        <f>IF(A92="","",IF(AND(A92&gt;=Inputs!$C$66,D92&gt;0.005),Inputs!$C$65,0))</f>
        <v>42000</v>
      </c>
      <c r="I92" s="149">
        <f>IF(A92="","",MIN(Inputs!$B$20+X92,D92+N91+H92+O91+F92+P91+E92+Z91+X92))</f>
        <v>111014.82187676849</v>
      </c>
      <c r="J92" s="149">
        <f t="shared" si="27"/>
        <v>42000</v>
      </c>
      <c r="K92" s="149">
        <f t="shared" si="28"/>
        <v>40303.742039010373</v>
      </c>
      <c r="L92" s="149">
        <f t="shared" si="29"/>
        <v>28711.079837758116</v>
      </c>
      <c r="M92" s="149">
        <f t="shared" si="37"/>
        <v>0</v>
      </c>
      <c r="N92" s="149">
        <f t="shared" si="30"/>
        <v>0</v>
      </c>
      <c r="O92" s="149">
        <f t="shared" si="31"/>
        <v>0</v>
      </c>
      <c r="P92" s="149">
        <f t="shared" si="32"/>
        <v>34777.986603756901</v>
      </c>
      <c r="Q92" s="149">
        <f t="shared" si="33"/>
        <v>3319011.7496506725</v>
      </c>
      <c r="R92" s="149">
        <f t="shared" si="34"/>
        <v>3.7252902984619141E-9</v>
      </c>
      <c r="S92" s="149">
        <f t="shared" si="35"/>
        <v>3319011.7496506763</v>
      </c>
      <c r="T92" s="163" t="str">
        <f t="shared" si="36"/>
        <v>En mora</v>
      </c>
      <c r="U92" s="149">
        <f>IF($A92="","",IF($A92&lt;=Inputs!$B$15,Inputs!$B$28,0))</f>
        <v>0</v>
      </c>
      <c r="V92" s="149">
        <f>IF($A92="","",IF($A92&lt;=Inputs!$B$15,Inputs!$B$29,0))</f>
        <v>0</v>
      </c>
      <c r="W92" s="149">
        <f>IF($A92="","",IF($A92&lt;=Inputs!$B$15,Inputs!$B$30,0))</f>
        <v>0</v>
      </c>
      <c r="X92" s="149">
        <f t="shared" si="38"/>
        <v>0</v>
      </c>
      <c r="Y92" s="149">
        <f t="shared" si="39"/>
        <v>0</v>
      </c>
      <c r="Z92" s="149">
        <f t="shared" si="40"/>
        <v>70732.200029455125</v>
      </c>
      <c r="AA92" s="149">
        <f>IF($B92="","",IF(OR($B93="",ROUNDUP(($A92+1)/Inputs!$B$14,0)&gt;$B92),SUMIF($B$4:$B92,$B92,U$4:U92),0))</f>
        <v>0</v>
      </c>
      <c r="AB92" s="149">
        <f>IF($B92="","",IF(OR($B93="",ROUNDUP(($A92+1)/Inputs!$B$14,0)&gt;$B92),SUMIF($B$4:$B92,$B92,V$4:V92),0))</f>
        <v>0</v>
      </c>
      <c r="AC92" s="149">
        <f>IF($B92="","",IF(OR($B93="",ROUNDUP(($A92+1)/Inputs!$B$14,0)&gt;$B92),SUMIF($B$4:$B92,$B92,W$4:W92),0))</f>
        <v>0</v>
      </c>
      <c r="AD92" s="18"/>
      <c r="AE92" s="18"/>
      <c r="AF92" s="18"/>
      <c r="AG92" s="18"/>
      <c r="AH92" s="18"/>
      <c r="AI92" s="18"/>
      <c r="AJ92" s="18"/>
      <c r="AK92" s="18"/>
    </row>
    <row r="93" spans="1:37" ht="18" customHeight="1">
      <c r="A93" s="157">
        <f>IF(A92="","",IF(AND(A92&gt;=Inputs!$B$15,S92+N92+O92+P92+Z92&lt;=0.005),"",IF(A92&gt;=Inputs!$C$67,"",A92+1)))</f>
        <v>90</v>
      </c>
      <c r="B93" s="77">
        <f>IF(A93="","",ROUNDUP(A93/Inputs!$B$14,0))</f>
        <v>21</v>
      </c>
      <c r="C93" s="160" t="str">
        <f>IF(A93="","",IF(A93&lt;Inputs!$C$66,"Pago normal",IF(A93&gt;Inputs!$B$15,"Periodo adicional con cobranza","Pago tardío + cobranza")))</f>
        <v>Periodo adicional con cobranza</v>
      </c>
      <c r="D93" s="149">
        <f t="shared" si="26"/>
        <v>3319011.7496506763</v>
      </c>
      <c r="E93" s="149">
        <f>IF(A93="","",D93*Inputs!$B$17)</f>
        <v>40303.742039010416</v>
      </c>
      <c r="F93" s="149">
        <f>IF(A93="","",IF(A93&lt;Inputs!$C$66,0,Q92*Inputs!$B$17+G93*(POWER(1+Inputs!$B$18,Inputs!$C$63)-1)))</f>
        <v>40303.742039010373</v>
      </c>
      <c r="G93" s="149">
        <f>IF(A93="","",IF(A93&lt;=Inputs!$B$15,INDEX(Caso1_Normal!$H$4:$H$89,A93),0))</f>
        <v>0</v>
      </c>
      <c r="H93" s="149">
        <f>IF(A93="","",IF(AND(A93&gt;=Inputs!$C$66,D93&gt;0.005),Inputs!$C$65,0))</f>
        <v>42000</v>
      </c>
      <c r="I93" s="149">
        <f>IF(A93="","",MIN(Inputs!$B$20+X93,D93+N92+H93+O92+F93+P92+E93+Z92+X93))</f>
        <v>111014.82187676849</v>
      </c>
      <c r="J93" s="149">
        <f t="shared" si="27"/>
        <v>42000</v>
      </c>
      <c r="K93" s="149">
        <f t="shared" si="28"/>
        <v>40303.742039010373</v>
      </c>
      <c r="L93" s="149">
        <f t="shared" si="29"/>
        <v>28711.079837758116</v>
      </c>
      <c r="M93" s="149">
        <f t="shared" si="37"/>
        <v>0</v>
      </c>
      <c r="N93" s="149">
        <f t="shared" si="30"/>
        <v>0</v>
      </c>
      <c r="O93" s="149">
        <f t="shared" si="31"/>
        <v>0</v>
      </c>
      <c r="P93" s="149">
        <f t="shared" si="32"/>
        <v>46370.648805009208</v>
      </c>
      <c r="Q93" s="149">
        <f t="shared" si="33"/>
        <v>3319011.7496506725</v>
      </c>
      <c r="R93" s="149">
        <f t="shared" si="34"/>
        <v>3.7252902984619141E-9</v>
      </c>
      <c r="S93" s="149">
        <f t="shared" si="35"/>
        <v>3319011.7496506763</v>
      </c>
      <c r="T93" s="163" t="str">
        <f t="shared" si="36"/>
        <v>En mora</v>
      </c>
      <c r="U93" s="149">
        <f>IF($A93="","",IF($A93&lt;=Inputs!$B$15,Inputs!$B$28,0))</f>
        <v>0</v>
      </c>
      <c r="V93" s="149">
        <f>IF($A93="","",IF($A93&lt;=Inputs!$B$15,Inputs!$B$29,0))</f>
        <v>0</v>
      </c>
      <c r="W93" s="149">
        <f>IF($A93="","",IF($A93&lt;=Inputs!$B$15,Inputs!$B$30,0))</f>
        <v>0</v>
      </c>
      <c r="X93" s="149">
        <f t="shared" si="38"/>
        <v>0</v>
      </c>
      <c r="Y93" s="149">
        <f t="shared" si="39"/>
        <v>0</v>
      </c>
      <c r="Z93" s="149">
        <f t="shared" si="40"/>
        <v>70732.200029455125</v>
      </c>
      <c r="AA93" s="149">
        <f>IF($B93="","",IF(OR($B94="",ROUNDUP(($A93+1)/Inputs!$B$14,0)&gt;$B93),SUMIF($B$4:$B93,$B93,U$4:U93),0))</f>
        <v>0</v>
      </c>
      <c r="AB93" s="149">
        <f>IF($B93="","",IF(OR($B94="",ROUNDUP(($A93+1)/Inputs!$B$14,0)&gt;$B93),SUMIF($B$4:$B93,$B93,V$4:V93),0))</f>
        <v>0</v>
      </c>
      <c r="AC93" s="149">
        <f>IF($B93="","",IF(OR($B94="",ROUNDUP(($A93+1)/Inputs!$B$14,0)&gt;$B93),SUMIF($B$4:$B93,$B93,W$4:W93),0))</f>
        <v>0</v>
      </c>
      <c r="AD93" s="18"/>
      <c r="AE93" s="18"/>
      <c r="AF93" s="18"/>
      <c r="AG93" s="18"/>
      <c r="AH93" s="18"/>
      <c r="AI93" s="18"/>
      <c r="AJ93" s="18"/>
      <c r="AK93" s="18"/>
    </row>
    <row r="94" spans="1:37" ht="18" customHeight="1">
      <c r="A94" s="157">
        <f>IF(A93="","",IF(AND(A93&gt;=Inputs!$B$15,S93+N93+O93+P93+Z93&lt;=0.005),"",IF(A93&gt;=Inputs!$C$67,"",A93+1)))</f>
        <v>91</v>
      </c>
      <c r="B94" s="77">
        <f>IF(A94="","",ROUNDUP(A94/Inputs!$B$14,0))</f>
        <v>21</v>
      </c>
      <c r="C94" s="160" t="str">
        <f>IF(A94="","",IF(A94&lt;Inputs!$C$66,"Pago normal",IF(A94&gt;Inputs!$B$15,"Periodo adicional con cobranza","Pago tardío + cobranza")))</f>
        <v>Periodo adicional con cobranza</v>
      </c>
      <c r="D94" s="149">
        <f t="shared" si="26"/>
        <v>3319011.7496506763</v>
      </c>
      <c r="E94" s="149">
        <f>IF(A94="","",D94*Inputs!$B$17)</f>
        <v>40303.742039010416</v>
      </c>
      <c r="F94" s="149">
        <f>IF(A94="","",IF(A94&lt;Inputs!$C$66,0,Q93*Inputs!$B$17+G94*(POWER(1+Inputs!$B$18,Inputs!$C$63)-1)))</f>
        <v>40303.742039010373</v>
      </c>
      <c r="G94" s="149">
        <f>IF(A94="","",IF(A94&lt;=Inputs!$B$15,INDEX(Caso1_Normal!$H$4:$H$89,A94),0))</f>
        <v>0</v>
      </c>
      <c r="H94" s="149">
        <f>IF(A94="","",IF(AND(A94&gt;=Inputs!$C$66,D94&gt;0.005),Inputs!$C$65,0))</f>
        <v>42000</v>
      </c>
      <c r="I94" s="149">
        <f>IF(A94="","",MIN(Inputs!$B$20+X94,D94+N93+H94+O93+F94+P93+E94+Z93+X94))</f>
        <v>111014.82187676849</v>
      </c>
      <c r="J94" s="149">
        <f t="shared" si="27"/>
        <v>42000</v>
      </c>
      <c r="K94" s="149">
        <f t="shared" si="28"/>
        <v>40303.742039010373</v>
      </c>
      <c r="L94" s="149">
        <f t="shared" si="29"/>
        <v>28711.079837758116</v>
      </c>
      <c r="M94" s="149">
        <f t="shared" si="37"/>
        <v>0</v>
      </c>
      <c r="N94" s="149">
        <f t="shared" si="30"/>
        <v>0</v>
      </c>
      <c r="O94" s="149">
        <f t="shared" si="31"/>
        <v>0</v>
      </c>
      <c r="P94" s="149">
        <f t="shared" si="32"/>
        <v>57963.311006261509</v>
      </c>
      <c r="Q94" s="149">
        <f t="shared" si="33"/>
        <v>3319011.7496506725</v>
      </c>
      <c r="R94" s="149">
        <f t="shared" si="34"/>
        <v>3.7252902984619141E-9</v>
      </c>
      <c r="S94" s="149">
        <f t="shared" si="35"/>
        <v>3319011.7496506763</v>
      </c>
      <c r="T94" s="163" t="str">
        <f t="shared" si="36"/>
        <v>En mora</v>
      </c>
      <c r="U94" s="149">
        <f>IF($A94="","",IF($A94&lt;=Inputs!$B$15,Inputs!$B$28,0))</f>
        <v>0</v>
      </c>
      <c r="V94" s="149">
        <f>IF($A94="","",IF($A94&lt;=Inputs!$B$15,Inputs!$B$29,0))</f>
        <v>0</v>
      </c>
      <c r="W94" s="149">
        <f>IF($A94="","",IF($A94&lt;=Inputs!$B$15,Inputs!$B$30,0))</f>
        <v>0</v>
      </c>
      <c r="X94" s="149">
        <f t="shared" si="38"/>
        <v>0</v>
      </c>
      <c r="Y94" s="149">
        <f t="shared" si="39"/>
        <v>0</v>
      </c>
      <c r="Z94" s="149">
        <f t="shared" si="40"/>
        <v>70732.200029455125</v>
      </c>
      <c r="AA94" s="149">
        <f>IF($B94="","",IF(OR($B95="",ROUNDUP(($A94+1)/Inputs!$B$14,0)&gt;$B94),SUMIF($B$4:$B94,$B94,U$4:U94),0))</f>
        <v>0</v>
      </c>
      <c r="AB94" s="149">
        <f>IF($B94="","",IF(OR($B95="",ROUNDUP(($A94+1)/Inputs!$B$14,0)&gt;$B94),SUMIF($B$4:$B94,$B94,V$4:V94),0))</f>
        <v>0</v>
      </c>
      <c r="AC94" s="149">
        <f>IF($B94="","",IF(OR($B95="",ROUNDUP(($A94+1)/Inputs!$B$14,0)&gt;$B94),SUMIF($B$4:$B94,$B94,W$4:W94),0))</f>
        <v>0</v>
      </c>
      <c r="AD94" s="18"/>
      <c r="AE94" s="18"/>
      <c r="AF94" s="18"/>
      <c r="AG94" s="18"/>
      <c r="AH94" s="18"/>
      <c r="AI94" s="18"/>
      <c r="AJ94" s="18"/>
      <c r="AK94" s="18"/>
    </row>
    <row r="95" spans="1:37" ht="18" customHeight="1">
      <c r="A95" s="157">
        <f>IF(A94="","",IF(AND(A94&gt;=Inputs!$B$15,S94+N94+O94+P94+Z94&lt;=0.005),"",IF(A94&gt;=Inputs!$C$67,"",A94+1)))</f>
        <v>92</v>
      </c>
      <c r="B95" s="77">
        <f>IF(A95="","",ROUNDUP(A95/Inputs!$B$14,0))</f>
        <v>22</v>
      </c>
      <c r="C95" s="160" t="str">
        <f>IF(A95="","",IF(A95&lt;Inputs!$C$66,"Pago normal",IF(A95&gt;Inputs!$B$15,"Periodo adicional con cobranza","Pago tardío + cobranza")))</f>
        <v>Periodo adicional con cobranza</v>
      </c>
      <c r="D95" s="149">
        <f t="shared" si="26"/>
        <v>3319011.7496506763</v>
      </c>
      <c r="E95" s="149">
        <f>IF(A95="","",D95*Inputs!$B$17)</f>
        <v>40303.742039010416</v>
      </c>
      <c r="F95" s="149">
        <f>IF(A95="","",IF(A95&lt;Inputs!$C$66,0,Q94*Inputs!$B$17+G95*(POWER(1+Inputs!$B$18,Inputs!$C$63)-1)))</f>
        <v>40303.742039010373</v>
      </c>
      <c r="G95" s="149">
        <f>IF(A95="","",IF(A95&lt;=Inputs!$B$15,INDEX(Caso1_Normal!$H$4:$H$89,A95),0))</f>
        <v>0</v>
      </c>
      <c r="H95" s="149">
        <f>IF(A95="","",IF(AND(A95&gt;=Inputs!$C$66,D95&gt;0.005),Inputs!$C$65,0))</f>
        <v>42000</v>
      </c>
      <c r="I95" s="149">
        <f>IF(A95="","",MIN(Inputs!$B$20+X95,D95+N94+H95+O94+F95+P94+E95+Z94+X95))</f>
        <v>111014.82187676849</v>
      </c>
      <c r="J95" s="149">
        <f t="shared" si="27"/>
        <v>42000</v>
      </c>
      <c r="K95" s="149">
        <f t="shared" si="28"/>
        <v>40303.742039010373</v>
      </c>
      <c r="L95" s="149">
        <f t="shared" si="29"/>
        <v>28711.079837758116</v>
      </c>
      <c r="M95" s="149">
        <f t="shared" si="37"/>
        <v>0</v>
      </c>
      <c r="N95" s="149">
        <f t="shared" si="30"/>
        <v>0</v>
      </c>
      <c r="O95" s="149">
        <f t="shared" si="31"/>
        <v>0</v>
      </c>
      <c r="P95" s="149">
        <f t="shared" si="32"/>
        <v>69555.973207513802</v>
      </c>
      <c r="Q95" s="149">
        <f t="shared" si="33"/>
        <v>3319011.7496506725</v>
      </c>
      <c r="R95" s="149">
        <f t="shared" si="34"/>
        <v>3.7252902984619141E-9</v>
      </c>
      <c r="S95" s="149">
        <f t="shared" si="35"/>
        <v>3319011.7496506763</v>
      </c>
      <c r="T95" s="163" t="str">
        <f t="shared" si="36"/>
        <v>En mora</v>
      </c>
      <c r="U95" s="149">
        <f>IF($A95="","",IF($A95&lt;=Inputs!$B$15,Inputs!$B$28,0))</f>
        <v>0</v>
      </c>
      <c r="V95" s="149">
        <f>IF($A95="","",IF($A95&lt;=Inputs!$B$15,Inputs!$B$29,0))</f>
        <v>0</v>
      </c>
      <c r="W95" s="149">
        <f>IF($A95="","",IF($A95&lt;=Inputs!$B$15,Inputs!$B$30,0))</f>
        <v>0</v>
      </c>
      <c r="X95" s="149">
        <f t="shared" si="38"/>
        <v>0</v>
      </c>
      <c r="Y95" s="149">
        <f t="shared" si="39"/>
        <v>0</v>
      </c>
      <c r="Z95" s="149">
        <f t="shared" si="40"/>
        <v>70732.200029455125</v>
      </c>
      <c r="AA95" s="149">
        <f>IF($B95="","",IF(OR($B96="",ROUNDUP(($A95+1)/Inputs!$B$14,0)&gt;$B95),SUMIF($B$4:$B95,$B95,U$4:U95),0))</f>
        <v>0</v>
      </c>
      <c r="AB95" s="149">
        <f>IF($B95="","",IF(OR($B96="",ROUNDUP(($A95+1)/Inputs!$B$14,0)&gt;$B95),SUMIF($B$4:$B95,$B95,V$4:V95),0))</f>
        <v>0</v>
      </c>
      <c r="AC95" s="149">
        <f>IF($B95="","",IF(OR($B96="",ROUNDUP(($A95+1)/Inputs!$B$14,0)&gt;$B95),SUMIF($B$4:$B95,$B95,W$4:W95),0))</f>
        <v>0</v>
      </c>
      <c r="AD95" s="18"/>
      <c r="AE95" s="18"/>
      <c r="AF95" s="18"/>
      <c r="AG95" s="18"/>
      <c r="AH95" s="18"/>
      <c r="AI95" s="18"/>
      <c r="AJ95" s="18"/>
      <c r="AK95" s="18"/>
    </row>
    <row r="96" spans="1:37" ht="18" customHeight="1">
      <c r="A96" s="157">
        <f>IF(A95="","",IF(AND(A95&gt;=Inputs!$B$15,S95+N95+O95+P95+Z95&lt;=0.005),"",IF(A95&gt;=Inputs!$C$67,"",A95+1)))</f>
        <v>93</v>
      </c>
      <c r="B96" s="77">
        <f>IF(A96="","",ROUNDUP(A96/Inputs!$B$14,0))</f>
        <v>22</v>
      </c>
      <c r="C96" s="160" t="str">
        <f>IF(A96="","",IF(A96&lt;Inputs!$C$66,"Pago normal",IF(A96&gt;Inputs!$B$15,"Periodo adicional con cobranza","Pago tardío + cobranza")))</f>
        <v>Periodo adicional con cobranza</v>
      </c>
      <c r="D96" s="149">
        <f t="shared" si="26"/>
        <v>3319011.7496506763</v>
      </c>
      <c r="E96" s="149">
        <f>IF(A96="","",D96*Inputs!$B$17)</f>
        <v>40303.742039010416</v>
      </c>
      <c r="F96" s="149">
        <f>IF(A96="","",IF(A96&lt;Inputs!$C$66,0,Q95*Inputs!$B$17+G96*(POWER(1+Inputs!$B$18,Inputs!$C$63)-1)))</f>
        <v>40303.742039010373</v>
      </c>
      <c r="G96" s="149">
        <f>IF(A96="","",IF(A96&lt;=Inputs!$B$15,INDEX(Caso1_Normal!$H$4:$H$89,A96),0))</f>
        <v>0</v>
      </c>
      <c r="H96" s="149">
        <f>IF(A96="","",IF(AND(A96&gt;=Inputs!$C$66,D96&gt;0.005),Inputs!$C$65,0))</f>
        <v>42000</v>
      </c>
      <c r="I96" s="149">
        <f>IF(A96="","",MIN(Inputs!$B$20+X96,D96+N95+H96+O95+F96+P95+E96+Z95+X96))</f>
        <v>111014.82187676849</v>
      </c>
      <c r="J96" s="149">
        <f t="shared" si="27"/>
        <v>42000</v>
      </c>
      <c r="K96" s="149">
        <f t="shared" si="28"/>
        <v>40303.742039010373</v>
      </c>
      <c r="L96" s="149">
        <f t="shared" si="29"/>
        <v>28711.079837758116</v>
      </c>
      <c r="M96" s="149">
        <f t="shared" si="37"/>
        <v>0</v>
      </c>
      <c r="N96" s="149">
        <f t="shared" si="30"/>
        <v>0</v>
      </c>
      <c r="O96" s="149">
        <f t="shared" si="31"/>
        <v>0</v>
      </c>
      <c r="P96" s="149">
        <f t="shared" si="32"/>
        <v>81148.635408766102</v>
      </c>
      <c r="Q96" s="149">
        <f t="shared" si="33"/>
        <v>3319011.7496506725</v>
      </c>
      <c r="R96" s="149">
        <f t="shared" si="34"/>
        <v>3.7252902984619141E-9</v>
      </c>
      <c r="S96" s="149">
        <f t="shared" si="35"/>
        <v>3319011.7496506763</v>
      </c>
      <c r="T96" s="163" t="str">
        <f t="shared" si="36"/>
        <v>En mora</v>
      </c>
      <c r="U96" s="149">
        <f>IF($A96="","",IF($A96&lt;=Inputs!$B$15,Inputs!$B$28,0))</f>
        <v>0</v>
      </c>
      <c r="V96" s="149">
        <f>IF($A96="","",IF($A96&lt;=Inputs!$B$15,Inputs!$B$29,0))</f>
        <v>0</v>
      </c>
      <c r="W96" s="149">
        <f>IF($A96="","",IF($A96&lt;=Inputs!$B$15,Inputs!$B$30,0))</f>
        <v>0</v>
      </c>
      <c r="X96" s="149">
        <f t="shared" si="38"/>
        <v>0</v>
      </c>
      <c r="Y96" s="149">
        <f t="shared" si="39"/>
        <v>0</v>
      </c>
      <c r="Z96" s="149">
        <f t="shared" si="40"/>
        <v>70732.200029455125</v>
      </c>
      <c r="AA96" s="149">
        <f>IF($B96="","",IF(OR($B97="",ROUNDUP(($A96+1)/Inputs!$B$14,0)&gt;$B96),SUMIF($B$4:$B96,$B96,U$4:U96),0))</f>
        <v>0</v>
      </c>
      <c r="AB96" s="149">
        <f>IF($B96="","",IF(OR($B97="",ROUNDUP(($A96+1)/Inputs!$B$14,0)&gt;$B96),SUMIF($B$4:$B96,$B96,V$4:V96),0))</f>
        <v>0</v>
      </c>
      <c r="AC96" s="149">
        <f>IF($B96="","",IF(OR($B97="",ROUNDUP(($A96+1)/Inputs!$B$14,0)&gt;$B96),SUMIF($B$4:$B96,$B96,W$4:W96),0))</f>
        <v>0</v>
      </c>
      <c r="AD96" s="18"/>
      <c r="AE96" s="18"/>
      <c r="AF96" s="18"/>
      <c r="AG96" s="18"/>
      <c r="AH96" s="18"/>
      <c r="AI96" s="18"/>
      <c r="AJ96" s="18"/>
      <c r="AK96" s="18"/>
    </row>
    <row r="97" spans="1:37" ht="18" customHeight="1">
      <c r="A97" s="157">
        <f>IF(A96="","",IF(AND(A96&gt;=Inputs!$B$15,S96+N96+O96+P96+Z96&lt;=0.005),"",IF(A96&gt;=Inputs!$C$67,"",A96+1)))</f>
        <v>94</v>
      </c>
      <c r="B97" s="77">
        <f>IF(A97="","",ROUNDUP(A97/Inputs!$B$14,0))</f>
        <v>22</v>
      </c>
      <c r="C97" s="160" t="str">
        <f>IF(A97="","",IF(A97&lt;Inputs!$C$66,"Pago normal",IF(A97&gt;Inputs!$B$15,"Periodo adicional con cobranza","Pago tardío + cobranza")))</f>
        <v>Periodo adicional con cobranza</v>
      </c>
      <c r="D97" s="149">
        <f t="shared" si="26"/>
        <v>3319011.7496506763</v>
      </c>
      <c r="E97" s="149">
        <f>IF(A97="","",D97*Inputs!$B$17)</f>
        <v>40303.742039010416</v>
      </c>
      <c r="F97" s="149">
        <f>IF(A97="","",IF(A97&lt;Inputs!$C$66,0,Q96*Inputs!$B$17+G97*(POWER(1+Inputs!$B$18,Inputs!$C$63)-1)))</f>
        <v>40303.742039010373</v>
      </c>
      <c r="G97" s="149">
        <f>IF(A97="","",IF(A97&lt;=Inputs!$B$15,INDEX(Caso1_Normal!$H$4:$H$89,A97),0))</f>
        <v>0</v>
      </c>
      <c r="H97" s="149">
        <f>IF(A97="","",IF(AND(A97&gt;=Inputs!$C$66,D97&gt;0.005),Inputs!$C$65,0))</f>
        <v>42000</v>
      </c>
      <c r="I97" s="149">
        <f>IF(A97="","",MIN(Inputs!$B$20+X97,D97+N96+H97+O96+F97+P96+E97+Z96+X97))</f>
        <v>111014.82187676849</v>
      </c>
      <c r="J97" s="149">
        <f t="shared" si="27"/>
        <v>42000</v>
      </c>
      <c r="K97" s="149">
        <f t="shared" si="28"/>
        <v>40303.742039010373</v>
      </c>
      <c r="L97" s="149">
        <f t="shared" si="29"/>
        <v>28711.079837758116</v>
      </c>
      <c r="M97" s="149">
        <f t="shared" si="37"/>
        <v>0</v>
      </c>
      <c r="N97" s="149">
        <f t="shared" si="30"/>
        <v>0</v>
      </c>
      <c r="O97" s="149">
        <f t="shared" si="31"/>
        <v>0</v>
      </c>
      <c r="P97" s="149">
        <f t="shared" si="32"/>
        <v>92741.297610018402</v>
      </c>
      <c r="Q97" s="149">
        <f t="shared" si="33"/>
        <v>3319011.7496506725</v>
      </c>
      <c r="R97" s="149">
        <f t="shared" si="34"/>
        <v>3.7252902984619141E-9</v>
      </c>
      <c r="S97" s="149">
        <f t="shared" si="35"/>
        <v>3319011.7496506763</v>
      </c>
      <c r="T97" s="163" t="str">
        <f t="shared" si="36"/>
        <v>En mora</v>
      </c>
      <c r="U97" s="149">
        <f>IF($A97="","",IF($A97&lt;=Inputs!$B$15,Inputs!$B$28,0))</f>
        <v>0</v>
      </c>
      <c r="V97" s="149">
        <f>IF($A97="","",IF($A97&lt;=Inputs!$B$15,Inputs!$B$29,0))</f>
        <v>0</v>
      </c>
      <c r="W97" s="149">
        <f>IF($A97="","",IF($A97&lt;=Inputs!$B$15,Inputs!$B$30,0))</f>
        <v>0</v>
      </c>
      <c r="X97" s="149">
        <f t="shared" si="38"/>
        <v>0</v>
      </c>
      <c r="Y97" s="149">
        <f t="shared" si="39"/>
        <v>0</v>
      </c>
      <c r="Z97" s="149">
        <f t="shared" si="40"/>
        <v>70732.200029455125</v>
      </c>
      <c r="AA97" s="149">
        <f>IF($B97="","",IF(OR($B98="",ROUNDUP(($A97+1)/Inputs!$B$14,0)&gt;$B97),SUMIF($B$4:$B97,$B97,U$4:U97),0))</f>
        <v>0</v>
      </c>
      <c r="AB97" s="149">
        <f>IF($B97="","",IF(OR($B98="",ROUNDUP(($A97+1)/Inputs!$B$14,0)&gt;$B97),SUMIF($B$4:$B97,$B97,V$4:V97),0))</f>
        <v>0</v>
      </c>
      <c r="AC97" s="149">
        <f>IF($B97="","",IF(OR($B98="",ROUNDUP(($A97+1)/Inputs!$B$14,0)&gt;$B97),SUMIF($B$4:$B97,$B97,W$4:W97),0))</f>
        <v>0</v>
      </c>
      <c r="AD97" s="18"/>
      <c r="AE97" s="18"/>
      <c r="AF97" s="18"/>
      <c r="AG97" s="18"/>
      <c r="AH97" s="18"/>
      <c r="AI97" s="18"/>
      <c r="AJ97" s="18"/>
      <c r="AK97" s="18"/>
    </row>
    <row r="98" spans="1:37" ht="18" customHeight="1">
      <c r="A98" s="157">
        <f>IF(A97="","",IF(AND(A97&gt;=Inputs!$B$15,S97+N97+O97+P97+Z97&lt;=0.005),"",IF(A97&gt;=Inputs!$C$67,"",A97+1)))</f>
        <v>95</v>
      </c>
      <c r="B98" s="77">
        <f>IF(A98="","",ROUNDUP(A98/Inputs!$B$14,0))</f>
        <v>22</v>
      </c>
      <c r="C98" s="160" t="str">
        <f>IF(A98="","",IF(A98&lt;Inputs!$C$66,"Pago normal",IF(A98&gt;Inputs!$B$15,"Periodo adicional con cobranza","Pago tardío + cobranza")))</f>
        <v>Periodo adicional con cobranza</v>
      </c>
      <c r="D98" s="149">
        <f t="shared" si="26"/>
        <v>3319011.7496506763</v>
      </c>
      <c r="E98" s="149">
        <f>IF(A98="","",D98*Inputs!$B$17)</f>
        <v>40303.742039010416</v>
      </c>
      <c r="F98" s="149">
        <f>IF(A98="","",IF(A98&lt;Inputs!$C$66,0,Q97*Inputs!$B$17+G98*(POWER(1+Inputs!$B$18,Inputs!$C$63)-1)))</f>
        <v>40303.742039010373</v>
      </c>
      <c r="G98" s="149">
        <f>IF(A98="","",IF(A98&lt;=Inputs!$B$15,INDEX(Caso1_Normal!$H$4:$H$89,A98),0))</f>
        <v>0</v>
      </c>
      <c r="H98" s="149">
        <f>IF(A98="","",IF(AND(A98&gt;=Inputs!$C$66,D98&gt;0.005),Inputs!$C$65,0))</f>
        <v>42000</v>
      </c>
      <c r="I98" s="149">
        <f>IF(A98="","",MIN(Inputs!$B$20+X98,D98+N97+H98+O97+F98+P97+E98+Z97+X98))</f>
        <v>111014.82187676849</v>
      </c>
      <c r="J98" s="149">
        <f t="shared" si="27"/>
        <v>42000</v>
      </c>
      <c r="K98" s="149">
        <f t="shared" si="28"/>
        <v>40303.742039010373</v>
      </c>
      <c r="L98" s="149">
        <f t="shared" si="29"/>
        <v>28711.079837758116</v>
      </c>
      <c r="M98" s="149">
        <f t="shared" si="37"/>
        <v>0</v>
      </c>
      <c r="N98" s="149">
        <f t="shared" si="30"/>
        <v>0</v>
      </c>
      <c r="O98" s="149">
        <f t="shared" si="31"/>
        <v>0</v>
      </c>
      <c r="P98" s="149">
        <f t="shared" si="32"/>
        <v>104333.9598112707</v>
      </c>
      <c r="Q98" s="149">
        <f t="shared" si="33"/>
        <v>3319011.7496506725</v>
      </c>
      <c r="R98" s="149">
        <f t="shared" si="34"/>
        <v>3.7252902984619141E-9</v>
      </c>
      <c r="S98" s="149">
        <f t="shared" si="35"/>
        <v>3319011.7496506763</v>
      </c>
      <c r="T98" s="163" t="str">
        <f t="shared" si="36"/>
        <v>En mora</v>
      </c>
      <c r="U98" s="149">
        <f>IF($A98="","",IF($A98&lt;=Inputs!$B$15,Inputs!$B$28,0))</f>
        <v>0</v>
      </c>
      <c r="V98" s="149">
        <f>IF($A98="","",IF($A98&lt;=Inputs!$B$15,Inputs!$B$29,0))</f>
        <v>0</v>
      </c>
      <c r="W98" s="149">
        <f>IF($A98="","",IF($A98&lt;=Inputs!$B$15,Inputs!$B$30,0))</f>
        <v>0</v>
      </c>
      <c r="X98" s="149">
        <f t="shared" si="38"/>
        <v>0</v>
      </c>
      <c r="Y98" s="149">
        <f t="shared" si="39"/>
        <v>0</v>
      </c>
      <c r="Z98" s="149">
        <f t="shared" si="40"/>
        <v>70732.200029455125</v>
      </c>
      <c r="AA98" s="149">
        <f>IF($B98="","",IF(OR($B99="",ROUNDUP(($A98+1)/Inputs!$B$14,0)&gt;$B98),SUMIF($B$4:$B98,$B98,U$4:U98),0))</f>
        <v>0</v>
      </c>
      <c r="AB98" s="149">
        <f>IF($B98="","",IF(OR($B99="",ROUNDUP(($A98+1)/Inputs!$B$14,0)&gt;$B98),SUMIF($B$4:$B98,$B98,V$4:V98),0))</f>
        <v>0</v>
      </c>
      <c r="AC98" s="149">
        <f>IF($B98="","",IF(OR($B99="",ROUNDUP(($A98+1)/Inputs!$B$14,0)&gt;$B98),SUMIF($B$4:$B98,$B98,W$4:W98),0))</f>
        <v>0</v>
      </c>
      <c r="AD98" s="18"/>
      <c r="AE98" s="18"/>
      <c r="AF98" s="18"/>
      <c r="AG98" s="18"/>
      <c r="AH98" s="18"/>
      <c r="AI98" s="18"/>
      <c r="AJ98" s="18"/>
      <c r="AK98" s="18"/>
    </row>
    <row r="99" spans="1:37" ht="18" customHeight="1">
      <c r="A99" s="157">
        <f>IF(A98="","",IF(AND(A98&gt;=Inputs!$B$15,S98+N98+O98+P98+Z98&lt;=0.005),"",IF(A98&gt;=Inputs!$C$67,"",A98+1)))</f>
        <v>96</v>
      </c>
      <c r="B99" s="77">
        <f>IF(A99="","",ROUNDUP(A99/Inputs!$B$14,0))</f>
        <v>23</v>
      </c>
      <c r="C99" s="160" t="str">
        <f>IF(A99="","",IF(A99&lt;Inputs!$C$66,"Pago normal",IF(A99&gt;Inputs!$B$15,"Periodo adicional con cobranza","Pago tardío + cobranza")))</f>
        <v>Periodo adicional con cobranza</v>
      </c>
      <c r="D99" s="149">
        <f t="shared" si="26"/>
        <v>3319011.7496506763</v>
      </c>
      <c r="E99" s="149">
        <f>IF(A99="","",D99*Inputs!$B$17)</f>
        <v>40303.742039010416</v>
      </c>
      <c r="F99" s="149">
        <f>IF(A99="","",IF(A99&lt;Inputs!$C$66,0,Q98*Inputs!$B$17+G99*(POWER(1+Inputs!$B$18,Inputs!$C$63)-1)))</f>
        <v>40303.742039010373</v>
      </c>
      <c r="G99" s="149">
        <f>IF(A99="","",IF(A99&lt;=Inputs!$B$15,INDEX(Caso1_Normal!$H$4:$H$89,A99),0))</f>
        <v>0</v>
      </c>
      <c r="H99" s="149">
        <f>IF(A99="","",IF(AND(A99&gt;=Inputs!$C$66,D99&gt;0.005),Inputs!$C$65,0))</f>
        <v>42000</v>
      </c>
      <c r="I99" s="149">
        <f>IF(A99="","",MIN(Inputs!$B$20+X99,D99+N98+H99+O98+F99+P98+E99+Z98+X99))</f>
        <v>111014.82187676849</v>
      </c>
      <c r="J99" s="149">
        <f t="shared" si="27"/>
        <v>42000</v>
      </c>
      <c r="K99" s="149">
        <f t="shared" si="28"/>
        <v>40303.742039010373</v>
      </c>
      <c r="L99" s="149">
        <f t="shared" si="29"/>
        <v>28711.079837758116</v>
      </c>
      <c r="M99" s="149">
        <f t="shared" si="37"/>
        <v>0</v>
      </c>
      <c r="N99" s="149">
        <f t="shared" si="30"/>
        <v>0</v>
      </c>
      <c r="O99" s="149">
        <f t="shared" si="31"/>
        <v>0</v>
      </c>
      <c r="P99" s="149">
        <f t="shared" si="32"/>
        <v>115926.622012523</v>
      </c>
      <c r="Q99" s="149">
        <f t="shared" si="33"/>
        <v>3319011.7496506725</v>
      </c>
      <c r="R99" s="149">
        <f t="shared" si="34"/>
        <v>3.7252902984619141E-9</v>
      </c>
      <c r="S99" s="149">
        <f t="shared" si="35"/>
        <v>3319011.7496506763</v>
      </c>
      <c r="T99" s="163" t="str">
        <f t="shared" si="36"/>
        <v>En mora</v>
      </c>
      <c r="U99" s="149">
        <f>IF($A99="","",IF($A99&lt;=Inputs!$B$15,Inputs!$B$28,0))</f>
        <v>0</v>
      </c>
      <c r="V99" s="149">
        <f>IF($A99="","",IF($A99&lt;=Inputs!$B$15,Inputs!$B$29,0))</f>
        <v>0</v>
      </c>
      <c r="W99" s="149">
        <f>IF($A99="","",IF($A99&lt;=Inputs!$B$15,Inputs!$B$30,0))</f>
        <v>0</v>
      </c>
      <c r="X99" s="149">
        <f t="shared" si="38"/>
        <v>0</v>
      </c>
      <c r="Y99" s="149">
        <f t="shared" si="39"/>
        <v>0</v>
      </c>
      <c r="Z99" s="149">
        <f t="shared" si="40"/>
        <v>70732.200029455125</v>
      </c>
      <c r="AA99" s="149">
        <f>IF($B99="","",IF(OR($B100="",ROUNDUP(($A99+1)/Inputs!$B$14,0)&gt;$B99),SUMIF($B$4:$B99,$B99,U$4:U99),0))</f>
        <v>0</v>
      </c>
      <c r="AB99" s="149">
        <f>IF($B99="","",IF(OR($B100="",ROUNDUP(($A99+1)/Inputs!$B$14,0)&gt;$B99),SUMIF($B$4:$B99,$B99,V$4:V99),0))</f>
        <v>0</v>
      </c>
      <c r="AC99" s="149">
        <f>IF($B99="","",IF(OR($B100="",ROUNDUP(($A99+1)/Inputs!$B$14,0)&gt;$B99),SUMIF($B$4:$B99,$B99,W$4:W99),0))</f>
        <v>0</v>
      </c>
      <c r="AD99" s="18"/>
      <c r="AE99" s="18"/>
      <c r="AF99" s="18"/>
      <c r="AG99" s="18"/>
      <c r="AH99" s="18"/>
      <c r="AI99" s="18"/>
      <c r="AJ99" s="18"/>
      <c r="AK99" s="18"/>
    </row>
    <row r="100" spans="1:37" ht="18" customHeight="1">
      <c r="A100" s="157">
        <f>IF(A99="","",IF(AND(A99&gt;=Inputs!$B$15,S99+N99+O99+P99+Z99&lt;=0.005),"",IF(A99&gt;=Inputs!$C$67,"",A99+1)))</f>
        <v>97</v>
      </c>
      <c r="B100" s="77">
        <f>IF(A100="","",ROUNDUP(A100/Inputs!$B$14,0))</f>
        <v>23</v>
      </c>
      <c r="C100" s="160" t="str">
        <f>IF(A100="","",IF(A100&lt;Inputs!$C$66,"Pago normal",IF(A100&gt;Inputs!$B$15,"Periodo adicional con cobranza","Pago tardío + cobranza")))</f>
        <v>Periodo adicional con cobranza</v>
      </c>
      <c r="D100" s="149">
        <f t="shared" ref="D100:D123" si="41">IF(A100="","",S99)</f>
        <v>3319011.7496506763</v>
      </c>
      <c r="E100" s="149">
        <f>IF(A100="","",D100*Inputs!$B$17)</f>
        <v>40303.742039010416</v>
      </c>
      <c r="F100" s="149">
        <f>IF(A100="","",IF(A100&lt;Inputs!$C$66,0,Q99*Inputs!$B$17+G100*(POWER(1+Inputs!$B$18,Inputs!$C$63)-1)))</f>
        <v>40303.742039010373</v>
      </c>
      <c r="G100" s="149">
        <f>IF(A100="","",IF(A100&lt;=Inputs!$B$15,INDEX(Caso1_Normal!$H$4:$H$89,A100),0))</f>
        <v>0</v>
      </c>
      <c r="H100" s="149">
        <f>IF(A100="","",IF(AND(A100&gt;=Inputs!$C$66,D100&gt;0.005),Inputs!$C$65,0))</f>
        <v>42000</v>
      </c>
      <c r="I100" s="149">
        <f>IF(A100="","",MIN(Inputs!$B$20+X100,D100+N99+H100+O99+F100+P99+E100+Z99+X100))</f>
        <v>111014.82187676849</v>
      </c>
      <c r="J100" s="149">
        <f t="shared" ref="J100:J123" si="42">IF(A100="","",MIN(I100,N99+H100))</f>
        <v>42000</v>
      </c>
      <c r="K100" s="149">
        <f t="shared" ref="K100:K123" si="43">IF(A100="","",MIN(MAX(0,I100-J100),O99+F100))</f>
        <v>40303.742039010373</v>
      </c>
      <c r="L100" s="149">
        <f t="shared" ref="L100:L123" si="44">IF(A100="","",MIN(MAX(0,I100-J100-K100),P99+E100))</f>
        <v>28711.079837758116</v>
      </c>
      <c r="M100" s="149">
        <f t="shared" si="37"/>
        <v>0</v>
      </c>
      <c r="N100" s="149">
        <f t="shared" ref="N100:N123" si="45">IF(A100="","",MAX(0,N99+H100-J100))</f>
        <v>0</v>
      </c>
      <c r="O100" s="149">
        <f t="shared" ref="O100:O123" si="46">IF(A100="","",MAX(0,O99+F100-K100))</f>
        <v>0</v>
      </c>
      <c r="P100" s="149">
        <f t="shared" ref="P100:P123" si="47">IF(A100="","",MAX(0,P99+E100-L100))</f>
        <v>127519.2842137753</v>
      </c>
      <c r="Q100" s="149">
        <f t="shared" ref="Q100:Q123" si="48">IF(A100="","",MAX(0,Q99+G100-M100))</f>
        <v>3319011.7496506725</v>
      </c>
      <c r="R100" s="149">
        <f t="shared" ref="R100:R123" si="49">IF(A100="","",MAX(0,S100-Q100))</f>
        <v>3.7252902984619141E-9</v>
      </c>
      <c r="S100" s="149">
        <f t="shared" ref="S100:S123" si="50">IF(A100="","",MAX(0,D100-M100))</f>
        <v>3319011.7496506763</v>
      </c>
      <c r="T100" s="163" t="str">
        <f t="shared" ref="T100:T131" si="51">IF(A100="","",IF(S100+N100+O100+P100+Z100&lt;=0.005,"Cancelado",IF(Q100+N100+O100+P100+Z100&gt;0,"En mora","Vigente al día")))</f>
        <v>En mora</v>
      </c>
      <c r="U100" s="149">
        <f>IF($A100="","",IF($A100&lt;=Inputs!$B$15,Inputs!$B$28,0))</f>
        <v>0</v>
      </c>
      <c r="V100" s="149">
        <f>IF($A100="","",IF($A100&lt;=Inputs!$B$15,Inputs!$B$29,0))</f>
        <v>0</v>
      </c>
      <c r="W100" s="149">
        <f>IF($A100="","",IF($A100&lt;=Inputs!$B$15,Inputs!$B$30,0))</f>
        <v>0</v>
      </c>
      <c r="X100" s="149">
        <f t="shared" si="38"/>
        <v>0</v>
      </c>
      <c r="Y100" s="149">
        <f t="shared" si="39"/>
        <v>0</v>
      </c>
      <c r="Z100" s="149">
        <f t="shared" si="40"/>
        <v>70732.200029455125</v>
      </c>
      <c r="AA100" s="149">
        <f>IF($B100="","",IF(OR($B101="",ROUNDUP(($A100+1)/Inputs!$B$14,0)&gt;$B100),SUMIF($B$4:$B100,$B100,U$4:U100),0))</f>
        <v>0</v>
      </c>
      <c r="AB100" s="149">
        <f>IF($B100="","",IF(OR($B101="",ROUNDUP(($A100+1)/Inputs!$B$14,0)&gt;$B100),SUMIF($B$4:$B100,$B100,V$4:V100),0))</f>
        <v>0</v>
      </c>
      <c r="AC100" s="149">
        <f>IF($B100="","",IF(OR($B101="",ROUNDUP(($A100+1)/Inputs!$B$14,0)&gt;$B100),SUMIF($B$4:$B100,$B100,W$4:W100),0))</f>
        <v>0</v>
      </c>
      <c r="AD100" s="18"/>
      <c r="AE100" s="18"/>
      <c r="AF100" s="18"/>
      <c r="AG100" s="18"/>
      <c r="AH100" s="18"/>
      <c r="AI100" s="18"/>
      <c r="AJ100" s="18"/>
      <c r="AK100" s="18"/>
    </row>
    <row r="101" spans="1:37" ht="18" customHeight="1">
      <c r="A101" s="157">
        <f>IF(A100="","",IF(AND(A100&gt;=Inputs!$B$15,S100+N100+O100+P100+Z100&lt;=0.005),"",IF(A100&gt;=Inputs!$C$67,"",A100+1)))</f>
        <v>98</v>
      </c>
      <c r="B101" s="77">
        <f>IF(A101="","",ROUNDUP(A101/Inputs!$B$14,0))</f>
        <v>23</v>
      </c>
      <c r="C101" s="160" t="str">
        <f>IF(A101="","",IF(A101&lt;Inputs!$C$66,"Pago normal",IF(A101&gt;Inputs!$B$15,"Periodo adicional con cobranza","Pago tardío + cobranza")))</f>
        <v>Periodo adicional con cobranza</v>
      </c>
      <c r="D101" s="149">
        <f t="shared" si="41"/>
        <v>3319011.7496506763</v>
      </c>
      <c r="E101" s="149">
        <f>IF(A101="","",D101*Inputs!$B$17)</f>
        <v>40303.742039010416</v>
      </c>
      <c r="F101" s="149">
        <f>IF(A101="","",IF(A101&lt;Inputs!$C$66,0,Q100*Inputs!$B$17+G101*(POWER(1+Inputs!$B$18,Inputs!$C$63)-1)))</f>
        <v>40303.742039010373</v>
      </c>
      <c r="G101" s="149">
        <f>IF(A101="","",IF(A101&lt;=Inputs!$B$15,INDEX(Caso1_Normal!$H$4:$H$89,A101),0))</f>
        <v>0</v>
      </c>
      <c r="H101" s="149">
        <f>IF(A101="","",IF(AND(A101&gt;=Inputs!$C$66,D101&gt;0.005),Inputs!$C$65,0))</f>
        <v>42000</v>
      </c>
      <c r="I101" s="149">
        <f>IF(A101="","",MIN(Inputs!$B$20+X101,D101+N100+H101+O100+F101+P100+E101+Z100+X101))</f>
        <v>111014.82187676849</v>
      </c>
      <c r="J101" s="149">
        <f t="shared" si="42"/>
        <v>42000</v>
      </c>
      <c r="K101" s="149">
        <f t="shared" si="43"/>
        <v>40303.742039010373</v>
      </c>
      <c r="L101" s="149">
        <f t="shared" si="44"/>
        <v>28711.079837758116</v>
      </c>
      <c r="M101" s="149">
        <f t="shared" si="37"/>
        <v>0</v>
      </c>
      <c r="N101" s="149">
        <f t="shared" si="45"/>
        <v>0</v>
      </c>
      <c r="O101" s="149">
        <f t="shared" si="46"/>
        <v>0</v>
      </c>
      <c r="P101" s="149">
        <f t="shared" si="47"/>
        <v>139111.9464150276</v>
      </c>
      <c r="Q101" s="149">
        <f t="shared" si="48"/>
        <v>3319011.7496506725</v>
      </c>
      <c r="R101" s="149">
        <f t="shared" si="49"/>
        <v>3.7252902984619141E-9</v>
      </c>
      <c r="S101" s="149">
        <f t="shared" si="50"/>
        <v>3319011.7496506763</v>
      </c>
      <c r="T101" s="163" t="str">
        <f t="shared" si="51"/>
        <v>En mora</v>
      </c>
      <c r="U101" s="149">
        <f>IF($A101="","",IF($A101&lt;=Inputs!$B$15,Inputs!$B$28,0))</f>
        <v>0</v>
      </c>
      <c r="V101" s="149">
        <f>IF($A101="","",IF($A101&lt;=Inputs!$B$15,Inputs!$B$29,0))</f>
        <v>0</v>
      </c>
      <c r="W101" s="149">
        <f>IF($A101="","",IF($A101&lt;=Inputs!$B$15,Inputs!$B$30,0))</f>
        <v>0</v>
      </c>
      <c r="X101" s="149">
        <f t="shared" si="38"/>
        <v>0</v>
      </c>
      <c r="Y101" s="149">
        <f t="shared" si="39"/>
        <v>0</v>
      </c>
      <c r="Z101" s="149">
        <f t="shared" si="40"/>
        <v>70732.200029455125</v>
      </c>
      <c r="AA101" s="149">
        <f>IF($B101="","",IF(OR($B102="",ROUNDUP(($A101+1)/Inputs!$B$14,0)&gt;$B101),SUMIF($B$4:$B101,$B101,U$4:U101),0))</f>
        <v>0</v>
      </c>
      <c r="AB101" s="149">
        <f>IF($B101="","",IF(OR($B102="",ROUNDUP(($A101+1)/Inputs!$B$14,0)&gt;$B101),SUMIF($B$4:$B101,$B101,V$4:V101),0))</f>
        <v>0</v>
      </c>
      <c r="AC101" s="149">
        <f>IF($B101="","",IF(OR($B102="",ROUNDUP(($A101+1)/Inputs!$B$14,0)&gt;$B101),SUMIF($B$4:$B101,$B101,W$4:W101),0))</f>
        <v>0</v>
      </c>
      <c r="AD101" s="18"/>
      <c r="AE101" s="18"/>
      <c r="AF101" s="18"/>
      <c r="AG101" s="18"/>
      <c r="AH101" s="18"/>
      <c r="AI101" s="18"/>
      <c r="AJ101" s="18"/>
      <c r="AK101" s="18"/>
    </row>
    <row r="102" spans="1:37" ht="18" customHeight="1">
      <c r="A102" s="157">
        <f>IF(A101="","",IF(AND(A101&gt;=Inputs!$B$15,S101+N101+O101+P101+Z101&lt;=0.005),"",IF(A101&gt;=Inputs!$C$67,"",A101+1)))</f>
        <v>99</v>
      </c>
      <c r="B102" s="77">
        <f>IF(A102="","",ROUNDUP(A102/Inputs!$B$14,0))</f>
        <v>23</v>
      </c>
      <c r="C102" s="160" t="str">
        <f>IF(A102="","",IF(A102&lt;Inputs!$C$66,"Pago normal",IF(A102&gt;Inputs!$B$15,"Periodo adicional con cobranza","Pago tardío + cobranza")))</f>
        <v>Periodo adicional con cobranza</v>
      </c>
      <c r="D102" s="149">
        <f t="shared" si="41"/>
        <v>3319011.7496506763</v>
      </c>
      <c r="E102" s="149">
        <f>IF(A102="","",D102*Inputs!$B$17)</f>
        <v>40303.742039010416</v>
      </c>
      <c r="F102" s="149">
        <f>IF(A102="","",IF(A102&lt;Inputs!$C$66,0,Q101*Inputs!$B$17+G102*(POWER(1+Inputs!$B$18,Inputs!$C$63)-1)))</f>
        <v>40303.742039010373</v>
      </c>
      <c r="G102" s="149">
        <f>IF(A102="","",IF(A102&lt;=Inputs!$B$15,INDEX(Caso1_Normal!$H$4:$H$89,A102),0))</f>
        <v>0</v>
      </c>
      <c r="H102" s="149">
        <f>IF(A102="","",IF(AND(A102&gt;=Inputs!$C$66,D102&gt;0.005),Inputs!$C$65,0))</f>
        <v>42000</v>
      </c>
      <c r="I102" s="149">
        <f>IF(A102="","",MIN(Inputs!$B$20+X102,D102+N101+H102+O101+F102+P101+E102+Z101+X102))</f>
        <v>111014.82187676849</v>
      </c>
      <c r="J102" s="149">
        <f t="shared" si="42"/>
        <v>42000</v>
      </c>
      <c r="K102" s="149">
        <f t="shared" si="43"/>
        <v>40303.742039010373</v>
      </c>
      <c r="L102" s="149">
        <f t="shared" si="44"/>
        <v>28711.079837758116</v>
      </c>
      <c r="M102" s="149">
        <f t="shared" si="37"/>
        <v>0</v>
      </c>
      <c r="N102" s="149">
        <f t="shared" si="45"/>
        <v>0</v>
      </c>
      <c r="O102" s="149">
        <f t="shared" si="46"/>
        <v>0</v>
      </c>
      <c r="P102" s="149">
        <f t="shared" si="47"/>
        <v>150704.6086162799</v>
      </c>
      <c r="Q102" s="149">
        <f t="shared" si="48"/>
        <v>3319011.7496506725</v>
      </c>
      <c r="R102" s="149">
        <f t="shared" si="49"/>
        <v>3.7252902984619141E-9</v>
      </c>
      <c r="S102" s="149">
        <f t="shared" si="50"/>
        <v>3319011.7496506763</v>
      </c>
      <c r="T102" s="163" t="str">
        <f t="shared" si="51"/>
        <v>En mora</v>
      </c>
      <c r="U102" s="149">
        <f>IF($A102="","",IF($A102&lt;=Inputs!$B$15,Inputs!$B$28,0))</f>
        <v>0</v>
      </c>
      <c r="V102" s="149">
        <f>IF($A102="","",IF($A102&lt;=Inputs!$B$15,Inputs!$B$29,0))</f>
        <v>0</v>
      </c>
      <c r="W102" s="149">
        <f>IF($A102="","",IF($A102&lt;=Inputs!$B$15,Inputs!$B$30,0))</f>
        <v>0</v>
      </c>
      <c r="X102" s="149">
        <f t="shared" si="38"/>
        <v>0</v>
      </c>
      <c r="Y102" s="149">
        <f t="shared" si="39"/>
        <v>0</v>
      </c>
      <c r="Z102" s="149">
        <f t="shared" si="40"/>
        <v>70732.200029455125</v>
      </c>
      <c r="AA102" s="149">
        <f>IF($B102="","",IF(OR($B103="",ROUNDUP(($A102+1)/Inputs!$B$14,0)&gt;$B102),SUMIF($B$4:$B102,$B102,U$4:U102),0))</f>
        <v>0</v>
      </c>
      <c r="AB102" s="149">
        <f>IF($B102="","",IF(OR($B103="",ROUNDUP(($A102+1)/Inputs!$B$14,0)&gt;$B102),SUMIF($B$4:$B102,$B102,V$4:V102),0))</f>
        <v>0</v>
      </c>
      <c r="AC102" s="149">
        <f>IF($B102="","",IF(OR($B103="",ROUNDUP(($A102+1)/Inputs!$B$14,0)&gt;$B102),SUMIF($B$4:$B102,$B102,W$4:W102),0))</f>
        <v>0</v>
      </c>
      <c r="AD102" s="18"/>
      <c r="AE102" s="18"/>
      <c r="AF102" s="18"/>
      <c r="AG102" s="18"/>
      <c r="AH102" s="18"/>
      <c r="AI102" s="18"/>
      <c r="AJ102" s="18"/>
      <c r="AK102" s="18"/>
    </row>
    <row r="103" spans="1:37" ht="18" customHeight="1">
      <c r="A103" s="157">
        <f>IF(A102="","",IF(AND(A102&gt;=Inputs!$B$15,S102+N102+O102+P102+Z102&lt;=0.005),"",IF(A102&gt;=Inputs!$C$67,"",A102+1)))</f>
        <v>100</v>
      </c>
      <c r="B103" s="77">
        <f>IF(A103="","",ROUNDUP(A103/Inputs!$B$14,0))</f>
        <v>24</v>
      </c>
      <c r="C103" s="160" t="str">
        <f>IF(A103="","",IF(A103&lt;Inputs!$C$66,"Pago normal",IF(A103&gt;Inputs!$B$15,"Periodo adicional con cobranza","Pago tardío + cobranza")))</f>
        <v>Periodo adicional con cobranza</v>
      </c>
      <c r="D103" s="149">
        <f t="shared" si="41"/>
        <v>3319011.7496506763</v>
      </c>
      <c r="E103" s="149">
        <f>IF(A103="","",D103*Inputs!$B$17)</f>
        <v>40303.742039010416</v>
      </c>
      <c r="F103" s="149">
        <f>IF(A103="","",IF(A103&lt;Inputs!$C$66,0,Q102*Inputs!$B$17+G103*(POWER(1+Inputs!$B$18,Inputs!$C$63)-1)))</f>
        <v>40303.742039010373</v>
      </c>
      <c r="G103" s="149">
        <f>IF(A103="","",IF(A103&lt;=Inputs!$B$15,INDEX(Caso1_Normal!$H$4:$H$89,A103),0))</f>
        <v>0</v>
      </c>
      <c r="H103" s="149">
        <f>IF(A103="","",IF(AND(A103&gt;=Inputs!$C$66,D103&gt;0.005),Inputs!$C$65,0))</f>
        <v>42000</v>
      </c>
      <c r="I103" s="149">
        <f>IF(A103="","",MIN(Inputs!$B$20+X103,D103+N102+H103+O102+F103+P102+E103+Z102+X103))</f>
        <v>111014.82187676849</v>
      </c>
      <c r="J103" s="149">
        <f t="shared" si="42"/>
        <v>42000</v>
      </c>
      <c r="K103" s="149">
        <f t="shared" si="43"/>
        <v>40303.742039010373</v>
      </c>
      <c r="L103" s="149">
        <f t="shared" si="44"/>
        <v>28711.079837758116</v>
      </c>
      <c r="M103" s="149">
        <f t="shared" si="37"/>
        <v>0</v>
      </c>
      <c r="N103" s="149">
        <f t="shared" si="45"/>
        <v>0</v>
      </c>
      <c r="O103" s="149">
        <f t="shared" si="46"/>
        <v>0</v>
      </c>
      <c r="P103" s="149">
        <f t="shared" si="47"/>
        <v>162297.2708175322</v>
      </c>
      <c r="Q103" s="149">
        <f t="shared" si="48"/>
        <v>3319011.7496506725</v>
      </c>
      <c r="R103" s="149">
        <f t="shared" si="49"/>
        <v>3.7252902984619141E-9</v>
      </c>
      <c r="S103" s="149">
        <f t="shared" si="50"/>
        <v>3319011.7496506763</v>
      </c>
      <c r="T103" s="163" t="str">
        <f t="shared" si="51"/>
        <v>En mora</v>
      </c>
      <c r="U103" s="149">
        <f>IF($A103="","",IF($A103&lt;=Inputs!$B$15,Inputs!$B$28,0))</f>
        <v>0</v>
      </c>
      <c r="V103" s="149">
        <f>IF($A103="","",IF($A103&lt;=Inputs!$B$15,Inputs!$B$29,0))</f>
        <v>0</v>
      </c>
      <c r="W103" s="149">
        <f>IF($A103="","",IF($A103&lt;=Inputs!$B$15,Inputs!$B$30,0))</f>
        <v>0</v>
      </c>
      <c r="X103" s="149">
        <f t="shared" si="38"/>
        <v>0</v>
      </c>
      <c r="Y103" s="149">
        <f t="shared" si="39"/>
        <v>0</v>
      </c>
      <c r="Z103" s="149">
        <f t="shared" si="40"/>
        <v>70732.200029455125</v>
      </c>
      <c r="AA103" s="149">
        <f>IF($B103="","",IF(OR($B104="",ROUNDUP(($A103+1)/Inputs!$B$14,0)&gt;$B103),SUMIF($B$4:$B103,$B103,U$4:U103),0))</f>
        <v>0</v>
      </c>
      <c r="AB103" s="149">
        <f>IF($B103="","",IF(OR($B104="",ROUNDUP(($A103+1)/Inputs!$B$14,0)&gt;$B103),SUMIF($B$4:$B103,$B103,V$4:V103),0))</f>
        <v>0</v>
      </c>
      <c r="AC103" s="149">
        <f>IF($B103="","",IF(OR($B104="",ROUNDUP(($A103+1)/Inputs!$B$14,0)&gt;$B103),SUMIF($B$4:$B103,$B103,W$4:W103),0))</f>
        <v>0</v>
      </c>
      <c r="AD103" s="18"/>
      <c r="AE103" s="18"/>
      <c r="AF103" s="18"/>
      <c r="AG103" s="18"/>
      <c r="AH103" s="18"/>
      <c r="AI103" s="18"/>
      <c r="AJ103" s="18"/>
      <c r="AK103" s="18"/>
    </row>
    <row r="104" spans="1:37" ht="18" customHeight="1">
      <c r="A104" s="157">
        <f>IF(A103="","",IF(AND(A103&gt;=Inputs!$B$15,S103+N103+O103+P103+Z103&lt;=0.005),"",IF(A103&gt;=Inputs!$C$67,"",A103+1)))</f>
        <v>101</v>
      </c>
      <c r="B104" s="77">
        <f>IF(A104="","",ROUNDUP(A104/Inputs!$B$14,0))</f>
        <v>24</v>
      </c>
      <c r="C104" s="160" t="str">
        <f>IF(A104="","",IF(A104&lt;Inputs!$C$66,"Pago normal",IF(A104&gt;Inputs!$B$15,"Periodo adicional con cobranza","Pago tardío + cobranza")))</f>
        <v>Periodo adicional con cobranza</v>
      </c>
      <c r="D104" s="149">
        <f t="shared" si="41"/>
        <v>3319011.7496506763</v>
      </c>
      <c r="E104" s="149">
        <f>IF(A104="","",D104*Inputs!$B$17)</f>
        <v>40303.742039010416</v>
      </c>
      <c r="F104" s="149">
        <f>IF(A104="","",IF(A104&lt;Inputs!$C$66,0,Q103*Inputs!$B$17+G104*(POWER(1+Inputs!$B$18,Inputs!$C$63)-1)))</f>
        <v>40303.742039010373</v>
      </c>
      <c r="G104" s="149">
        <f>IF(A104="","",IF(A104&lt;=Inputs!$B$15,INDEX(Caso1_Normal!$H$4:$H$89,A104),0))</f>
        <v>0</v>
      </c>
      <c r="H104" s="149">
        <f>IF(A104="","",IF(AND(A104&gt;=Inputs!$C$66,D104&gt;0.005),Inputs!$C$65,0))</f>
        <v>42000</v>
      </c>
      <c r="I104" s="149">
        <f>IF(A104="","",MIN(Inputs!$B$20+X104,D104+N103+H104+O103+F104+P103+E104+Z103+X104))</f>
        <v>111014.82187676849</v>
      </c>
      <c r="J104" s="149">
        <f t="shared" si="42"/>
        <v>42000</v>
      </c>
      <c r="K104" s="149">
        <f t="shared" si="43"/>
        <v>40303.742039010373</v>
      </c>
      <c r="L104" s="149">
        <f t="shared" si="44"/>
        <v>28711.079837758116</v>
      </c>
      <c r="M104" s="149">
        <f t="shared" si="37"/>
        <v>0</v>
      </c>
      <c r="N104" s="149">
        <f t="shared" si="45"/>
        <v>0</v>
      </c>
      <c r="O104" s="149">
        <f t="shared" si="46"/>
        <v>0</v>
      </c>
      <c r="P104" s="149">
        <f t="shared" si="47"/>
        <v>173889.9330187845</v>
      </c>
      <c r="Q104" s="149">
        <f t="shared" si="48"/>
        <v>3319011.7496506725</v>
      </c>
      <c r="R104" s="149">
        <f t="shared" si="49"/>
        <v>3.7252902984619141E-9</v>
      </c>
      <c r="S104" s="149">
        <f t="shared" si="50"/>
        <v>3319011.7496506763</v>
      </c>
      <c r="T104" s="163" t="str">
        <f t="shared" si="51"/>
        <v>En mora</v>
      </c>
      <c r="U104" s="149">
        <f>IF($A104="","",IF($A104&lt;=Inputs!$B$15,Inputs!$B$28,0))</f>
        <v>0</v>
      </c>
      <c r="V104" s="149">
        <f>IF($A104="","",IF($A104&lt;=Inputs!$B$15,Inputs!$B$29,0))</f>
        <v>0</v>
      </c>
      <c r="W104" s="149">
        <f>IF($A104="","",IF($A104&lt;=Inputs!$B$15,Inputs!$B$30,0))</f>
        <v>0</v>
      </c>
      <c r="X104" s="149">
        <f t="shared" si="38"/>
        <v>0</v>
      </c>
      <c r="Y104" s="149">
        <f t="shared" si="39"/>
        <v>0</v>
      </c>
      <c r="Z104" s="149">
        <f t="shared" si="40"/>
        <v>70732.200029455125</v>
      </c>
      <c r="AA104" s="149">
        <f>IF($B104="","",IF(OR($B105="",ROUNDUP(($A104+1)/Inputs!$B$14,0)&gt;$B104),SUMIF($B$4:$B104,$B104,U$4:U104),0))</f>
        <v>0</v>
      </c>
      <c r="AB104" s="149">
        <f>IF($B104="","",IF(OR($B105="",ROUNDUP(($A104+1)/Inputs!$B$14,0)&gt;$B104),SUMIF($B$4:$B104,$B104,V$4:V104),0))</f>
        <v>0</v>
      </c>
      <c r="AC104" s="149">
        <f>IF($B104="","",IF(OR($B105="",ROUNDUP(($A104+1)/Inputs!$B$14,0)&gt;$B104),SUMIF($B$4:$B104,$B104,W$4:W104),0))</f>
        <v>0</v>
      </c>
      <c r="AD104" s="18"/>
      <c r="AE104" s="18"/>
      <c r="AF104" s="18"/>
      <c r="AG104" s="18"/>
      <c r="AH104" s="18"/>
      <c r="AI104" s="18"/>
      <c r="AJ104" s="18"/>
      <c r="AK104" s="18"/>
    </row>
    <row r="105" spans="1:37" ht="18" customHeight="1">
      <c r="A105" s="157">
        <f>IF(A104="","",IF(AND(A104&gt;=Inputs!$B$15,S104+N104+O104+P104+Z104&lt;=0.005),"",IF(A104&gt;=Inputs!$C$67,"",A104+1)))</f>
        <v>102</v>
      </c>
      <c r="B105" s="77">
        <f>IF(A105="","",ROUNDUP(A105/Inputs!$B$14,0))</f>
        <v>24</v>
      </c>
      <c r="C105" s="160" t="str">
        <f>IF(A105="","",IF(A105&lt;Inputs!$C$66,"Pago normal",IF(A105&gt;Inputs!$B$15,"Periodo adicional con cobranza","Pago tardío + cobranza")))</f>
        <v>Periodo adicional con cobranza</v>
      </c>
      <c r="D105" s="149">
        <f t="shared" si="41"/>
        <v>3319011.7496506763</v>
      </c>
      <c r="E105" s="149">
        <f>IF(A105="","",D105*Inputs!$B$17)</f>
        <v>40303.742039010416</v>
      </c>
      <c r="F105" s="149">
        <f>IF(A105="","",IF(A105&lt;Inputs!$C$66,0,Q104*Inputs!$B$17+G105*(POWER(1+Inputs!$B$18,Inputs!$C$63)-1)))</f>
        <v>40303.742039010373</v>
      </c>
      <c r="G105" s="149">
        <f>IF(A105="","",IF(A105&lt;=Inputs!$B$15,INDEX(Caso1_Normal!$H$4:$H$89,A105),0))</f>
        <v>0</v>
      </c>
      <c r="H105" s="149">
        <f>IF(A105="","",IF(AND(A105&gt;=Inputs!$C$66,D105&gt;0.005),Inputs!$C$65,0))</f>
        <v>42000</v>
      </c>
      <c r="I105" s="149">
        <f>IF(A105="","",MIN(Inputs!$B$20+X105,D105+N104+H105+O104+F105+P104+E105+Z104+X105))</f>
        <v>111014.82187676849</v>
      </c>
      <c r="J105" s="149">
        <f t="shared" si="42"/>
        <v>42000</v>
      </c>
      <c r="K105" s="149">
        <f t="shared" si="43"/>
        <v>40303.742039010373</v>
      </c>
      <c r="L105" s="149">
        <f t="shared" si="44"/>
        <v>28711.079837758116</v>
      </c>
      <c r="M105" s="149">
        <f t="shared" si="37"/>
        <v>0</v>
      </c>
      <c r="N105" s="149">
        <f t="shared" si="45"/>
        <v>0</v>
      </c>
      <c r="O105" s="149">
        <f t="shared" si="46"/>
        <v>0</v>
      </c>
      <c r="P105" s="149">
        <f t="shared" si="47"/>
        <v>185482.5952200368</v>
      </c>
      <c r="Q105" s="149">
        <f t="shared" si="48"/>
        <v>3319011.7496506725</v>
      </c>
      <c r="R105" s="149">
        <f t="shared" si="49"/>
        <v>3.7252902984619141E-9</v>
      </c>
      <c r="S105" s="149">
        <f t="shared" si="50"/>
        <v>3319011.7496506763</v>
      </c>
      <c r="T105" s="163" t="str">
        <f t="shared" si="51"/>
        <v>En mora</v>
      </c>
      <c r="U105" s="149">
        <f>IF($A105="","",IF($A105&lt;=Inputs!$B$15,Inputs!$B$28,0))</f>
        <v>0</v>
      </c>
      <c r="V105" s="149">
        <f>IF($A105="","",IF($A105&lt;=Inputs!$B$15,Inputs!$B$29,0))</f>
        <v>0</v>
      </c>
      <c r="W105" s="149">
        <f>IF($A105="","",IF($A105&lt;=Inputs!$B$15,Inputs!$B$30,0))</f>
        <v>0</v>
      </c>
      <c r="X105" s="149">
        <f t="shared" si="38"/>
        <v>0</v>
      </c>
      <c r="Y105" s="149">
        <f t="shared" si="39"/>
        <v>0</v>
      </c>
      <c r="Z105" s="149">
        <f t="shared" si="40"/>
        <v>70732.200029455125</v>
      </c>
      <c r="AA105" s="149">
        <f>IF($B105="","",IF(OR($B106="",ROUNDUP(($A105+1)/Inputs!$B$14,0)&gt;$B105),SUMIF($B$4:$B105,$B105,U$4:U105),0))</f>
        <v>0</v>
      </c>
      <c r="AB105" s="149">
        <f>IF($B105="","",IF(OR($B106="",ROUNDUP(($A105+1)/Inputs!$B$14,0)&gt;$B105),SUMIF($B$4:$B105,$B105,V$4:V105),0))</f>
        <v>0</v>
      </c>
      <c r="AC105" s="149">
        <f>IF($B105="","",IF(OR($B106="",ROUNDUP(($A105+1)/Inputs!$B$14,0)&gt;$B105),SUMIF($B$4:$B105,$B105,W$4:W105),0))</f>
        <v>0</v>
      </c>
      <c r="AD105" s="18"/>
      <c r="AE105" s="18"/>
      <c r="AF105" s="18"/>
      <c r="AG105" s="18"/>
      <c r="AH105" s="18"/>
      <c r="AI105" s="18"/>
      <c r="AJ105" s="18"/>
      <c r="AK105" s="18"/>
    </row>
    <row r="106" spans="1:37" ht="18" customHeight="1">
      <c r="A106" s="157">
        <f>IF(A105="","",IF(AND(A105&gt;=Inputs!$B$15,S105+N105+O105+P105+Z105&lt;=0.005),"",IF(A105&gt;=Inputs!$C$67,"",A105+1)))</f>
        <v>103</v>
      </c>
      <c r="B106" s="77">
        <f>IF(A106="","",ROUNDUP(A106/Inputs!$B$14,0))</f>
        <v>24</v>
      </c>
      <c r="C106" s="160" t="str">
        <f>IF(A106="","",IF(A106&lt;Inputs!$C$66,"Pago normal",IF(A106&gt;Inputs!$B$15,"Periodo adicional con cobranza","Pago tardío + cobranza")))</f>
        <v>Periodo adicional con cobranza</v>
      </c>
      <c r="D106" s="149">
        <f t="shared" si="41"/>
        <v>3319011.7496506763</v>
      </c>
      <c r="E106" s="149">
        <f>IF(A106="","",D106*Inputs!$B$17)</f>
        <v>40303.742039010416</v>
      </c>
      <c r="F106" s="149">
        <f>IF(A106="","",IF(A106&lt;Inputs!$C$66,0,Q105*Inputs!$B$17+G106*(POWER(1+Inputs!$B$18,Inputs!$C$63)-1)))</f>
        <v>40303.742039010373</v>
      </c>
      <c r="G106" s="149">
        <f>IF(A106="","",IF(A106&lt;=Inputs!$B$15,INDEX(Caso1_Normal!$H$4:$H$89,A106),0))</f>
        <v>0</v>
      </c>
      <c r="H106" s="149">
        <f>IF(A106="","",IF(AND(A106&gt;=Inputs!$C$66,D106&gt;0.005),Inputs!$C$65,0))</f>
        <v>42000</v>
      </c>
      <c r="I106" s="149">
        <f>IF(A106="","",MIN(Inputs!$B$20+X106,D106+N105+H106+O105+F106+P105+E106+Z105+X106))</f>
        <v>111014.82187676849</v>
      </c>
      <c r="J106" s="149">
        <f t="shared" si="42"/>
        <v>42000</v>
      </c>
      <c r="K106" s="149">
        <f t="shared" si="43"/>
        <v>40303.742039010373</v>
      </c>
      <c r="L106" s="149">
        <f t="shared" si="44"/>
        <v>28711.079837758116</v>
      </c>
      <c r="M106" s="149">
        <f t="shared" si="37"/>
        <v>0</v>
      </c>
      <c r="N106" s="149">
        <f t="shared" si="45"/>
        <v>0</v>
      </c>
      <c r="O106" s="149">
        <f t="shared" si="46"/>
        <v>0</v>
      </c>
      <c r="P106" s="149">
        <f t="shared" si="47"/>
        <v>197075.2574212891</v>
      </c>
      <c r="Q106" s="149">
        <f t="shared" si="48"/>
        <v>3319011.7496506725</v>
      </c>
      <c r="R106" s="149">
        <f t="shared" si="49"/>
        <v>3.7252902984619141E-9</v>
      </c>
      <c r="S106" s="149">
        <f t="shared" si="50"/>
        <v>3319011.7496506763</v>
      </c>
      <c r="T106" s="163" t="str">
        <f t="shared" si="51"/>
        <v>En mora</v>
      </c>
      <c r="U106" s="149">
        <f>IF($A106="","",IF($A106&lt;=Inputs!$B$15,Inputs!$B$28,0))</f>
        <v>0</v>
      </c>
      <c r="V106" s="149">
        <f>IF($A106="","",IF($A106&lt;=Inputs!$B$15,Inputs!$B$29,0))</f>
        <v>0</v>
      </c>
      <c r="W106" s="149">
        <f>IF($A106="","",IF($A106&lt;=Inputs!$B$15,Inputs!$B$30,0))</f>
        <v>0</v>
      </c>
      <c r="X106" s="149">
        <f t="shared" si="38"/>
        <v>0</v>
      </c>
      <c r="Y106" s="149">
        <f t="shared" si="39"/>
        <v>0</v>
      </c>
      <c r="Z106" s="149">
        <f t="shared" si="40"/>
        <v>70732.200029455125</v>
      </c>
      <c r="AA106" s="149">
        <f>IF($B106="","",IF(OR($B107="",ROUNDUP(($A106+1)/Inputs!$B$14,0)&gt;$B106),SUMIF($B$4:$B106,$B106,U$4:U106),0))</f>
        <v>0</v>
      </c>
      <c r="AB106" s="149">
        <f>IF($B106="","",IF(OR($B107="",ROUNDUP(($A106+1)/Inputs!$B$14,0)&gt;$B106),SUMIF($B$4:$B106,$B106,V$4:V106),0))</f>
        <v>0</v>
      </c>
      <c r="AC106" s="149">
        <f>IF($B106="","",IF(OR($B107="",ROUNDUP(($A106+1)/Inputs!$B$14,0)&gt;$B106),SUMIF($B$4:$B106,$B106,W$4:W106),0))</f>
        <v>0</v>
      </c>
      <c r="AD106" s="18"/>
      <c r="AE106" s="18"/>
      <c r="AF106" s="18"/>
      <c r="AG106" s="18"/>
      <c r="AH106" s="18"/>
      <c r="AI106" s="18"/>
      <c r="AJ106" s="18"/>
      <c r="AK106" s="18"/>
    </row>
    <row r="107" spans="1:37" ht="18" customHeight="1">
      <c r="A107" s="157">
        <f>IF(A106="","",IF(AND(A106&gt;=Inputs!$B$15,S106+N106+O106+P106+Z106&lt;=0.005),"",IF(A106&gt;=Inputs!$C$67,"",A106+1)))</f>
        <v>104</v>
      </c>
      <c r="B107" s="77">
        <f>IF(A107="","",ROUNDUP(A107/Inputs!$B$14,0))</f>
        <v>24</v>
      </c>
      <c r="C107" s="160" t="str">
        <f>IF(A107="","",IF(A107&lt;Inputs!$C$66,"Pago normal",IF(A107&gt;Inputs!$B$15,"Periodo adicional con cobranza","Pago tardío + cobranza")))</f>
        <v>Periodo adicional con cobranza</v>
      </c>
      <c r="D107" s="149">
        <f t="shared" si="41"/>
        <v>3319011.7496506763</v>
      </c>
      <c r="E107" s="149">
        <f>IF(A107="","",D107*Inputs!$B$17)</f>
        <v>40303.742039010416</v>
      </c>
      <c r="F107" s="149">
        <f>IF(A107="","",IF(A107&lt;Inputs!$C$66,0,Q106*Inputs!$B$17+G107*(POWER(1+Inputs!$B$18,Inputs!$C$63)-1)))</f>
        <v>40303.742039010373</v>
      </c>
      <c r="G107" s="149">
        <f>IF(A107="","",IF(A107&lt;=Inputs!$B$15,INDEX(Caso1_Normal!$H$4:$H$89,A107),0))</f>
        <v>0</v>
      </c>
      <c r="H107" s="149">
        <f>IF(A107="","",IF(AND(A107&gt;=Inputs!$C$66,D107&gt;0.005),Inputs!$C$65,0))</f>
        <v>42000</v>
      </c>
      <c r="I107" s="149">
        <f>IF(A107="","",MIN(Inputs!$B$20+X107,D107+N106+H107+O106+F107+P106+E107+Z106+X107))</f>
        <v>111014.82187676849</v>
      </c>
      <c r="J107" s="149">
        <f t="shared" si="42"/>
        <v>42000</v>
      </c>
      <c r="K107" s="149">
        <f t="shared" si="43"/>
        <v>40303.742039010373</v>
      </c>
      <c r="L107" s="149">
        <f t="shared" si="44"/>
        <v>28711.079837758116</v>
      </c>
      <c r="M107" s="149">
        <f t="shared" si="37"/>
        <v>0</v>
      </c>
      <c r="N107" s="149">
        <f t="shared" si="45"/>
        <v>0</v>
      </c>
      <c r="O107" s="149">
        <f t="shared" si="46"/>
        <v>0</v>
      </c>
      <c r="P107" s="149">
        <f t="shared" si="47"/>
        <v>208667.91962254141</v>
      </c>
      <c r="Q107" s="149">
        <f t="shared" si="48"/>
        <v>3319011.7496506725</v>
      </c>
      <c r="R107" s="149">
        <f t="shared" si="49"/>
        <v>3.7252902984619141E-9</v>
      </c>
      <c r="S107" s="149">
        <f t="shared" si="50"/>
        <v>3319011.7496506763</v>
      </c>
      <c r="T107" s="163" t="str">
        <f t="shared" si="51"/>
        <v>En mora</v>
      </c>
      <c r="U107" s="149">
        <f>IF($A107="","",IF($A107&lt;=Inputs!$B$15,Inputs!$B$28,0))</f>
        <v>0</v>
      </c>
      <c r="V107" s="149">
        <f>IF($A107="","",IF($A107&lt;=Inputs!$B$15,Inputs!$B$29,0))</f>
        <v>0</v>
      </c>
      <c r="W107" s="149">
        <f>IF($A107="","",IF($A107&lt;=Inputs!$B$15,Inputs!$B$30,0))</f>
        <v>0</v>
      </c>
      <c r="X107" s="149">
        <f t="shared" si="38"/>
        <v>0</v>
      </c>
      <c r="Y107" s="149">
        <f t="shared" si="39"/>
        <v>0</v>
      </c>
      <c r="Z107" s="149">
        <f t="shared" si="40"/>
        <v>70732.200029455125</v>
      </c>
      <c r="AA107" s="149">
        <f>IF($B107="","",IF(OR($B108="",ROUNDUP(($A107+1)/Inputs!$B$14,0)&gt;$B107),SUMIF($B$4:$B107,$B107,U$4:U107),0))</f>
        <v>0</v>
      </c>
      <c r="AB107" s="149">
        <f>IF($B107="","",IF(OR($B108="",ROUNDUP(($A107+1)/Inputs!$B$14,0)&gt;$B107),SUMIF($B$4:$B107,$B107,V$4:V107),0))</f>
        <v>0</v>
      </c>
      <c r="AC107" s="149">
        <f>IF($B107="","",IF(OR($B108="",ROUNDUP(($A107+1)/Inputs!$B$14,0)&gt;$B107),SUMIF($B$4:$B107,$B107,W$4:W107),0))</f>
        <v>0</v>
      </c>
      <c r="AD107" s="18"/>
      <c r="AE107" s="18"/>
      <c r="AF107" s="18"/>
      <c r="AG107" s="18"/>
      <c r="AH107" s="18"/>
      <c r="AI107" s="18"/>
      <c r="AJ107" s="18"/>
      <c r="AK107" s="18"/>
    </row>
    <row r="108" spans="1:37" ht="18" customHeight="1">
      <c r="A108" s="157">
        <f>IF(A107="","",IF(AND(A107&gt;=Inputs!$B$15,S107+N107+O107+P107+Z107&lt;=0.005),"",IF(A107&gt;=Inputs!$C$67,"",A107+1)))</f>
        <v>105</v>
      </c>
      <c r="B108" s="77">
        <f>IF(A108="","",ROUNDUP(A108/Inputs!$B$14,0))</f>
        <v>25</v>
      </c>
      <c r="C108" s="160" t="str">
        <f>IF(A108="","",IF(A108&lt;Inputs!$C$66,"Pago normal",IF(A108&gt;Inputs!$B$15,"Periodo adicional con cobranza","Pago tardío + cobranza")))</f>
        <v>Periodo adicional con cobranza</v>
      </c>
      <c r="D108" s="149">
        <f t="shared" si="41"/>
        <v>3319011.7496506763</v>
      </c>
      <c r="E108" s="149">
        <f>IF(A108="","",D108*Inputs!$B$17)</f>
        <v>40303.742039010416</v>
      </c>
      <c r="F108" s="149">
        <f>IF(A108="","",IF(A108&lt;Inputs!$C$66,0,Q107*Inputs!$B$17+G108*(POWER(1+Inputs!$B$18,Inputs!$C$63)-1)))</f>
        <v>40303.742039010373</v>
      </c>
      <c r="G108" s="149">
        <f>IF(A108="","",IF(A108&lt;=Inputs!$B$15,INDEX(Caso1_Normal!$H$4:$H$89,A108),0))</f>
        <v>0</v>
      </c>
      <c r="H108" s="149">
        <f>IF(A108="","",IF(AND(A108&gt;=Inputs!$C$66,D108&gt;0.005),Inputs!$C$65,0))</f>
        <v>42000</v>
      </c>
      <c r="I108" s="149">
        <f>IF(A108="","",MIN(Inputs!$B$20+X108,D108+N107+H108+O107+F108+P107+E108+Z107+X108))</f>
        <v>111014.82187676849</v>
      </c>
      <c r="J108" s="149">
        <f t="shared" si="42"/>
        <v>42000</v>
      </c>
      <c r="K108" s="149">
        <f t="shared" si="43"/>
        <v>40303.742039010373</v>
      </c>
      <c r="L108" s="149">
        <f t="shared" si="44"/>
        <v>28711.079837758116</v>
      </c>
      <c r="M108" s="149">
        <f t="shared" si="37"/>
        <v>0</v>
      </c>
      <c r="N108" s="149">
        <f t="shared" si="45"/>
        <v>0</v>
      </c>
      <c r="O108" s="149">
        <f t="shared" si="46"/>
        <v>0</v>
      </c>
      <c r="P108" s="149">
        <f t="shared" si="47"/>
        <v>220260.58182379371</v>
      </c>
      <c r="Q108" s="149">
        <f t="shared" si="48"/>
        <v>3319011.7496506725</v>
      </c>
      <c r="R108" s="149">
        <f t="shared" si="49"/>
        <v>3.7252902984619141E-9</v>
      </c>
      <c r="S108" s="149">
        <f t="shared" si="50"/>
        <v>3319011.7496506763</v>
      </c>
      <c r="T108" s="163" t="str">
        <f t="shared" si="51"/>
        <v>En mora</v>
      </c>
      <c r="U108" s="149">
        <f>IF($A108="","",IF($A108&lt;=Inputs!$B$15,Inputs!$B$28,0))</f>
        <v>0</v>
      </c>
      <c r="V108" s="149">
        <f>IF($A108="","",IF($A108&lt;=Inputs!$B$15,Inputs!$B$29,0))</f>
        <v>0</v>
      </c>
      <c r="W108" s="149">
        <f>IF($A108="","",IF($A108&lt;=Inputs!$B$15,Inputs!$B$30,0))</f>
        <v>0</v>
      </c>
      <c r="X108" s="149">
        <f t="shared" si="38"/>
        <v>0</v>
      </c>
      <c r="Y108" s="149">
        <f t="shared" si="39"/>
        <v>0</v>
      </c>
      <c r="Z108" s="149">
        <f t="shared" si="40"/>
        <v>70732.200029455125</v>
      </c>
      <c r="AA108" s="149">
        <f>IF($B108="","",IF(OR($B109="",ROUNDUP(($A108+1)/Inputs!$B$14,0)&gt;$B108),SUMIF($B$4:$B108,$B108,U$4:U108),0))</f>
        <v>0</v>
      </c>
      <c r="AB108" s="149">
        <f>IF($B108="","",IF(OR($B109="",ROUNDUP(($A108+1)/Inputs!$B$14,0)&gt;$B108),SUMIF($B$4:$B108,$B108,V$4:V108),0))</f>
        <v>0</v>
      </c>
      <c r="AC108" s="149">
        <f>IF($B108="","",IF(OR($B109="",ROUNDUP(($A108+1)/Inputs!$B$14,0)&gt;$B108),SUMIF($B$4:$B108,$B108,W$4:W108),0))</f>
        <v>0</v>
      </c>
      <c r="AD108" s="18"/>
      <c r="AE108" s="18"/>
      <c r="AF108" s="18"/>
      <c r="AG108" s="18"/>
      <c r="AH108" s="18"/>
      <c r="AI108" s="18"/>
      <c r="AJ108" s="18"/>
      <c r="AK108" s="18"/>
    </row>
    <row r="109" spans="1:37" ht="18" customHeight="1">
      <c r="A109" s="157">
        <f>IF(A108="","",IF(AND(A108&gt;=Inputs!$B$15,S108+N108+O108+P108+Z108&lt;=0.005),"",IF(A108&gt;=Inputs!$C$67,"",A108+1)))</f>
        <v>106</v>
      </c>
      <c r="B109" s="77">
        <f>IF(A109="","",ROUNDUP(A109/Inputs!$B$14,0))</f>
        <v>25</v>
      </c>
      <c r="C109" s="160" t="str">
        <f>IF(A109="","",IF(A109&lt;Inputs!$C$66,"Pago normal",IF(A109&gt;Inputs!$B$15,"Periodo adicional con cobranza","Pago tardío + cobranza")))</f>
        <v>Periodo adicional con cobranza</v>
      </c>
      <c r="D109" s="149">
        <f t="shared" si="41"/>
        <v>3319011.7496506763</v>
      </c>
      <c r="E109" s="149">
        <f>IF(A109="","",D109*Inputs!$B$17)</f>
        <v>40303.742039010416</v>
      </c>
      <c r="F109" s="149">
        <f>IF(A109="","",IF(A109&lt;Inputs!$C$66,0,Q108*Inputs!$B$17+G109*(POWER(1+Inputs!$B$18,Inputs!$C$63)-1)))</f>
        <v>40303.742039010373</v>
      </c>
      <c r="G109" s="149">
        <f>IF(A109="","",IF(A109&lt;=Inputs!$B$15,INDEX(Caso1_Normal!$H$4:$H$89,A109),0))</f>
        <v>0</v>
      </c>
      <c r="H109" s="149">
        <f>IF(A109="","",IF(AND(A109&gt;=Inputs!$C$66,D109&gt;0.005),Inputs!$C$65,0))</f>
        <v>42000</v>
      </c>
      <c r="I109" s="149">
        <f>IF(A109="","",MIN(Inputs!$B$20+X109,D109+N108+H109+O108+F109+P108+E109+Z108+X109))</f>
        <v>111014.82187676849</v>
      </c>
      <c r="J109" s="149">
        <f t="shared" si="42"/>
        <v>42000</v>
      </c>
      <c r="K109" s="149">
        <f t="shared" si="43"/>
        <v>40303.742039010373</v>
      </c>
      <c r="L109" s="149">
        <f t="shared" si="44"/>
        <v>28711.079837758116</v>
      </c>
      <c r="M109" s="149">
        <f t="shared" si="37"/>
        <v>0</v>
      </c>
      <c r="N109" s="149">
        <f t="shared" si="45"/>
        <v>0</v>
      </c>
      <c r="O109" s="149">
        <f t="shared" si="46"/>
        <v>0</v>
      </c>
      <c r="P109" s="149">
        <f t="shared" si="47"/>
        <v>231853.24402504601</v>
      </c>
      <c r="Q109" s="149">
        <f t="shared" si="48"/>
        <v>3319011.7496506725</v>
      </c>
      <c r="R109" s="149">
        <f t="shared" si="49"/>
        <v>3.7252902984619141E-9</v>
      </c>
      <c r="S109" s="149">
        <f t="shared" si="50"/>
        <v>3319011.7496506763</v>
      </c>
      <c r="T109" s="163" t="str">
        <f t="shared" si="51"/>
        <v>En mora</v>
      </c>
      <c r="U109" s="149">
        <f>IF($A109="","",IF($A109&lt;=Inputs!$B$15,Inputs!$B$28,0))</f>
        <v>0</v>
      </c>
      <c r="V109" s="149">
        <f>IF($A109="","",IF($A109&lt;=Inputs!$B$15,Inputs!$B$29,0))</f>
        <v>0</v>
      </c>
      <c r="W109" s="149">
        <f>IF($A109="","",IF($A109&lt;=Inputs!$B$15,Inputs!$B$30,0))</f>
        <v>0</v>
      </c>
      <c r="X109" s="149">
        <f t="shared" si="38"/>
        <v>0</v>
      </c>
      <c r="Y109" s="149">
        <f t="shared" si="39"/>
        <v>0</v>
      </c>
      <c r="Z109" s="149">
        <f t="shared" si="40"/>
        <v>70732.200029455125</v>
      </c>
      <c r="AA109" s="149">
        <f>IF($B109="","",IF(OR($B110="",ROUNDUP(($A109+1)/Inputs!$B$14,0)&gt;$B109),SUMIF($B$4:$B109,$B109,U$4:U109),0))</f>
        <v>0</v>
      </c>
      <c r="AB109" s="149">
        <f>IF($B109="","",IF(OR($B110="",ROUNDUP(($A109+1)/Inputs!$B$14,0)&gt;$B109),SUMIF($B$4:$B109,$B109,V$4:V109),0))</f>
        <v>0</v>
      </c>
      <c r="AC109" s="149">
        <f>IF($B109="","",IF(OR($B110="",ROUNDUP(($A109+1)/Inputs!$B$14,0)&gt;$B109),SUMIF($B$4:$B109,$B109,W$4:W109),0))</f>
        <v>0</v>
      </c>
      <c r="AD109" s="18"/>
      <c r="AE109" s="18"/>
      <c r="AF109" s="18"/>
      <c r="AG109" s="18"/>
      <c r="AH109" s="18"/>
      <c r="AI109" s="18"/>
      <c r="AJ109" s="18"/>
      <c r="AK109" s="18"/>
    </row>
    <row r="110" spans="1:37" ht="18" customHeight="1">
      <c r="A110" s="157">
        <f>IF(A109="","",IF(AND(A109&gt;=Inputs!$B$15,S109+N109+O109+P109+Z109&lt;=0.005),"",IF(A109&gt;=Inputs!$C$67,"",A109+1)))</f>
        <v>107</v>
      </c>
      <c r="B110" s="77">
        <f>IF(A110="","",ROUNDUP(A110/Inputs!$B$14,0))</f>
        <v>25</v>
      </c>
      <c r="C110" s="160" t="str">
        <f>IF(A110="","",IF(A110&lt;Inputs!$C$66,"Pago normal",IF(A110&gt;Inputs!$B$15,"Periodo adicional con cobranza","Pago tardío + cobranza")))</f>
        <v>Periodo adicional con cobranza</v>
      </c>
      <c r="D110" s="149">
        <f t="shared" si="41"/>
        <v>3319011.7496506763</v>
      </c>
      <c r="E110" s="149">
        <f>IF(A110="","",D110*Inputs!$B$17)</f>
        <v>40303.742039010416</v>
      </c>
      <c r="F110" s="149">
        <f>IF(A110="","",IF(A110&lt;Inputs!$C$66,0,Q109*Inputs!$B$17+G110*(POWER(1+Inputs!$B$18,Inputs!$C$63)-1)))</f>
        <v>40303.742039010373</v>
      </c>
      <c r="G110" s="149">
        <f>IF(A110="","",IF(A110&lt;=Inputs!$B$15,INDEX(Caso1_Normal!$H$4:$H$89,A110),0))</f>
        <v>0</v>
      </c>
      <c r="H110" s="149">
        <f>IF(A110="","",IF(AND(A110&gt;=Inputs!$C$66,D110&gt;0.005),Inputs!$C$65,0))</f>
        <v>42000</v>
      </c>
      <c r="I110" s="149">
        <f>IF(A110="","",MIN(Inputs!$B$20+X110,D110+N109+H110+O109+F110+P109+E110+Z109+X110))</f>
        <v>111014.82187676849</v>
      </c>
      <c r="J110" s="149">
        <f t="shared" si="42"/>
        <v>42000</v>
      </c>
      <c r="K110" s="149">
        <f t="shared" si="43"/>
        <v>40303.742039010373</v>
      </c>
      <c r="L110" s="149">
        <f t="shared" si="44"/>
        <v>28711.079837758116</v>
      </c>
      <c r="M110" s="149">
        <f t="shared" si="37"/>
        <v>0</v>
      </c>
      <c r="N110" s="149">
        <f t="shared" si="45"/>
        <v>0</v>
      </c>
      <c r="O110" s="149">
        <f t="shared" si="46"/>
        <v>0</v>
      </c>
      <c r="P110" s="149">
        <f t="shared" si="47"/>
        <v>243445.90622629828</v>
      </c>
      <c r="Q110" s="149">
        <f t="shared" si="48"/>
        <v>3319011.7496506725</v>
      </c>
      <c r="R110" s="149">
        <f t="shared" si="49"/>
        <v>3.7252902984619141E-9</v>
      </c>
      <c r="S110" s="149">
        <f t="shared" si="50"/>
        <v>3319011.7496506763</v>
      </c>
      <c r="T110" s="163" t="str">
        <f t="shared" si="51"/>
        <v>En mora</v>
      </c>
      <c r="U110" s="149">
        <f>IF($A110="","",IF($A110&lt;=Inputs!$B$15,Inputs!$B$28,0))</f>
        <v>0</v>
      </c>
      <c r="V110" s="149">
        <f>IF($A110="","",IF($A110&lt;=Inputs!$B$15,Inputs!$B$29,0))</f>
        <v>0</v>
      </c>
      <c r="W110" s="149">
        <f>IF($A110="","",IF($A110&lt;=Inputs!$B$15,Inputs!$B$30,0))</f>
        <v>0</v>
      </c>
      <c r="X110" s="149">
        <f t="shared" si="38"/>
        <v>0</v>
      </c>
      <c r="Y110" s="149">
        <f t="shared" si="39"/>
        <v>0</v>
      </c>
      <c r="Z110" s="149">
        <f t="shared" si="40"/>
        <v>70732.200029455125</v>
      </c>
      <c r="AA110" s="149">
        <f>IF($B110="","",IF(OR($B111="",ROUNDUP(($A110+1)/Inputs!$B$14,0)&gt;$B110),SUMIF($B$4:$B110,$B110,U$4:U110),0))</f>
        <v>0</v>
      </c>
      <c r="AB110" s="149">
        <f>IF($B110="","",IF(OR($B111="",ROUNDUP(($A110+1)/Inputs!$B$14,0)&gt;$B110),SUMIF($B$4:$B110,$B110,V$4:V110),0))</f>
        <v>0</v>
      </c>
      <c r="AC110" s="149">
        <f>IF($B110="","",IF(OR($B111="",ROUNDUP(($A110+1)/Inputs!$B$14,0)&gt;$B110),SUMIF($B$4:$B110,$B110,W$4:W110),0))</f>
        <v>0</v>
      </c>
      <c r="AD110" s="18"/>
      <c r="AE110" s="18"/>
      <c r="AF110" s="18"/>
      <c r="AG110" s="18"/>
      <c r="AH110" s="18"/>
      <c r="AI110" s="18"/>
      <c r="AJ110" s="18"/>
      <c r="AK110" s="18"/>
    </row>
    <row r="111" spans="1:37" ht="18" customHeight="1">
      <c r="A111" s="157">
        <f>IF(A110="","",IF(AND(A110&gt;=Inputs!$B$15,S110+N110+O110+P110+Z110&lt;=0.005),"",IF(A110&gt;=Inputs!$C$67,"",A110+1)))</f>
        <v>108</v>
      </c>
      <c r="B111" s="77">
        <f>IF(A111="","",ROUNDUP(A111/Inputs!$B$14,0))</f>
        <v>25</v>
      </c>
      <c r="C111" s="160" t="str">
        <f>IF(A111="","",IF(A111&lt;Inputs!$C$66,"Pago normal",IF(A111&gt;Inputs!$B$15,"Periodo adicional con cobranza","Pago tardío + cobranza")))</f>
        <v>Periodo adicional con cobranza</v>
      </c>
      <c r="D111" s="149">
        <f t="shared" si="41"/>
        <v>3319011.7496506763</v>
      </c>
      <c r="E111" s="149">
        <f>IF(A111="","",D111*Inputs!$B$17)</f>
        <v>40303.742039010416</v>
      </c>
      <c r="F111" s="149">
        <f>IF(A111="","",IF(A111&lt;Inputs!$C$66,0,Q110*Inputs!$B$17+G111*(POWER(1+Inputs!$B$18,Inputs!$C$63)-1)))</f>
        <v>40303.742039010373</v>
      </c>
      <c r="G111" s="149">
        <f>IF(A111="","",IF(A111&lt;=Inputs!$B$15,INDEX(Caso1_Normal!$H$4:$H$89,A111),0))</f>
        <v>0</v>
      </c>
      <c r="H111" s="149">
        <f>IF(A111="","",IF(AND(A111&gt;=Inputs!$C$66,D111&gt;0.005),Inputs!$C$65,0))</f>
        <v>42000</v>
      </c>
      <c r="I111" s="149">
        <f>IF(A111="","",MIN(Inputs!$B$20+X111,D111+N110+H111+O110+F111+P110+E111+Z110+X111))</f>
        <v>111014.82187676849</v>
      </c>
      <c r="J111" s="149">
        <f t="shared" si="42"/>
        <v>42000</v>
      </c>
      <c r="K111" s="149">
        <f t="shared" si="43"/>
        <v>40303.742039010373</v>
      </c>
      <c r="L111" s="149">
        <f t="shared" si="44"/>
        <v>28711.079837758116</v>
      </c>
      <c r="M111" s="149">
        <f t="shared" si="37"/>
        <v>0</v>
      </c>
      <c r="N111" s="149">
        <f t="shared" si="45"/>
        <v>0</v>
      </c>
      <c r="O111" s="149">
        <f t="shared" si="46"/>
        <v>0</v>
      </c>
      <c r="P111" s="149">
        <f t="shared" si="47"/>
        <v>255038.56842755058</v>
      </c>
      <c r="Q111" s="149">
        <f t="shared" si="48"/>
        <v>3319011.7496506725</v>
      </c>
      <c r="R111" s="149">
        <f t="shared" si="49"/>
        <v>3.7252902984619141E-9</v>
      </c>
      <c r="S111" s="149">
        <f t="shared" si="50"/>
        <v>3319011.7496506763</v>
      </c>
      <c r="T111" s="163" t="str">
        <f t="shared" si="51"/>
        <v>En mora</v>
      </c>
      <c r="U111" s="149">
        <f>IF($A111="","",IF($A111&lt;=Inputs!$B$15,Inputs!$B$28,0))</f>
        <v>0</v>
      </c>
      <c r="V111" s="149">
        <f>IF($A111="","",IF($A111&lt;=Inputs!$B$15,Inputs!$B$29,0))</f>
        <v>0</v>
      </c>
      <c r="W111" s="149">
        <f>IF($A111="","",IF($A111&lt;=Inputs!$B$15,Inputs!$B$30,0))</f>
        <v>0</v>
      </c>
      <c r="X111" s="149">
        <f t="shared" si="38"/>
        <v>0</v>
      </c>
      <c r="Y111" s="149">
        <f t="shared" si="39"/>
        <v>0</v>
      </c>
      <c r="Z111" s="149">
        <f t="shared" si="40"/>
        <v>70732.200029455125</v>
      </c>
      <c r="AA111" s="149">
        <f>IF($B111="","",IF(OR($B112="",ROUNDUP(($A111+1)/Inputs!$B$14,0)&gt;$B111),SUMIF($B$4:$B111,$B111,U$4:U111),0))</f>
        <v>0</v>
      </c>
      <c r="AB111" s="149">
        <f>IF($B111="","",IF(OR($B112="",ROUNDUP(($A111+1)/Inputs!$B$14,0)&gt;$B111),SUMIF($B$4:$B111,$B111,V$4:V111),0))</f>
        <v>0</v>
      </c>
      <c r="AC111" s="149">
        <f>IF($B111="","",IF(OR($B112="",ROUNDUP(($A111+1)/Inputs!$B$14,0)&gt;$B111),SUMIF($B$4:$B111,$B111,W$4:W111),0))</f>
        <v>0</v>
      </c>
      <c r="AD111" s="18"/>
      <c r="AE111" s="18"/>
      <c r="AF111" s="18"/>
      <c r="AG111" s="18"/>
      <c r="AH111" s="18"/>
      <c r="AI111" s="18"/>
      <c r="AJ111" s="18"/>
      <c r="AK111" s="18"/>
    </row>
    <row r="112" spans="1:37" ht="18" customHeight="1">
      <c r="A112" s="157">
        <f>IF(A111="","",IF(AND(A111&gt;=Inputs!$B$15,S111+N111+O111+P111+Z111&lt;=0.005),"",IF(A111&gt;=Inputs!$C$67,"",A111+1)))</f>
        <v>109</v>
      </c>
      <c r="B112" s="77">
        <f>IF(A112="","",ROUNDUP(A112/Inputs!$B$14,0))</f>
        <v>26</v>
      </c>
      <c r="C112" s="160" t="str">
        <f>IF(A112="","",IF(A112&lt;Inputs!$C$66,"Pago normal",IF(A112&gt;Inputs!$B$15,"Periodo adicional con cobranza","Pago tardío + cobranza")))</f>
        <v>Periodo adicional con cobranza</v>
      </c>
      <c r="D112" s="149">
        <f t="shared" si="41"/>
        <v>3319011.7496506763</v>
      </c>
      <c r="E112" s="149">
        <f>IF(A112="","",D112*Inputs!$B$17)</f>
        <v>40303.742039010416</v>
      </c>
      <c r="F112" s="149">
        <f>IF(A112="","",IF(A112&lt;Inputs!$C$66,0,Q111*Inputs!$B$17+G112*(POWER(1+Inputs!$B$18,Inputs!$C$63)-1)))</f>
        <v>40303.742039010373</v>
      </c>
      <c r="G112" s="149">
        <f>IF(A112="","",IF(A112&lt;=Inputs!$B$15,INDEX(Caso1_Normal!$H$4:$H$89,A112),0))</f>
        <v>0</v>
      </c>
      <c r="H112" s="149">
        <f>IF(A112="","",IF(AND(A112&gt;=Inputs!$C$66,D112&gt;0.005),Inputs!$C$65,0))</f>
        <v>42000</v>
      </c>
      <c r="I112" s="149">
        <f>IF(A112="","",MIN(Inputs!$B$20+X112,D112+N111+H112+O111+F112+P111+E112+Z111+X112))</f>
        <v>111014.82187676849</v>
      </c>
      <c r="J112" s="149">
        <f t="shared" si="42"/>
        <v>42000</v>
      </c>
      <c r="K112" s="149">
        <f t="shared" si="43"/>
        <v>40303.742039010373</v>
      </c>
      <c r="L112" s="149">
        <f t="shared" si="44"/>
        <v>28711.079837758116</v>
      </c>
      <c r="M112" s="149">
        <f t="shared" si="37"/>
        <v>0</v>
      </c>
      <c r="N112" s="149">
        <f t="shared" si="45"/>
        <v>0</v>
      </c>
      <c r="O112" s="149">
        <f t="shared" si="46"/>
        <v>0</v>
      </c>
      <c r="P112" s="149">
        <f t="shared" si="47"/>
        <v>266631.23062880291</v>
      </c>
      <c r="Q112" s="149">
        <f t="shared" si="48"/>
        <v>3319011.7496506725</v>
      </c>
      <c r="R112" s="149">
        <f t="shared" si="49"/>
        <v>3.7252902984619141E-9</v>
      </c>
      <c r="S112" s="149">
        <f t="shared" si="50"/>
        <v>3319011.7496506763</v>
      </c>
      <c r="T112" s="163" t="str">
        <f t="shared" si="51"/>
        <v>En mora</v>
      </c>
      <c r="U112" s="149">
        <f>IF($A112="","",IF($A112&lt;=Inputs!$B$15,Inputs!$B$28,0))</f>
        <v>0</v>
      </c>
      <c r="V112" s="149">
        <f>IF($A112="","",IF($A112&lt;=Inputs!$B$15,Inputs!$B$29,0))</f>
        <v>0</v>
      </c>
      <c r="W112" s="149">
        <f>IF($A112="","",IF($A112&lt;=Inputs!$B$15,Inputs!$B$30,0))</f>
        <v>0</v>
      </c>
      <c r="X112" s="149">
        <f t="shared" si="38"/>
        <v>0</v>
      </c>
      <c r="Y112" s="149">
        <f t="shared" si="39"/>
        <v>0</v>
      </c>
      <c r="Z112" s="149">
        <f t="shared" si="40"/>
        <v>70732.200029455125</v>
      </c>
      <c r="AA112" s="149">
        <f>IF($B112="","",IF(OR($B113="",ROUNDUP(($A112+1)/Inputs!$B$14,0)&gt;$B112),SUMIF($B$4:$B112,$B112,U$4:U112),0))</f>
        <v>0</v>
      </c>
      <c r="AB112" s="149">
        <f>IF($B112="","",IF(OR($B113="",ROUNDUP(($A112+1)/Inputs!$B$14,0)&gt;$B112),SUMIF($B$4:$B112,$B112,V$4:V112),0))</f>
        <v>0</v>
      </c>
      <c r="AC112" s="149">
        <f>IF($B112="","",IF(OR($B113="",ROUNDUP(($A112+1)/Inputs!$B$14,0)&gt;$B112),SUMIF($B$4:$B112,$B112,W$4:W112),0))</f>
        <v>0</v>
      </c>
      <c r="AD112" s="18"/>
      <c r="AE112" s="18"/>
      <c r="AF112" s="18"/>
      <c r="AG112" s="18"/>
      <c r="AH112" s="18"/>
      <c r="AI112" s="18"/>
      <c r="AJ112" s="18"/>
      <c r="AK112" s="18"/>
    </row>
    <row r="113" spans="1:37" ht="18" customHeight="1">
      <c r="A113" s="157">
        <f>IF(A112="","",IF(AND(A112&gt;=Inputs!$B$15,S112+N112+O112+P112+Z112&lt;=0.005),"",IF(A112&gt;=Inputs!$C$67,"",A112+1)))</f>
        <v>110</v>
      </c>
      <c r="B113" s="77">
        <f>IF(A113="","",ROUNDUP(A113/Inputs!$B$14,0))</f>
        <v>26</v>
      </c>
      <c r="C113" s="160" t="str">
        <f>IF(A113="","",IF(A113&lt;Inputs!$C$66,"Pago normal",IF(A113&gt;Inputs!$B$15,"Periodo adicional con cobranza","Pago tardío + cobranza")))</f>
        <v>Periodo adicional con cobranza</v>
      </c>
      <c r="D113" s="149">
        <f t="shared" si="41"/>
        <v>3319011.7496506763</v>
      </c>
      <c r="E113" s="149">
        <f>IF(A113="","",D113*Inputs!$B$17)</f>
        <v>40303.742039010416</v>
      </c>
      <c r="F113" s="149">
        <f>IF(A113="","",IF(A113&lt;Inputs!$C$66,0,Q112*Inputs!$B$17+G113*(POWER(1+Inputs!$B$18,Inputs!$C$63)-1)))</f>
        <v>40303.742039010373</v>
      </c>
      <c r="G113" s="149">
        <f>IF(A113="","",IF(A113&lt;=Inputs!$B$15,INDEX(Caso1_Normal!$H$4:$H$89,A113),0))</f>
        <v>0</v>
      </c>
      <c r="H113" s="149">
        <f>IF(A113="","",IF(AND(A113&gt;=Inputs!$C$66,D113&gt;0.005),Inputs!$C$65,0))</f>
        <v>42000</v>
      </c>
      <c r="I113" s="149">
        <f>IF(A113="","",MIN(Inputs!$B$20+X113,D113+N112+H113+O112+F113+P112+E113+Z112+X113))</f>
        <v>111014.82187676849</v>
      </c>
      <c r="J113" s="149">
        <f t="shared" si="42"/>
        <v>42000</v>
      </c>
      <c r="K113" s="149">
        <f t="shared" si="43"/>
        <v>40303.742039010373</v>
      </c>
      <c r="L113" s="149">
        <f t="shared" si="44"/>
        <v>28711.079837758116</v>
      </c>
      <c r="M113" s="149">
        <f t="shared" si="37"/>
        <v>0</v>
      </c>
      <c r="N113" s="149">
        <f t="shared" si="45"/>
        <v>0</v>
      </c>
      <c r="O113" s="149">
        <f t="shared" si="46"/>
        <v>0</v>
      </c>
      <c r="P113" s="149">
        <f t="shared" si="47"/>
        <v>278223.89283005521</v>
      </c>
      <c r="Q113" s="149">
        <f t="shared" si="48"/>
        <v>3319011.7496506725</v>
      </c>
      <c r="R113" s="149">
        <f t="shared" si="49"/>
        <v>3.7252902984619141E-9</v>
      </c>
      <c r="S113" s="149">
        <f t="shared" si="50"/>
        <v>3319011.7496506763</v>
      </c>
      <c r="T113" s="163" t="str">
        <f t="shared" si="51"/>
        <v>En mora</v>
      </c>
      <c r="U113" s="149">
        <f>IF($A113="","",IF($A113&lt;=Inputs!$B$15,Inputs!$B$28,0))</f>
        <v>0</v>
      </c>
      <c r="V113" s="149">
        <f>IF($A113="","",IF($A113&lt;=Inputs!$B$15,Inputs!$B$29,0))</f>
        <v>0</v>
      </c>
      <c r="W113" s="149">
        <f>IF($A113="","",IF($A113&lt;=Inputs!$B$15,Inputs!$B$30,0))</f>
        <v>0</v>
      </c>
      <c r="X113" s="149">
        <f t="shared" si="38"/>
        <v>0</v>
      </c>
      <c r="Y113" s="149">
        <f t="shared" si="39"/>
        <v>0</v>
      </c>
      <c r="Z113" s="149">
        <f t="shared" si="40"/>
        <v>70732.200029455125</v>
      </c>
      <c r="AA113" s="149">
        <f>IF($B113="","",IF(OR($B114="",ROUNDUP(($A113+1)/Inputs!$B$14,0)&gt;$B113),SUMIF($B$4:$B113,$B113,U$4:U113),0))</f>
        <v>0</v>
      </c>
      <c r="AB113" s="149">
        <f>IF($B113="","",IF(OR($B114="",ROUNDUP(($A113+1)/Inputs!$B$14,0)&gt;$B113),SUMIF($B$4:$B113,$B113,V$4:V113),0))</f>
        <v>0</v>
      </c>
      <c r="AC113" s="149">
        <f>IF($B113="","",IF(OR($B114="",ROUNDUP(($A113+1)/Inputs!$B$14,0)&gt;$B113),SUMIF($B$4:$B113,$B113,W$4:W113),0))</f>
        <v>0</v>
      </c>
      <c r="AD113" s="18"/>
      <c r="AE113" s="18"/>
      <c r="AF113" s="18"/>
      <c r="AG113" s="18"/>
      <c r="AH113" s="18"/>
      <c r="AI113" s="18"/>
      <c r="AJ113" s="18"/>
      <c r="AK113" s="18"/>
    </row>
    <row r="114" spans="1:37" ht="18" customHeight="1">
      <c r="A114" s="157">
        <f>IF(A113="","",IF(AND(A113&gt;=Inputs!$B$15,S113+N113+O113+P113+Z113&lt;=0.005),"",IF(A113&gt;=Inputs!$C$67,"",A113+1)))</f>
        <v>111</v>
      </c>
      <c r="B114" s="77">
        <f>IF(A114="","",ROUNDUP(A114/Inputs!$B$14,0))</f>
        <v>26</v>
      </c>
      <c r="C114" s="160" t="str">
        <f>IF(A114="","",IF(A114&lt;Inputs!$C$66,"Pago normal",IF(A114&gt;Inputs!$B$15,"Periodo adicional con cobranza","Pago tardío + cobranza")))</f>
        <v>Periodo adicional con cobranza</v>
      </c>
      <c r="D114" s="149">
        <f t="shared" si="41"/>
        <v>3319011.7496506763</v>
      </c>
      <c r="E114" s="149">
        <f>IF(A114="","",D114*Inputs!$B$17)</f>
        <v>40303.742039010416</v>
      </c>
      <c r="F114" s="149">
        <f>IF(A114="","",IF(A114&lt;Inputs!$C$66,0,Q113*Inputs!$B$17+G114*(POWER(1+Inputs!$B$18,Inputs!$C$63)-1)))</f>
        <v>40303.742039010373</v>
      </c>
      <c r="G114" s="149">
        <f>IF(A114="","",IF(A114&lt;=Inputs!$B$15,INDEX(Caso1_Normal!$H$4:$H$89,A114),0))</f>
        <v>0</v>
      </c>
      <c r="H114" s="149">
        <f>IF(A114="","",IF(AND(A114&gt;=Inputs!$C$66,D114&gt;0.005),Inputs!$C$65,0))</f>
        <v>42000</v>
      </c>
      <c r="I114" s="149">
        <f>IF(A114="","",MIN(Inputs!$B$20+X114,D114+N113+H114+O113+F114+P113+E114+Z113+X114))</f>
        <v>111014.82187676849</v>
      </c>
      <c r="J114" s="149">
        <f t="shared" si="42"/>
        <v>42000</v>
      </c>
      <c r="K114" s="149">
        <f t="shared" si="43"/>
        <v>40303.742039010373</v>
      </c>
      <c r="L114" s="149">
        <f t="shared" si="44"/>
        <v>28711.079837758116</v>
      </c>
      <c r="M114" s="149">
        <f t="shared" si="37"/>
        <v>0</v>
      </c>
      <c r="N114" s="149">
        <f t="shared" si="45"/>
        <v>0</v>
      </c>
      <c r="O114" s="149">
        <f t="shared" si="46"/>
        <v>0</v>
      </c>
      <c r="P114" s="149">
        <f t="shared" si="47"/>
        <v>289816.55503130751</v>
      </c>
      <c r="Q114" s="149">
        <f t="shared" si="48"/>
        <v>3319011.7496506725</v>
      </c>
      <c r="R114" s="149">
        <f t="shared" si="49"/>
        <v>3.7252902984619141E-9</v>
      </c>
      <c r="S114" s="149">
        <f t="shared" si="50"/>
        <v>3319011.7496506763</v>
      </c>
      <c r="T114" s="163" t="str">
        <f t="shared" si="51"/>
        <v>En mora</v>
      </c>
      <c r="U114" s="149">
        <f>IF($A114="","",IF($A114&lt;=Inputs!$B$15,Inputs!$B$28,0))</f>
        <v>0</v>
      </c>
      <c r="V114" s="149">
        <f>IF($A114="","",IF($A114&lt;=Inputs!$B$15,Inputs!$B$29,0))</f>
        <v>0</v>
      </c>
      <c r="W114" s="149">
        <f>IF($A114="","",IF($A114&lt;=Inputs!$B$15,Inputs!$B$30,0))</f>
        <v>0</v>
      </c>
      <c r="X114" s="149">
        <f t="shared" si="38"/>
        <v>0</v>
      </c>
      <c r="Y114" s="149">
        <f t="shared" si="39"/>
        <v>0</v>
      </c>
      <c r="Z114" s="149">
        <f t="shared" si="40"/>
        <v>70732.200029455125</v>
      </c>
      <c r="AA114" s="149">
        <f>IF($B114="","",IF(OR($B115="",ROUNDUP(($A114+1)/Inputs!$B$14,0)&gt;$B114),SUMIF($B$4:$B114,$B114,U$4:U114),0))</f>
        <v>0</v>
      </c>
      <c r="AB114" s="149">
        <f>IF($B114="","",IF(OR($B115="",ROUNDUP(($A114+1)/Inputs!$B$14,0)&gt;$B114),SUMIF($B$4:$B114,$B114,V$4:V114),0))</f>
        <v>0</v>
      </c>
      <c r="AC114" s="149">
        <f>IF($B114="","",IF(OR($B115="",ROUNDUP(($A114+1)/Inputs!$B$14,0)&gt;$B114),SUMIF($B$4:$B114,$B114,W$4:W114),0))</f>
        <v>0</v>
      </c>
      <c r="AD114" s="18"/>
      <c r="AE114" s="18"/>
      <c r="AF114" s="18"/>
      <c r="AG114" s="18"/>
      <c r="AH114" s="18"/>
      <c r="AI114" s="18"/>
      <c r="AJ114" s="18"/>
      <c r="AK114" s="18"/>
    </row>
    <row r="115" spans="1:37" ht="18" customHeight="1">
      <c r="A115" s="157">
        <f>IF(A114="","",IF(AND(A114&gt;=Inputs!$B$15,S114+N114+O114+P114+Z114&lt;=0.005),"",IF(A114&gt;=Inputs!$C$67,"",A114+1)))</f>
        <v>112</v>
      </c>
      <c r="B115" s="77">
        <f>IF(A115="","",ROUNDUP(A115/Inputs!$B$14,0))</f>
        <v>26</v>
      </c>
      <c r="C115" s="160" t="str">
        <f>IF(A115="","",IF(A115&lt;Inputs!$C$66,"Pago normal",IF(A115&gt;Inputs!$B$15,"Periodo adicional con cobranza","Pago tardío + cobranza")))</f>
        <v>Periodo adicional con cobranza</v>
      </c>
      <c r="D115" s="149">
        <f t="shared" si="41"/>
        <v>3319011.7496506763</v>
      </c>
      <c r="E115" s="149">
        <f>IF(A115="","",D115*Inputs!$B$17)</f>
        <v>40303.742039010416</v>
      </c>
      <c r="F115" s="149">
        <f>IF(A115="","",IF(A115&lt;Inputs!$C$66,0,Q114*Inputs!$B$17+G115*(POWER(1+Inputs!$B$18,Inputs!$C$63)-1)))</f>
        <v>40303.742039010373</v>
      </c>
      <c r="G115" s="149">
        <f>IF(A115="","",IF(A115&lt;=Inputs!$B$15,INDEX(Caso1_Normal!$H$4:$H$89,A115),0))</f>
        <v>0</v>
      </c>
      <c r="H115" s="149">
        <f>IF(A115="","",IF(AND(A115&gt;=Inputs!$C$66,D115&gt;0.005),Inputs!$C$65,0))</f>
        <v>42000</v>
      </c>
      <c r="I115" s="149">
        <f>IF(A115="","",MIN(Inputs!$B$20+X115,D115+N114+H115+O114+F115+P114+E115+Z114+X115))</f>
        <v>111014.82187676849</v>
      </c>
      <c r="J115" s="149">
        <f t="shared" si="42"/>
        <v>42000</v>
      </c>
      <c r="K115" s="149">
        <f t="shared" si="43"/>
        <v>40303.742039010373</v>
      </c>
      <c r="L115" s="149">
        <f t="shared" si="44"/>
        <v>28711.079837758116</v>
      </c>
      <c r="M115" s="149">
        <f t="shared" si="37"/>
        <v>0</v>
      </c>
      <c r="N115" s="149">
        <f t="shared" si="45"/>
        <v>0</v>
      </c>
      <c r="O115" s="149">
        <f t="shared" si="46"/>
        <v>0</v>
      </c>
      <c r="P115" s="149">
        <f t="shared" si="47"/>
        <v>301409.21723255981</v>
      </c>
      <c r="Q115" s="149">
        <f t="shared" si="48"/>
        <v>3319011.7496506725</v>
      </c>
      <c r="R115" s="149">
        <f t="shared" si="49"/>
        <v>3.7252902984619141E-9</v>
      </c>
      <c r="S115" s="149">
        <f t="shared" si="50"/>
        <v>3319011.7496506763</v>
      </c>
      <c r="T115" s="163" t="str">
        <f t="shared" si="51"/>
        <v>En mora</v>
      </c>
      <c r="U115" s="149">
        <f>IF($A115="","",IF($A115&lt;=Inputs!$B$15,Inputs!$B$28,0))</f>
        <v>0</v>
      </c>
      <c r="V115" s="149">
        <f>IF($A115="","",IF($A115&lt;=Inputs!$B$15,Inputs!$B$29,0))</f>
        <v>0</v>
      </c>
      <c r="W115" s="149">
        <f>IF($A115="","",IF($A115&lt;=Inputs!$B$15,Inputs!$B$30,0))</f>
        <v>0</v>
      </c>
      <c r="X115" s="149">
        <f t="shared" si="38"/>
        <v>0</v>
      </c>
      <c r="Y115" s="149">
        <f t="shared" si="39"/>
        <v>0</v>
      </c>
      <c r="Z115" s="149">
        <f t="shared" si="40"/>
        <v>70732.200029455125</v>
      </c>
      <c r="AA115" s="149">
        <f>IF($B115="","",IF(OR($B116="",ROUNDUP(($A115+1)/Inputs!$B$14,0)&gt;$B115),SUMIF($B$4:$B115,$B115,U$4:U115),0))</f>
        <v>0</v>
      </c>
      <c r="AB115" s="149">
        <f>IF($B115="","",IF(OR($B116="",ROUNDUP(($A115+1)/Inputs!$B$14,0)&gt;$B115),SUMIF($B$4:$B115,$B115,V$4:V115),0))</f>
        <v>0</v>
      </c>
      <c r="AC115" s="149">
        <f>IF($B115="","",IF(OR($B116="",ROUNDUP(($A115+1)/Inputs!$B$14,0)&gt;$B115),SUMIF($B$4:$B115,$B115,W$4:W115),0))</f>
        <v>0</v>
      </c>
      <c r="AD115" s="18"/>
      <c r="AE115" s="18"/>
      <c r="AF115" s="18"/>
      <c r="AG115" s="18"/>
      <c r="AH115" s="18"/>
      <c r="AI115" s="18"/>
      <c r="AJ115" s="18"/>
      <c r="AK115" s="18"/>
    </row>
    <row r="116" spans="1:37" ht="18" customHeight="1">
      <c r="A116" s="157">
        <f>IF(A115="","",IF(AND(A115&gt;=Inputs!$B$15,S115+N115+O115+P115+Z115&lt;=0.005),"",IF(A115&gt;=Inputs!$C$67,"",A115+1)))</f>
        <v>113</v>
      </c>
      <c r="B116" s="77">
        <f>IF(A116="","",ROUNDUP(A116/Inputs!$B$14,0))</f>
        <v>27</v>
      </c>
      <c r="C116" s="160" t="str">
        <f>IF(A116="","",IF(A116&lt;Inputs!$C$66,"Pago normal",IF(A116&gt;Inputs!$B$15,"Periodo adicional con cobranza","Pago tardío + cobranza")))</f>
        <v>Periodo adicional con cobranza</v>
      </c>
      <c r="D116" s="149">
        <f t="shared" si="41"/>
        <v>3319011.7496506763</v>
      </c>
      <c r="E116" s="149">
        <f>IF(A116="","",D116*Inputs!$B$17)</f>
        <v>40303.742039010416</v>
      </c>
      <c r="F116" s="149">
        <f>IF(A116="","",IF(A116&lt;Inputs!$C$66,0,Q115*Inputs!$B$17+G116*(POWER(1+Inputs!$B$18,Inputs!$C$63)-1)))</f>
        <v>40303.742039010373</v>
      </c>
      <c r="G116" s="149">
        <f>IF(A116="","",IF(A116&lt;=Inputs!$B$15,INDEX(Caso1_Normal!$H$4:$H$89,A116),0))</f>
        <v>0</v>
      </c>
      <c r="H116" s="149">
        <f>IF(A116="","",IF(AND(A116&gt;=Inputs!$C$66,D116&gt;0.005),Inputs!$C$65,0))</f>
        <v>42000</v>
      </c>
      <c r="I116" s="149">
        <f>IF(A116="","",MIN(Inputs!$B$20+X116,D116+N115+H116+O115+F116+P115+E116+Z115+X116))</f>
        <v>111014.82187676849</v>
      </c>
      <c r="J116" s="149">
        <f t="shared" si="42"/>
        <v>42000</v>
      </c>
      <c r="K116" s="149">
        <f t="shared" si="43"/>
        <v>40303.742039010373</v>
      </c>
      <c r="L116" s="149">
        <f t="shared" si="44"/>
        <v>28711.079837758116</v>
      </c>
      <c r="M116" s="149">
        <f t="shared" si="37"/>
        <v>0</v>
      </c>
      <c r="N116" s="149">
        <f t="shared" si="45"/>
        <v>0</v>
      </c>
      <c r="O116" s="149">
        <f t="shared" si="46"/>
        <v>0</v>
      </c>
      <c r="P116" s="149">
        <f t="shared" si="47"/>
        <v>313001.87943381211</v>
      </c>
      <c r="Q116" s="149">
        <f t="shared" si="48"/>
        <v>3319011.7496506725</v>
      </c>
      <c r="R116" s="149">
        <f t="shared" si="49"/>
        <v>3.7252902984619141E-9</v>
      </c>
      <c r="S116" s="149">
        <f t="shared" si="50"/>
        <v>3319011.7496506763</v>
      </c>
      <c r="T116" s="163" t="str">
        <f t="shared" si="51"/>
        <v>En mora</v>
      </c>
      <c r="U116" s="149">
        <f>IF($A116="","",IF($A116&lt;=Inputs!$B$15,Inputs!$B$28,0))</f>
        <v>0</v>
      </c>
      <c r="V116" s="149">
        <f>IF($A116="","",IF($A116&lt;=Inputs!$B$15,Inputs!$B$29,0))</f>
        <v>0</v>
      </c>
      <c r="W116" s="149">
        <f>IF($A116="","",IF($A116&lt;=Inputs!$B$15,Inputs!$B$30,0))</f>
        <v>0</v>
      </c>
      <c r="X116" s="149">
        <f t="shared" si="38"/>
        <v>0</v>
      </c>
      <c r="Y116" s="149">
        <f t="shared" si="39"/>
        <v>0</v>
      </c>
      <c r="Z116" s="149">
        <f t="shared" si="40"/>
        <v>70732.200029455125</v>
      </c>
      <c r="AA116" s="149">
        <f>IF($B116="","",IF(OR($B117="",ROUNDUP(($A116+1)/Inputs!$B$14,0)&gt;$B116),SUMIF($B$4:$B116,$B116,U$4:U116),0))</f>
        <v>0</v>
      </c>
      <c r="AB116" s="149">
        <f>IF($B116="","",IF(OR($B117="",ROUNDUP(($A116+1)/Inputs!$B$14,0)&gt;$B116),SUMIF($B$4:$B116,$B116,V$4:V116),0))</f>
        <v>0</v>
      </c>
      <c r="AC116" s="149">
        <f>IF($B116="","",IF(OR($B117="",ROUNDUP(($A116+1)/Inputs!$B$14,0)&gt;$B116),SUMIF($B$4:$B116,$B116,W$4:W116),0))</f>
        <v>0</v>
      </c>
      <c r="AD116" s="18"/>
      <c r="AE116" s="18"/>
      <c r="AF116" s="18"/>
      <c r="AG116" s="18"/>
      <c r="AH116" s="18"/>
      <c r="AI116" s="18"/>
      <c r="AJ116" s="18"/>
      <c r="AK116" s="18"/>
    </row>
    <row r="117" spans="1:37" ht="18" customHeight="1">
      <c r="A117" s="157">
        <f>IF(A116="","",IF(AND(A116&gt;=Inputs!$B$15,S116+N116+O116+P116+Z116&lt;=0.005),"",IF(A116&gt;=Inputs!$C$67,"",A116+1)))</f>
        <v>114</v>
      </c>
      <c r="B117" s="77">
        <f>IF(A117="","",ROUNDUP(A117/Inputs!$B$14,0))</f>
        <v>27</v>
      </c>
      <c r="C117" s="160" t="str">
        <f>IF(A117="","",IF(A117&lt;Inputs!$C$66,"Pago normal",IF(A117&gt;Inputs!$B$15,"Periodo adicional con cobranza","Pago tardío + cobranza")))</f>
        <v>Periodo adicional con cobranza</v>
      </c>
      <c r="D117" s="149">
        <f t="shared" si="41"/>
        <v>3319011.7496506763</v>
      </c>
      <c r="E117" s="149">
        <f>IF(A117="","",D117*Inputs!$B$17)</f>
        <v>40303.742039010416</v>
      </c>
      <c r="F117" s="149">
        <f>IF(A117="","",IF(A117&lt;Inputs!$C$66,0,Q116*Inputs!$B$17+G117*(POWER(1+Inputs!$B$18,Inputs!$C$63)-1)))</f>
        <v>40303.742039010373</v>
      </c>
      <c r="G117" s="149">
        <f>IF(A117="","",IF(A117&lt;=Inputs!$B$15,INDEX(Caso1_Normal!$H$4:$H$89,A117),0))</f>
        <v>0</v>
      </c>
      <c r="H117" s="149">
        <f>IF(A117="","",IF(AND(A117&gt;=Inputs!$C$66,D117&gt;0.005),Inputs!$C$65,0))</f>
        <v>42000</v>
      </c>
      <c r="I117" s="149">
        <f>IF(A117="","",MIN(Inputs!$B$20+X117,D117+N116+H117+O116+F117+P116+E117+Z116+X117))</f>
        <v>111014.82187676849</v>
      </c>
      <c r="J117" s="149">
        <f t="shared" si="42"/>
        <v>42000</v>
      </c>
      <c r="K117" s="149">
        <f t="shared" si="43"/>
        <v>40303.742039010373</v>
      </c>
      <c r="L117" s="149">
        <f t="shared" si="44"/>
        <v>28711.079837758116</v>
      </c>
      <c r="M117" s="149">
        <f t="shared" si="37"/>
        <v>0</v>
      </c>
      <c r="N117" s="149">
        <f t="shared" si="45"/>
        <v>0</v>
      </c>
      <c r="O117" s="149">
        <f t="shared" si="46"/>
        <v>0</v>
      </c>
      <c r="P117" s="149">
        <f t="shared" si="47"/>
        <v>324594.54163506441</v>
      </c>
      <c r="Q117" s="149">
        <f t="shared" si="48"/>
        <v>3319011.7496506725</v>
      </c>
      <c r="R117" s="149">
        <f t="shared" si="49"/>
        <v>3.7252902984619141E-9</v>
      </c>
      <c r="S117" s="149">
        <f t="shared" si="50"/>
        <v>3319011.7496506763</v>
      </c>
      <c r="T117" s="163" t="str">
        <f t="shared" si="51"/>
        <v>En mora</v>
      </c>
      <c r="U117" s="149">
        <f>IF($A117="","",IF($A117&lt;=Inputs!$B$15,Inputs!$B$28,0))</f>
        <v>0</v>
      </c>
      <c r="V117" s="149">
        <f>IF($A117="","",IF($A117&lt;=Inputs!$B$15,Inputs!$B$29,0))</f>
        <v>0</v>
      </c>
      <c r="W117" s="149">
        <f>IF($A117="","",IF($A117&lt;=Inputs!$B$15,Inputs!$B$30,0))</f>
        <v>0</v>
      </c>
      <c r="X117" s="149">
        <f t="shared" si="38"/>
        <v>0</v>
      </c>
      <c r="Y117" s="149">
        <f t="shared" si="39"/>
        <v>0</v>
      </c>
      <c r="Z117" s="149">
        <f t="shared" si="40"/>
        <v>70732.200029455125</v>
      </c>
      <c r="AA117" s="149">
        <f>IF($B117="","",IF(OR($B118="",ROUNDUP(($A117+1)/Inputs!$B$14,0)&gt;$B117),SUMIF($B$4:$B117,$B117,U$4:U117),0))</f>
        <v>0</v>
      </c>
      <c r="AB117" s="149">
        <f>IF($B117="","",IF(OR($B118="",ROUNDUP(($A117+1)/Inputs!$B$14,0)&gt;$B117),SUMIF($B$4:$B117,$B117,V$4:V117),0))</f>
        <v>0</v>
      </c>
      <c r="AC117" s="149">
        <f>IF($B117="","",IF(OR($B118="",ROUNDUP(($A117+1)/Inputs!$B$14,0)&gt;$B117),SUMIF($B$4:$B117,$B117,W$4:W117),0))</f>
        <v>0</v>
      </c>
      <c r="AD117" s="18"/>
      <c r="AE117" s="18"/>
      <c r="AF117" s="18"/>
      <c r="AG117" s="18"/>
      <c r="AH117" s="18"/>
      <c r="AI117" s="18"/>
      <c r="AJ117" s="18"/>
      <c r="AK117" s="18"/>
    </row>
    <row r="118" spans="1:37" ht="18" customHeight="1">
      <c r="A118" s="157">
        <f>IF(A117="","",IF(AND(A117&gt;=Inputs!$B$15,S117+N117+O117+P117+Z117&lt;=0.005),"",IF(A117&gt;=Inputs!$C$67,"",A117+1)))</f>
        <v>115</v>
      </c>
      <c r="B118" s="77">
        <f>IF(A118="","",ROUNDUP(A118/Inputs!$B$14,0))</f>
        <v>27</v>
      </c>
      <c r="C118" s="160" t="str">
        <f>IF(A118="","",IF(A118&lt;Inputs!$C$66,"Pago normal",IF(A118&gt;Inputs!$B$15,"Periodo adicional con cobranza","Pago tardío + cobranza")))</f>
        <v>Periodo adicional con cobranza</v>
      </c>
      <c r="D118" s="149">
        <f t="shared" si="41"/>
        <v>3319011.7496506763</v>
      </c>
      <c r="E118" s="149">
        <f>IF(A118="","",D118*Inputs!$B$17)</f>
        <v>40303.742039010416</v>
      </c>
      <c r="F118" s="149">
        <f>IF(A118="","",IF(A118&lt;Inputs!$C$66,0,Q117*Inputs!$B$17+G118*(POWER(1+Inputs!$B$18,Inputs!$C$63)-1)))</f>
        <v>40303.742039010373</v>
      </c>
      <c r="G118" s="149">
        <f>IF(A118="","",IF(A118&lt;=Inputs!$B$15,INDEX(Caso1_Normal!$H$4:$H$89,A118),0))</f>
        <v>0</v>
      </c>
      <c r="H118" s="149">
        <f>IF(A118="","",IF(AND(A118&gt;=Inputs!$C$66,D118&gt;0.005),Inputs!$C$65,0))</f>
        <v>42000</v>
      </c>
      <c r="I118" s="149">
        <f>IF(A118="","",MIN(Inputs!$B$20+X118,D118+N117+H118+O117+F118+P117+E118+Z117+X118))</f>
        <v>111014.82187676849</v>
      </c>
      <c r="J118" s="149">
        <f t="shared" si="42"/>
        <v>42000</v>
      </c>
      <c r="K118" s="149">
        <f t="shared" si="43"/>
        <v>40303.742039010373</v>
      </c>
      <c r="L118" s="149">
        <f t="shared" si="44"/>
        <v>28711.079837758116</v>
      </c>
      <c r="M118" s="149">
        <f t="shared" si="37"/>
        <v>0</v>
      </c>
      <c r="N118" s="149">
        <f t="shared" si="45"/>
        <v>0</v>
      </c>
      <c r="O118" s="149">
        <f t="shared" si="46"/>
        <v>0</v>
      </c>
      <c r="P118" s="149">
        <f t="shared" si="47"/>
        <v>336187.20383631671</v>
      </c>
      <c r="Q118" s="149">
        <f t="shared" si="48"/>
        <v>3319011.7496506725</v>
      </c>
      <c r="R118" s="149">
        <f t="shared" si="49"/>
        <v>3.7252902984619141E-9</v>
      </c>
      <c r="S118" s="149">
        <f t="shared" si="50"/>
        <v>3319011.7496506763</v>
      </c>
      <c r="T118" s="163" t="str">
        <f t="shared" si="51"/>
        <v>En mora</v>
      </c>
      <c r="U118" s="149">
        <f>IF($A118="","",IF($A118&lt;=Inputs!$B$15,Inputs!$B$28,0))</f>
        <v>0</v>
      </c>
      <c r="V118" s="149">
        <f>IF($A118="","",IF($A118&lt;=Inputs!$B$15,Inputs!$B$29,0))</f>
        <v>0</v>
      </c>
      <c r="W118" s="149">
        <f>IF($A118="","",IF($A118&lt;=Inputs!$B$15,Inputs!$B$30,0))</f>
        <v>0</v>
      </c>
      <c r="X118" s="149">
        <f t="shared" si="38"/>
        <v>0</v>
      </c>
      <c r="Y118" s="149">
        <f t="shared" si="39"/>
        <v>0</v>
      </c>
      <c r="Z118" s="149">
        <f t="shared" si="40"/>
        <v>70732.200029455125</v>
      </c>
      <c r="AA118" s="149">
        <f>IF($B118="","",IF(OR($B119="",ROUNDUP(($A118+1)/Inputs!$B$14,0)&gt;$B118),SUMIF($B$4:$B118,$B118,U$4:U118),0))</f>
        <v>0</v>
      </c>
      <c r="AB118" s="149">
        <f>IF($B118="","",IF(OR($B119="",ROUNDUP(($A118+1)/Inputs!$B$14,0)&gt;$B118),SUMIF($B$4:$B118,$B118,V$4:V118),0))</f>
        <v>0</v>
      </c>
      <c r="AC118" s="149">
        <f>IF($B118="","",IF(OR($B119="",ROUNDUP(($A118+1)/Inputs!$B$14,0)&gt;$B118),SUMIF($B$4:$B118,$B118,W$4:W118),0))</f>
        <v>0</v>
      </c>
      <c r="AD118" s="18"/>
      <c r="AE118" s="18"/>
      <c r="AF118" s="18"/>
      <c r="AG118" s="18"/>
      <c r="AH118" s="18"/>
      <c r="AI118" s="18"/>
      <c r="AJ118" s="18"/>
      <c r="AK118" s="18"/>
    </row>
    <row r="119" spans="1:37" ht="18" customHeight="1">
      <c r="A119" s="157">
        <f>IF(A118="","",IF(AND(A118&gt;=Inputs!$B$15,S118+N118+O118+P118+Z118&lt;=0.005),"",IF(A118&gt;=Inputs!$C$67,"",A118+1)))</f>
        <v>116</v>
      </c>
      <c r="B119" s="77">
        <f>IF(A119="","",ROUNDUP(A119/Inputs!$B$14,0))</f>
        <v>27</v>
      </c>
      <c r="C119" s="160" t="str">
        <f>IF(A119="","",IF(A119&lt;Inputs!$C$66,"Pago normal",IF(A119&gt;Inputs!$B$15,"Periodo adicional con cobranza","Pago tardío + cobranza")))</f>
        <v>Periodo adicional con cobranza</v>
      </c>
      <c r="D119" s="149">
        <f t="shared" si="41"/>
        <v>3319011.7496506763</v>
      </c>
      <c r="E119" s="149">
        <f>IF(A119="","",D119*Inputs!$B$17)</f>
        <v>40303.742039010416</v>
      </c>
      <c r="F119" s="149">
        <f>IF(A119="","",IF(A119&lt;Inputs!$C$66,0,Q118*Inputs!$B$17+G119*(POWER(1+Inputs!$B$18,Inputs!$C$63)-1)))</f>
        <v>40303.742039010373</v>
      </c>
      <c r="G119" s="149">
        <f>IF(A119="","",IF(A119&lt;=Inputs!$B$15,INDEX(Caso1_Normal!$H$4:$H$89,A119),0))</f>
        <v>0</v>
      </c>
      <c r="H119" s="149">
        <f>IF(A119="","",IF(AND(A119&gt;=Inputs!$C$66,D119&gt;0.005),Inputs!$C$65,0))</f>
        <v>42000</v>
      </c>
      <c r="I119" s="149">
        <f>IF(A119="","",MIN(Inputs!$B$20+X119,D119+N118+H119+O118+F119+P118+E119+Z118+X119))</f>
        <v>111014.82187676849</v>
      </c>
      <c r="J119" s="149">
        <f t="shared" si="42"/>
        <v>42000</v>
      </c>
      <c r="K119" s="149">
        <f t="shared" si="43"/>
        <v>40303.742039010373</v>
      </c>
      <c r="L119" s="149">
        <f t="shared" si="44"/>
        <v>28711.079837758116</v>
      </c>
      <c r="M119" s="149">
        <f t="shared" si="37"/>
        <v>0</v>
      </c>
      <c r="N119" s="149">
        <f t="shared" si="45"/>
        <v>0</v>
      </c>
      <c r="O119" s="149">
        <f t="shared" si="46"/>
        <v>0</v>
      </c>
      <c r="P119" s="149">
        <f t="shared" si="47"/>
        <v>347779.86603756901</v>
      </c>
      <c r="Q119" s="149">
        <f t="shared" si="48"/>
        <v>3319011.7496506725</v>
      </c>
      <c r="R119" s="149">
        <f t="shared" si="49"/>
        <v>3.7252902984619141E-9</v>
      </c>
      <c r="S119" s="149">
        <f t="shared" si="50"/>
        <v>3319011.7496506763</v>
      </c>
      <c r="T119" s="163" t="str">
        <f t="shared" si="51"/>
        <v>En mora</v>
      </c>
      <c r="U119" s="149">
        <f>IF($A119="","",IF($A119&lt;=Inputs!$B$15,Inputs!$B$28,0))</f>
        <v>0</v>
      </c>
      <c r="V119" s="149">
        <f>IF($A119="","",IF($A119&lt;=Inputs!$B$15,Inputs!$B$29,0))</f>
        <v>0</v>
      </c>
      <c r="W119" s="149">
        <f>IF($A119="","",IF($A119&lt;=Inputs!$B$15,Inputs!$B$30,0))</f>
        <v>0</v>
      </c>
      <c r="X119" s="149">
        <f t="shared" si="38"/>
        <v>0</v>
      </c>
      <c r="Y119" s="149">
        <f t="shared" si="39"/>
        <v>0</v>
      </c>
      <c r="Z119" s="149">
        <f t="shared" si="40"/>
        <v>70732.200029455125</v>
      </c>
      <c r="AA119" s="149">
        <f>IF($B119="","",IF(OR($B120="",ROUNDUP(($A119+1)/Inputs!$B$14,0)&gt;$B119),SUMIF($B$4:$B119,$B119,U$4:U119),0))</f>
        <v>0</v>
      </c>
      <c r="AB119" s="149">
        <f>IF($B119="","",IF(OR($B120="",ROUNDUP(($A119+1)/Inputs!$B$14,0)&gt;$B119),SUMIF($B$4:$B119,$B119,V$4:V119),0))</f>
        <v>0</v>
      </c>
      <c r="AC119" s="149">
        <f>IF($B119="","",IF(OR($B120="",ROUNDUP(($A119+1)/Inputs!$B$14,0)&gt;$B119),SUMIF($B$4:$B119,$B119,W$4:W119),0))</f>
        <v>0</v>
      </c>
      <c r="AD119" s="18"/>
      <c r="AE119" s="18"/>
      <c r="AF119" s="18"/>
      <c r="AG119" s="18"/>
      <c r="AH119" s="18"/>
      <c r="AI119" s="18"/>
      <c r="AJ119" s="18"/>
      <c r="AK119" s="18"/>
    </row>
    <row r="120" spans="1:37" ht="18" customHeight="1">
      <c r="A120" s="157">
        <f>IF(A119="","",IF(AND(A119&gt;=Inputs!$B$15,S119+N119+O119+P119+Z119&lt;=0.005),"",IF(A119&gt;=Inputs!$C$67,"",A119+1)))</f>
        <v>117</v>
      </c>
      <c r="B120" s="77">
        <f>IF(A120="","",ROUNDUP(A120/Inputs!$B$14,0))</f>
        <v>27</v>
      </c>
      <c r="C120" s="160" t="str">
        <f>IF(A120="","",IF(A120&lt;Inputs!$C$66,"Pago normal",IF(A120&gt;Inputs!$B$15,"Periodo adicional con cobranza","Pago tardío + cobranza")))</f>
        <v>Periodo adicional con cobranza</v>
      </c>
      <c r="D120" s="149">
        <f t="shared" si="41"/>
        <v>3319011.7496506763</v>
      </c>
      <c r="E120" s="149">
        <f>IF(A120="","",D120*Inputs!$B$17)</f>
        <v>40303.742039010416</v>
      </c>
      <c r="F120" s="149">
        <f>IF(A120="","",IF(A120&lt;Inputs!$C$66,0,Q119*Inputs!$B$17+G120*(POWER(1+Inputs!$B$18,Inputs!$C$63)-1)))</f>
        <v>40303.742039010373</v>
      </c>
      <c r="G120" s="149">
        <f>IF(A120="","",IF(A120&lt;=Inputs!$B$15,INDEX(Caso1_Normal!$H$4:$H$89,A120),0))</f>
        <v>0</v>
      </c>
      <c r="H120" s="149">
        <f>IF(A120="","",IF(AND(A120&gt;=Inputs!$C$66,D120&gt;0.005),Inputs!$C$65,0))</f>
        <v>42000</v>
      </c>
      <c r="I120" s="149">
        <f>IF(A120="","",MIN(Inputs!$B$20+X120,D120+N119+H120+O119+F120+P119+E120+Z119+X120))</f>
        <v>111014.82187676849</v>
      </c>
      <c r="J120" s="149">
        <f t="shared" si="42"/>
        <v>42000</v>
      </c>
      <c r="K120" s="149">
        <f t="shared" si="43"/>
        <v>40303.742039010373</v>
      </c>
      <c r="L120" s="149">
        <f t="shared" si="44"/>
        <v>28711.079837758116</v>
      </c>
      <c r="M120" s="149">
        <f t="shared" si="37"/>
        <v>0</v>
      </c>
      <c r="N120" s="149">
        <f t="shared" si="45"/>
        <v>0</v>
      </c>
      <c r="O120" s="149">
        <f t="shared" si="46"/>
        <v>0</v>
      </c>
      <c r="P120" s="149">
        <f t="shared" si="47"/>
        <v>359372.52823882131</v>
      </c>
      <c r="Q120" s="149">
        <f t="shared" si="48"/>
        <v>3319011.7496506725</v>
      </c>
      <c r="R120" s="149">
        <f t="shared" si="49"/>
        <v>3.7252902984619141E-9</v>
      </c>
      <c r="S120" s="149">
        <f t="shared" si="50"/>
        <v>3319011.7496506763</v>
      </c>
      <c r="T120" s="163" t="str">
        <f t="shared" si="51"/>
        <v>En mora</v>
      </c>
      <c r="U120" s="149">
        <f>IF($A120="","",IF($A120&lt;=Inputs!$B$15,Inputs!$B$28,0))</f>
        <v>0</v>
      </c>
      <c r="V120" s="149">
        <f>IF($A120="","",IF($A120&lt;=Inputs!$B$15,Inputs!$B$29,0))</f>
        <v>0</v>
      </c>
      <c r="W120" s="149">
        <f>IF($A120="","",IF($A120&lt;=Inputs!$B$15,Inputs!$B$30,0))</f>
        <v>0</v>
      </c>
      <c r="X120" s="149">
        <f t="shared" si="38"/>
        <v>0</v>
      </c>
      <c r="Y120" s="149">
        <f t="shared" si="39"/>
        <v>0</v>
      </c>
      <c r="Z120" s="149">
        <f t="shared" si="40"/>
        <v>70732.200029455125</v>
      </c>
      <c r="AA120" s="149">
        <f>IF($B120="","",IF(OR($B121="",ROUNDUP(($A120+1)/Inputs!$B$14,0)&gt;$B120),SUMIF($B$4:$B120,$B120,U$4:U120),0))</f>
        <v>0</v>
      </c>
      <c r="AB120" s="149">
        <f>IF($B120="","",IF(OR($B121="",ROUNDUP(($A120+1)/Inputs!$B$14,0)&gt;$B120),SUMIF($B$4:$B120,$B120,V$4:V120),0))</f>
        <v>0</v>
      </c>
      <c r="AC120" s="149">
        <f>IF($B120="","",IF(OR($B121="",ROUNDUP(($A120+1)/Inputs!$B$14,0)&gt;$B120),SUMIF($B$4:$B120,$B120,W$4:W120),0))</f>
        <v>0</v>
      </c>
      <c r="AD120" s="18"/>
      <c r="AE120" s="18"/>
      <c r="AF120" s="18"/>
      <c r="AG120" s="18"/>
      <c r="AH120" s="18"/>
      <c r="AI120" s="18"/>
      <c r="AJ120" s="18"/>
      <c r="AK120" s="18"/>
    </row>
    <row r="121" spans="1:37" ht="18" customHeight="1">
      <c r="A121" s="157">
        <f>IF(A120="","",IF(AND(A120&gt;=Inputs!$B$15,S120+N120+O120+P120+Z120&lt;=0.005),"",IF(A120&gt;=Inputs!$C$67,"",A120+1)))</f>
        <v>118</v>
      </c>
      <c r="B121" s="77">
        <f>IF(A121="","",ROUNDUP(A121/Inputs!$B$14,0))</f>
        <v>28</v>
      </c>
      <c r="C121" s="160" t="str">
        <f>IF(A121="","",IF(A121&lt;Inputs!$C$66,"Pago normal",IF(A121&gt;Inputs!$B$15,"Periodo adicional con cobranza","Pago tardío + cobranza")))</f>
        <v>Periodo adicional con cobranza</v>
      </c>
      <c r="D121" s="149">
        <f t="shared" si="41"/>
        <v>3319011.7496506763</v>
      </c>
      <c r="E121" s="149">
        <f>IF(A121="","",D121*Inputs!$B$17)</f>
        <v>40303.742039010416</v>
      </c>
      <c r="F121" s="149">
        <f>IF(A121="","",IF(A121&lt;Inputs!$C$66,0,Q120*Inputs!$B$17+G121*(POWER(1+Inputs!$B$18,Inputs!$C$63)-1)))</f>
        <v>40303.742039010373</v>
      </c>
      <c r="G121" s="149">
        <f>IF(A121="","",IF(A121&lt;=Inputs!$B$15,INDEX(Caso1_Normal!$H$4:$H$89,A121),0))</f>
        <v>0</v>
      </c>
      <c r="H121" s="149">
        <f>IF(A121="","",IF(AND(A121&gt;=Inputs!$C$66,D121&gt;0.005),Inputs!$C$65,0))</f>
        <v>42000</v>
      </c>
      <c r="I121" s="149">
        <f>IF(A121="","",MIN(Inputs!$B$20+X121,D121+N120+H121+O120+F121+P120+E121+Z120+X121))</f>
        <v>111014.82187676849</v>
      </c>
      <c r="J121" s="149">
        <f t="shared" si="42"/>
        <v>42000</v>
      </c>
      <c r="K121" s="149">
        <f t="shared" si="43"/>
        <v>40303.742039010373</v>
      </c>
      <c r="L121" s="149">
        <f t="shared" si="44"/>
        <v>28711.079837758116</v>
      </c>
      <c r="M121" s="149">
        <f t="shared" si="37"/>
        <v>0</v>
      </c>
      <c r="N121" s="149">
        <f t="shared" si="45"/>
        <v>0</v>
      </c>
      <c r="O121" s="149">
        <f t="shared" si="46"/>
        <v>0</v>
      </c>
      <c r="P121" s="149">
        <f t="shared" si="47"/>
        <v>370965.19044007361</v>
      </c>
      <c r="Q121" s="149">
        <f t="shared" si="48"/>
        <v>3319011.7496506725</v>
      </c>
      <c r="R121" s="149">
        <f t="shared" si="49"/>
        <v>3.7252902984619141E-9</v>
      </c>
      <c r="S121" s="149">
        <f t="shared" si="50"/>
        <v>3319011.7496506763</v>
      </c>
      <c r="T121" s="163" t="str">
        <f t="shared" si="51"/>
        <v>En mora</v>
      </c>
      <c r="U121" s="149">
        <f>IF($A121="","",IF($A121&lt;=Inputs!$B$15,Inputs!$B$28,0))</f>
        <v>0</v>
      </c>
      <c r="V121" s="149">
        <f>IF($A121="","",IF($A121&lt;=Inputs!$B$15,Inputs!$B$29,0))</f>
        <v>0</v>
      </c>
      <c r="W121" s="149">
        <f>IF($A121="","",IF($A121&lt;=Inputs!$B$15,Inputs!$B$30,0))</f>
        <v>0</v>
      </c>
      <c r="X121" s="149">
        <f t="shared" si="38"/>
        <v>0</v>
      </c>
      <c r="Y121" s="149">
        <f t="shared" si="39"/>
        <v>0</v>
      </c>
      <c r="Z121" s="149">
        <f t="shared" si="40"/>
        <v>70732.200029455125</v>
      </c>
      <c r="AA121" s="149">
        <f>IF($B121="","",IF(OR($B122="",ROUNDUP(($A121+1)/Inputs!$B$14,0)&gt;$B121),SUMIF($B$4:$B121,$B121,U$4:U121),0))</f>
        <v>0</v>
      </c>
      <c r="AB121" s="149">
        <f>IF($B121="","",IF(OR($B122="",ROUNDUP(($A121+1)/Inputs!$B$14,0)&gt;$B121),SUMIF($B$4:$B121,$B121,V$4:V121),0))</f>
        <v>0</v>
      </c>
      <c r="AC121" s="149">
        <f>IF($B121="","",IF(OR($B122="",ROUNDUP(($A121+1)/Inputs!$B$14,0)&gt;$B121),SUMIF($B$4:$B121,$B121,W$4:W121),0))</f>
        <v>0</v>
      </c>
      <c r="AD121" s="18"/>
      <c r="AE121" s="18"/>
      <c r="AF121" s="18"/>
      <c r="AG121" s="18"/>
      <c r="AH121" s="18"/>
      <c r="AI121" s="18"/>
      <c r="AJ121" s="18"/>
      <c r="AK121" s="18"/>
    </row>
    <row r="122" spans="1:37" ht="18" customHeight="1">
      <c r="A122" s="157">
        <f>IF(A121="","",IF(AND(A121&gt;=Inputs!$B$15,S121+N121+O121+P121+Z121&lt;=0.005),"",IF(A121&gt;=Inputs!$C$67,"",A121+1)))</f>
        <v>119</v>
      </c>
      <c r="B122" s="77">
        <f>IF(A122="","",ROUNDUP(A122/Inputs!$B$14,0))</f>
        <v>28</v>
      </c>
      <c r="C122" s="160" t="str">
        <f>IF(A122="","",IF(A122&lt;Inputs!$C$66,"Pago normal",IF(A122&gt;Inputs!$B$15,"Periodo adicional con cobranza","Pago tardío + cobranza")))</f>
        <v>Periodo adicional con cobranza</v>
      </c>
      <c r="D122" s="149">
        <f t="shared" si="41"/>
        <v>3319011.7496506763</v>
      </c>
      <c r="E122" s="149">
        <f>IF(A122="","",D122*Inputs!$B$17)</f>
        <v>40303.742039010416</v>
      </c>
      <c r="F122" s="149">
        <f>IF(A122="","",IF(A122&lt;Inputs!$C$66,0,Q121*Inputs!$B$17+G122*(POWER(1+Inputs!$B$18,Inputs!$C$63)-1)))</f>
        <v>40303.742039010373</v>
      </c>
      <c r="G122" s="149">
        <f>IF(A122="","",IF(A122&lt;=Inputs!$B$15,INDEX(Caso1_Normal!$H$4:$H$89,A122),0))</f>
        <v>0</v>
      </c>
      <c r="H122" s="149">
        <f>IF(A122="","",IF(AND(A122&gt;=Inputs!$C$66,D122&gt;0.005),Inputs!$C$65,0))</f>
        <v>42000</v>
      </c>
      <c r="I122" s="149">
        <f>IF(A122="","",MIN(Inputs!$B$20+X122,D122+N121+H122+O121+F122+P121+E122+Z121+X122))</f>
        <v>111014.82187676849</v>
      </c>
      <c r="J122" s="149">
        <f t="shared" si="42"/>
        <v>42000</v>
      </c>
      <c r="K122" s="149">
        <f t="shared" si="43"/>
        <v>40303.742039010373</v>
      </c>
      <c r="L122" s="149">
        <f t="shared" si="44"/>
        <v>28711.079837758116</v>
      </c>
      <c r="M122" s="149">
        <f t="shared" si="37"/>
        <v>0</v>
      </c>
      <c r="N122" s="149">
        <f t="shared" si="45"/>
        <v>0</v>
      </c>
      <c r="O122" s="149">
        <f t="shared" si="46"/>
        <v>0</v>
      </c>
      <c r="P122" s="149">
        <f t="shared" si="47"/>
        <v>382557.85264132591</v>
      </c>
      <c r="Q122" s="149">
        <f t="shared" si="48"/>
        <v>3319011.7496506725</v>
      </c>
      <c r="R122" s="149">
        <f t="shared" si="49"/>
        <v>3.7252902984619141E-9</v>
      </c>
      <c r="S122" s="149">
        <f t="shared" si="50"/>
        <v>3319011.7496506763</v>
      </c>
      <c r="T122" s="163" t="str">
        <f t="shared" si="51"/>
        <v>En mora</v>
      </c>
      <c r="U122" s="149">
        <f>IF($A122="","",IF($A122&lt;=Inputs!$B$15,Inputs!$B$28,0))</f>
        <v>0</v>
      </c>
      <c r="V122" s="149">
        <f>IF($A122="","",IF($A122&lt;=Inputs!$B$15,Inputs!$B$29,0))</f>
        <v>0</v>
      </c>
      <c r="W122" s="149">
        <f>IF($A122="","",IF($A122&lt;=Inputs!$B$15,Inputs!$B$30,0))</f>
        <v>0</v>
      </c>
      <c r="X122" s="149">
        <f t="shared" si="38"/>
        <v>0</v>
      </c>
      <c r="Y122" s="149">
        <f t="shared" si="39"/>
        <v>0</v>
      </c>
      <c r="Z122" s="149">
        <f t="shared" si="40"/>
        <v>70732.200029455125</v>
      </c>
      <c r="AA122" s="149">
        <f>IF($B122="","",IF(OR($B123="",ROUNDUP(($A122+1)/Inputs!$B$14,0)&gt;$B122),SUMIF($B$4:$B122,$B122,U$4:U122),0))</f>
        <v>0</v>
      </c>
      <c r="AB122" s="149">
        <f>IF($B122="","",IF(OR($B123="",ROUNDUP(($A122+1)/Inputs!$B$14,0)&gt;$B122),SUMIF($B$4:$B122,$B122,V$4:V122),0))</f>
        <v>0</v>
      </c>
      <c r="AC122" s="149">
        <f>IF($B122="","",IF(OR($B123="",ROUNDUP(($A122+1)/Inputs!$B$14,0)&gt;$B122),SUMIF($B$4:$B122,$B122,W$4:W122),0))</f>
        <v>0</v>
      </c>
      <c r="AD122" s="18"/>
      <c r="AE122" s="18"/>
      <c r="AF122" s="18"/>
      <c r="AG122" s="18"/>
      <c r="AH122" s="18"/>
      <c r="AI122" s="18"/>
      <c r="AJ122" s="18"/>
      <c r="AK122" s="18"/>
    </row>
    <row r="123" spans="1:37" ht="18" customHeight="1">
      <c r="A123" s="158">
        <f>IF(A122="","",IF(AND(A122&gt;=Inputs!$B$15,S122+N122+O122+P122+Z122&lt;=0.005),"",IF(A122&gt;=Inputs!$C$67,"",A122+1)))</f>
        <v>120</v>
      </c>
      <c r="B123" s="78">
        <f>IF(A123="","",ROUNDUP(A123/Inputs!$B$14,0))</f>
        <v>28</v>
      </c>
      <c r="C123" s="161" t="str">
        <f>IF(A123="","",IF(A123&lt;Inputs!$C$66,"Pago normal",IF(A123&gt;Inputs!$B$15,"Periodo adicional con cobranza","Pago tardío + cobranza")))</f>
        <v>Periodo adicional con cobranza</v>
      </c>
      <c r="D123" s="151">
        <f t="shared" si="41"/>
        <v>3319011.7496506763</v>
      </c>
      <c r="E123" s="151">
        <f>IF(A123="","",D123*Inputs!$B$17)</f>
        <v>40303.742039010416</v>
      </c>
      <c r="F123" s="151">
        <f>IF(A123="","",IF(A123&lt;Inputs!$C$66,0,Q122*Inputs!$B$17+G123*(POWER(1+Inputs!$B$18,Inputs!$C$63)-1)))</f>
        <v>40303.742039010373</v>
      </c>
      <c r="G123" s="151">
        <f>IF(A123="","",IF(A123&lt;=Inputs!$B$15,INDEX(Caso1_Normal!$H$4:$H$89,A123),0))</f>
        <v>0</v>
      </c>
      <c r="H123" s="151">
        <f>IF(A123="","",IF(AND(A123&gt;=Inputs!$C$66,D123&gt;0.005),Inputs!$C$65,0))</f>
        <v>42000</v>
      </c>
      <c r="I123" s="151">
        <f>IF(A123="","",MIN(Inputs!$B$20+X123,D123+N122+H123+O122+F123+P122+E123+Z122+X123))</f>
        <v>111014.82187676849</v>
      </c>
      <c r="J123" s="151">
        <f t="shared" si="42"/>
        <v>42000</v>
      </c>
      <c r="K123" s="151">
        <f t="shared" si="43"/>
        <v>40303.742039010373</v>
      </c>
      <c r="L123" s="151">
        <f t="shared" si="44"/>
        <v>28711.079837758116</v>
      </c>
      <c r="M123" s="151">
        <f t="shared" si="37"/>
        <v>0</v>
      </c>
      <c r="N123" s="151">
        <f t="shared" si="45"/>
        <v>0</v>
      </c>
      <c r="O123" s="151">
        <f t="shared" si="46"/>
        <v>0</v>
      </c>
      <c r="P123" s="151">
        <f t="shared" si="47"/>
        <v>394150.51484257821</v>
      </c>
      <c r="Q123" s="151">
        <f t="shared" si="48"/>
        <v>3319011.7496506725</v>
      </c>
      <c r="R123" s="151">
        <f t="shared" si="49"/>
        <v>3.7252902984619141E-9</v>
      </c>
      <c r="S123" s="151">
        <f t="shared" si="50"/>
        <v>3319011.7496506763</v>
      </c>
      <c r="T123" s="164" t="str">
        <f t="shared" si="51"/>
        <v>En mora</v>
      </c>
      <c r="U123" s="151">
        <f>IF($A123="","",IF($A123&lt;=Inputs!$B$15,Inputs!$B$28,0))</f>
        <v>0</v>
      </c>
      <c r="V123" s="151">
        <f>IF($A123="","",IF($A123&lt;=Inputs!$B$15,Inputs!$B$29,0))</f>
        <v>0</v>
      </c>
      <c r="W123" s="151">
        <f>IF($A123="","",IF($A123&lt;=Inputs!$B$15,Inputs!$B$30,0))</f>
        <v>0</v>
      </c>
      <c r="X123" s="151">
        <f t="shared" si="38"/>
        <v>0</v>
      </c>
      <c r="Y123" s="151">
        <f t="shared" si="39"/>
        <v>0</v>
      </c>
      <c r="Z123" s="151">
        <f t="shared" si="40"/>
        <v>70732.200029455125</v>
      </c>
      <c r="AA123" s="151">
        <f>IF($B123="","",IF(OR($B124="",ROUNDUP(($A123+1)/Inputs!$B$14,0)&gt;$B123),SUMIF($B$4:$B123,$B123,U$4:U123),0))</f>
        <v>0</v>
      </c>
      <c r="AB123" s="151">
        <f>IF($B123="","",IF(OR($B124="",ROUNDUP(($A123+1)/Inputs!$B$14,0)&gt;$B123),SUMIF($B$4:$B123,$B123,V$4:V123),0))</f>
        <v>0</v>
      </c>
      <c r="AC123" s="151">
        <f>IF($B123="","",IF(OR($B124="",ROUNDUP(($A123+1)/Inputs!$B$14,0)&gt;$B123),SUMIF($B$4:$B123,$B123,W$4:W123),0))</f>
        <v>0</v>
      </c>
      <c r="AD123" s="18"/>
      <c r="AE123" s="18"/>
      <c r="AF123" s="18"/>
      <c r="AG123" s="18"/>
      <c r="AH123" s="18"/>
      <c r="AI123" s="18"/>
      <c r="AJ123" s="18"/>
      <c r="AK123" s="18"/>
    </row>
    <row r="124" spans="1:37" ht="18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</row>
    <row r="125" spans="1:37" ht="18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</row>
    <row r="126" spans="1:37" ht="18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</row>
    <row r="127" spans="1:37" ht="18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</row>
    <row r="128" spans="1:37" ht="18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</row>
    <row r="129" spans="31:34" ht="15" customHeight="1">
      <c r="AE129" s="18"/>
      <c r="AF129" s="18"/>
      <c r="AG129" s="18"/>
      <c r="AH129" s="18"/>
    </row>
  </sheetData>
  <conditionalFormatting sqref="A4:AC123">
    <cfRule type="expression" dxfId="8" priority="1">
      <formula>AND($C4&lt;&gt;"",$C4&lt;&gt;"Pago normal")</formula>
    </cfRule>
    <cfRule type="expression" dxfId="7" priority="2">
      <formula>AND(ISNUMBER($A4),MOD($A4,2)=0)</formula>
    </cfRule>
  </conditionalFormatting>
  <conditionalFormatting sqref="T4:T123">
    <cfRule type="containsText" dxfId="6" priority="3" operator="containsText" text="mora">
      <formula>NOT(ISERROR(SEARCH("mora",T4)))</formula>
    </cfRule>
    <cfRule type="containsText" dxfId="5" priority="4" operator="containsText" text="Vigente">
      <formula>NOT(ISERROR(SEARCH("Vigente",T4)))</formula>
    </cfRule>
    <cfRule type="containsText" dxfId="4" priority="5" operator="containsText" text="Amortiz">
      <formula>NOT(ISERROR(SEARCH("Amortiz",T4)))</formula>
    </cfRule>
    <cfRule type="containsText" dxfId="3" priority="6" operator="containsText" text="Cerrado">
      <formula>NOT(ISERROR(SEARCH("Cerrado",T4)))</formula>
    </cfRule>
    <cfRule type="containsText" dxfId="2" priority="7" operator="containsText" text="Cancel">
      <formula>NOT(ISERROR(SEARCH("Cancel",T4)))</formula>
    </cfRule>
  </conditionalFormatting>
  <conditionalFormatting sqref="AH25">
    <cfRule type="expression" dxfId="1" priority="8">
      <formula>ABS(AH25)&lt;0.5</formula>
    </cfRule>
    <cfRule type="expression" dxfId="0" priority="9">
      <formula>ABS(AH25)&gt;=0.5</formula>
    </cfRule>
  </conditionalFormatting>
  <hyperlinks>
    <hyperlink ref="AE28" location="'Casos'!A1" tooltip="Abrir Casos" display="←  Volver a Casos" xr:uid="{F01F5BFA-8D2C-45B3-BEE6-DFD47B911A30}"/>
    <hyperlink ref="AE29" location="'Inputs'!A1" tooltip="Abrir Inputs" display="←  Ir a Inputs (parámetros)" xr:uid="{299CD8E1-3FB0-4F99-A60A-F148EA106C94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35"/>
  <sheetViews>
    <sheetView workbookViewId="0">
      <selection activeCell="G21" sqref="G21"/>
    </sheetView>
  </sheetViews>
  <sheetFormatPr baseColWidth="10" defaultColWidth="8.796875" defaultRowHeight="15" customHeight="1"/>
  <cols>
    <col min="1" max="1" width="13.796875" style="10" customWidth="1"/>
    <col min="2" max="2" width="11" style="10" customWidth="1"/>
    <col min="3" max="3" width="18" style="10" customWidth="1"/>
    <col min="4" max="4" width="28" style="10" customWidth="1"/>
    <col min="5" max="5" width="13" style="10" customWidth="1"/>
    <col min="6" max="6" width="20" style="10" customWidth="1"/>
    <col min="7" max="7" width="13" style="10" customWidth="1"/>
    <col min="8" max="8" width="12" style="10" customWidth="1"/>
    <col min="9" max="9" width="9" style="10" customWidth="1"/>
    <col min="10" max="10" width="67.5" style="10" customWidth="1"/>
    <col min="11" max="16384" width="8.796875" style="10"/>
  </cols>
  <sheetData>
    <row r="1" spans="1:10" ht="15" customHeight="1">
      <c r="A1" s="8" t="s">
        <v>197</v>
      </c>
      <c r="B1" s="9"/>
      <c r="C1" s="9"/>
      <c r="D1" s="9"/>
      <c r="E1" s="9"/>
      <c r="F1" s="9"/>
      <c r="G1" s="9"/>
      <c r="H1" s="9"/>
      <c r="I1" s="9"/>
      <c r="J1" s="9"/>
    </row>
    <row r="2" spans="1:10" ht="15" customHeight="1">
      <c r="A2" s="5" t="s">
        <v>248</v>
      </c>
      <c r="B2" s="5" t="s">
        <v>12</v>
      </c>
      <c r="C2" s="5" t="s">
        <v>78</v>
      </c>
      <c r="D2" s="5" t="s">
        <v>198</v>
      </c>
      <c r="E2" s="5" t="s">
        <v>24</v>
      </c>
      <c r="F2" s="5" t="s">
        <v>199</v>
      </c>
      <c r="G2" s="5" t="s">
        <v>67</v>
      </c>
      <c r="H2" s="5" t="s">
        <v>76</v>
      </c>
      <c r="I2" s="5" t="s">
        <v>77</v>
      </c>
      <c r="J2" s="5" t="s">
        <v>249</v>
      </c>
    </row>
    <row r="3" spans="1:10" ht="15" customHeight="1">
      <c r="A3" s="4">
        <v>1</v>
      </c>
      <c r="B3" s="4" t="s">
        <v>200</v>
      </c>
      <c r="C3" s="4" t="s">
        <v>201</v>
      </c>
      <c r="D3" s="4" t="s">
        <v>202</v>
      </c>
      <c r="E3" s="4" t="s">
        <v>68</v>
      </c>
      <c r="F3" s="15"/>
      <c r="G3" s="11">
        <f>IF(E3="Dinero",Inputs!$B$71,IF(E3="Tasa",Inputs!$B$72,IF(E3="Conteo",Inputs!$B$73,Inputs!$B$74)))</f>
        <v>1</v>
      </c>
      <c r="H3" s="4">
        <v>0</v>
      </c>
      <c r="I3" s="4">
        <v>0</v>
      </c>
      <c r="J3" s="14"/>
    </row>
    <row r="4" spans="1:10" ht="15" customHeight="1">
      <c r="A4" s="4">
        <v>2</v>
      </c>
      <c r="B4" s="4" t="s">
        <v>200</v>
      </c>
      <c r="C4" s="4" t="s">
        <v>203</v>
      </c>
      <c r="D4" s="4" t="s">
        <v>29</v>
      </c>
      <c r="E4" s="4" t="s">
        <v>69</v>
      </c>
      <c r="F4" s="16"/>
      <c r="G4" s="12">
        <f>IF(E4="Dinero",Inputs!$B$71,IF(E4="Tasa",Inputs!$B$72,IF(E4="Conteo",Inputs!$B$73,Inputs!$B$74)))</f>
        <v>9.9999999999999995E-7</v>
      </c>
      <c r="H4" s="4">
        <v>1</v>
      </c>
      <c r="I4" s="4">
        <v>1</v>
      </c>
      <c r="J4" s="14"/>
    </row>
    <row r="5" spans="1:10" ht="15" customHeight="1">
      <c r="A5" s="4">
        <v>3</v>
      </c>
      <c r="B5" s="4" t="s">
        <v>200</v>
      </c>
      <c r="C5" s="4" t="s">
        <v>203</v>
      </c>
      <c r="D5" s="4" t="s">
        <v>73</v>
      </c>
      <c r="E5" s="4" t="s">
        <v>68</v>
      </c>
      <c r="F5" s="15"/>
      <c r="G5" s="11">
        <f>IF(E5="Dinero",Inputs!$B$71,IF(E5="Tasa",Inputs!$B$72,IF(E5="Conteo",Inputs!$B$73,Inputs!$B$74)))</f>
        <v>1</v>
      </c>
      <c r="H5" s="4">
        <v>1</v>
      </c>
      <c r="I5" s="4">
        <v>1</v>
      </c>
      <c r="J5" s="14"/>
    </row>
    <row r="6" spans="1:10" ht="15" customHeight="1">
      <c r="A6" s="4">
        <v>4</v>
      </c>
      <c r="B6" s="4" t="s">
        <v>200</v>
      </c>
      <c r="C6" s="4" t="s">
        <v>204</v>
      </c>
      <c r="D6" s="4" t="s">
        <v>86</v>
      </c>
      <c r="E6" s="4" t="s">
        <v>68</v>
      </c>
      <c r="F6" s="15"/>
      <c r="G6" s="11">
        <f>IF(E6="Dinero",Inputs!$B$71,IF(E6="Tasa",Inputs!$B$72,IF(E6="Conteo",Inputs!$B$73,Inputs!$B$74)))</f>
        <v>1</v>
      </c>
      <c r="H6" s="4">
        <f>Inputs!$B$15</f>
        <v>86</v>
      </c>
      <c r="I6" s="4">
        <f>ROUNDUP(Inputs!$B$15/Inputs!$B$14,0)</f>
        <v>20</v>
      </c>
      <c r="J6" s="14"/>
    </row>
    <row r="7" spans="1:10" ht="15" customHeight="1">
      <c r="A7" s="4">
        <v>5</v>
      </c>
      <c r="B7" s="4" t="s">
        <v>200</v>
      </c>
      <c r="C7" s="4" t="s">
        <v>205</v>
      </c>
      <c r="D7" s="4" t="s">
        <v>87</v>
      </c>
      <c r="E7" s="4" t="s">
        <v>68</v>
      </c>
      <c r="F7" s="15"/>
      <c r="G7" s="11">
        <f>IF(E7="Dinero",Inputs!$B$71,IF(E7="Tasa",Inputs!$B$72,IF(E7="Conteo",Inputs!$B$73,Inputs!$B$74)))</f>
        <v>1</v>
      </c>
      <c r="H7" s="4">
        <f>ROUNDDOWN(Inputs!$B$14,0)</f>
        <v>4</v>
      </c>
      <c r="I7" s="4">
        <v>1</v>
      </c>
      <c r="J7" s="14"/>
    </row>
    <row r="8" spans="1:10" ht="15" customHeight="1">
      <c r="A8" s="4">
        <v>6</v>
      </c>
      <c r="B8" s="4" t="s">
        <v>35</v>
      </c>
      <c r="C8" s="4" t="s">
        <v>206</v>
      </c>
      <c r="D8" s="4" t="s">
        <v>109</v>
      </c>
      <c r="E8" s="4" t="s">
        <v>70</v>
      </c>
      <c r="F8" s="17"/>
      <c r="G8" s="13">
        <f>IF(E8="Dinero",Inputs!$B$71,IF(E8="Tasa",Inputs!$B$72,IF(E8="Conteo",Inputs!$B$73,Inputs!$B$74)))</f>
        <v>0</v>
      </c>
      <c r="H8" s="4">
        <f>Inputs!$C$39</f>
        <v>44</v>
      </c>
      <c r="I8" s="4">
        <f>Inputs!$C$36</f>
        <v>11</v>
      </c>
      <c r="J8" s="14"/>
    </row>
    <row r="9" spans="1:10" ht="15" customHeight="1">
      <c r="A9" s="4">
        <v>7</v>
      </c>
      <c r="B9" s="4" t="s">
        <v>35</v>
      </c>
      <c r="C9" s="4" t="s">
        <v>206</v>
      </c>
      <c r="D9" s="4" t="s">
        <v>38</v>
      </c>
      <c r="E9" s="4" t="s">
        <v>69</v>
      </c>
      <c r="F9" s="16"/>
      <c r="G9" s="12">
        <f>IF(E9="Dinero",Inputs!$B$71,IF(E9="Tasa",Inputs!$B$72,IF(E9="Conteo",Inputs!$B$73,Inputs!$B$74)))</f>
        <v>9.9999999999999995E-7</v>
      </c>
      <c r="H9" s="4">
        <f>Inputs!$C$39</f>
        <v>44</v>
      </c>
      <c r="I9" s="4">
        <f>Inputs!$C$36</f>
        <v>11</v>
      </c>
      <c r="J9" s="14"/>
    </row>
    <row r="10" spans="1:10" ht="15" customHeight="1">
      <c r="A10" s="4">
        <v>8</v>
      </c>
      <c r="B10" s="4" t="s">
        <v>35</v>
      </c>
      <c r="C10" s="4" t="s">
        <v>206</v>
      </c>
      <c r="D10" s="4" t="s">
        <v>110</v>
      </c>
      <c r="E10" s="4" t="s">
        <v>68</v>
      </c>
      <c r="F10" s="15"/>
      <c r="G10" s="11">
        <f>IF(E10="Dinero",Inputs!$B$71,IF(E10="Tasa",Inputs!$B$72,IF(E10="Conteo",Inputs!$B$73,Inputs!$B$74)))</f>
        <v>1</v>
      </c>
      <c r="H10" s="4">
        <f>Inputs!$C$39</f>
        <v>44</v>
      </c>
      <c r="I10" s="4">
        <f>Inputs!$C$36</f>
        <v>11</v>
      </c>
      <c r="J10" s="14"/>
    </row>
    <row r="11" spans="1:10" ht="15" customHeight="1">
      <c r="A11" s="4">
        <v>9</v>
      </c>
      <c r="B11" s="4" t="s">
        <v>35</v>
      </c>
      <c r="C11" s="4" t="s">
        <v>204</v>
      </c>
      <c r="D11" s="4" t="s">
        <v>86</v>
      </c>
      <c r="E11" s="4" t="s">
        <v>68</v>
      </c>
      <c r="F11" s="15"/>
      <c r="G11" s="11">
        <f>IF(E11="Dinero",Inputs!$B$71,IF(E11="Tasa",Inputs!$B$72,IF(E11="Conteo",Inputs!$B$73,Inputs!$B$74)))</f>
        <v>1</v>
      </c>
      <c r="H11" s="4">
        <f>Inputs!$B$15</f>
        <v>86</v>
      </c>
      <c r="I11" s="4">
        <f>ROUNDUP(Inputs!$B$15/Inputs!$B$14,0)</f>
        <v>20</v>
      </c>
      <c r="J11" s="14"/>
    </row>
    <row r="12" spans="1:10" ht="15" customHeight="1">
      <c r="A12" s="4">
        <v>10</v>
      </c>
      <c r="B12" s="4" t="s">
        <v>39</v>
      </c>
      <c r="C12" s="4" t="s">
        <v>207</v>
      </c>
      <c r="D12" s="4" t="s">
        <v>117</v>
      </c>
      <c r="E12" s="4" t="s">
        <v>70</v>
      </c>
      <c r="F12" s="17"/>
      <c r="G12" s="13">
        <f>IF(E12="Dinero",Inputs!$B$71,IF(E12="Tasa",Inputs!$B$72,IF(E12="Conteo",Inputs!$B$73,Inputs!$B$74)))</f>
        <v>0</v>
      </c>
      <c r="H12" s="4">
        <f>Inputs!$C$44</f>
        <v>34</v>
      </c>
      <c r="I12" s="4">
        <f>Inputs!$C$41</f>
        <v>8</v>
      </c>
      <c r="J12" s="14"/>
    </row>
    <row r="13" spans="1:10" ht="15" customHeight="1">
      <c r="A13" s="4">
        <v>11</v>
      </c>
      <c r="B13" s="4" t="s">
        <v>39</v>
      </c>
      <c r="C13" s="4" t="s">
        <v>208</v>
      </c>
      <c r="D13" s="4" t="s">
        <v>118</v>
      </c>
      <c r="E13" s="4" t="s">
        <v>68</v>
      </c>
      <c r="F13" s="15"/>
      <c r="G13" s="11">
        <f>IF(E13="Dinero",Inputs!$B$71,IF(E13="Tasa",Inputs!$B$72,IF(E13="Conteo",Inputs!$B$73,Inputs!$B$74)))</f>
        <v>1</v>
      </c>
      <c r="H13" s="4">
        <f>Inputs!$C$44</f>
        <v>34</v>
      </c>
      <c r="I13" s="4">
        <f>Inputs!$C$41</f>
        <v>8</v>
      </c>
      <c r="J13" s="14"/>
    </row>
    <row r="14" spans="1:10" ht="15" customHeight="1">
      <c r="A14" s="4">
        <v>12</v>
      </c>
      <c r="B14" s="4" t="s">
        <v>39</v>
      </c>
      <c r="C14" s="4" t="s">
        <v>208</v>
      </c>
      <c r="D14" s="4" t="s">
        <v>124</v>
      </c>
      <c r="E14" s="4" t="s">
        <v>68</v>
      </c>
      <c r="F14" s="15"/>
      <c r="G14" s="11">
        <f>IF(E14="Dinero",Inputs!$B$71,IF(E14="Tasa",Inputs!$B$72,IF(E14="Conteo",Inputs!$B$73,Inputs!$B$74)))</f>
        <v>1</v>
      </c>
      <c r="H14" s="4">
        <f>Inputs!$C$44</f>
        <v>34</v>
      </c>
      <c r="I14" s="4">
        <f>Inputs!$C$41</f>
        <v>8</v>
      </c>
      <c r="J14" s="14"/>
    </row>
    <row r="15" spans="1:10" ht="15" customHeight="1">
      <c r="A15" s="4">
        <v>13</v>
      </c>
      <c r="B15" s="4" t="s">
        <v>39</v>
      </c>
      <c r="C15" s="4" t="s">
        <v>208</v>
      </c>
      <c r="D15" s="4" t="s">
        <v>125</v>
      </c>
      <c r="E15" s="4" t="s">
        <v>68</v>
      </c>
      <c r="F15" s="15"/>
      <c r="G15" s="11">
        <f>IF(E15="Dinero",Inputs!$B$71,IF(E15="Tasa",Inputs!$B$72,IF(E15="Conteo",Inputs!$B$73,Inputs!$B$74)))</f>
        <v>1</v>
      </c>
      <c r="H15" s="4">
        <f>Inputs!$C$44</f>
        <v>34</v>
      </c>
      <c r="I15" s="4">
        <f>Inputs!$C$41</f>
        <v>8</v>
      </c>
      <c r="J15" s="14"/>
    </row>
    <row r="16" spans="1:10" ht="15" customHeight="1">
      <c r="A16" s="4">
        <v>14</v>
      </c>
      <c r="B16" s="4" t="s">
        <v>45</v>
      </c>
      <c r="C16" s="4" t="s">
        <v>209</v>
      </c>
      <c r="D16" s="4" t="s">
        <v>118</v>
      </c>
      <c r="E16" s="4" t="s">
        <v>68</v>
      </c>
      <c r="F16" s="15"/>
      <c r="G16" s="11">
        <f>IF(E16="Dinero",Inputs!$B$71,IF(E16="Tasa",Inputs!$B$72,IF(E16="Conteo",Inputs!$B$73,Inputs!$B$74)))</f>
        <v>1</v>
      </c>
      <c r="H16" s="4">
        <f>Inputs!$C$49</f>
        <v>17</v>
      </c>
      <c r="I16" s="4">
        <f>Inputs!$C$46</f>
        <v>4</v>
      </c>
      <c r="J16" s="14"/>
    </row>
    <row r="17" spans="1:10" ht="15" customHeight="1">
      <c r="A17" s="4">
        <v>15</v>
      </c>
      <c r="B17" s="4" t="s">
        <v>45</v>
      </c>
      <c r="C17" s="4" t="s">
        <v>209</v>
      </c>
      <c r="D17" s="4" t="s">
        <v>124</v>
      </c>
      <c r="E17" s="4" t="s">
        <v>68</v>
      </c>
      <c r="F17" s="15"/>
      <c r="G17" s="11">
        <f>IF(E17="Dinero",Inputs!$B$71,IF(E17="Tasa",Inputs!$B$72,IF(E17="Conteo",Inputs!$B$73,Inputs!$B$74)))</f>
        <v>1</v>
      </c>
      <c r="H17" s="4">
        <f>Inputs!$C$49</f>
        <v>17</v>
      </c>
      <c r="I17" s="4">
        <f>Inputs!$C$46</f>
        <v>4</v>
      </c>
      <c r="J17" s="14"/>
    </row>
    <row r="18" spans="1:10" ht="15" customHeight="1">
      <c r="A18" s="4">
        <v>16</v>
      </c>
      <c r="B18" s="4" t="s">
        <v>45</v>
      </c>
      <c r="C18" s="4" t="s">
        <v>209</v>
      </c>
      <c r="D18" s="4" t="s">
        <v>126</v>
      </c>
      <c r="E18" s="4" t="s">
        <v>68</v>
      </c>
      <c r="F18" s="15"/>
      <c r="G18" s="11">
        <f>IF(E18="Dinero",Inputs!$B$71,IF(E18="Tasa",Inputs!$B$72,IF(E18="Conteo",Inputs!$B$73,Inputs!$B$74)))</f>
        <v>1</v>
      </c>
      <c r="H18" s="4">
        <f>Inputs!$C$49</f>
        <v>17</v>
      </c>
      <c r="I18" s="4">
        <f>Inputs!$C$46</f>
        <v>4</v>
      </c>
      <c r="J18" s="14"/>
    </row>
    <row r="19" spans="1:10" ht="15" customHeight="1">
      <c r="A19" s="4">
        <v>17</v>
      </c>
      <c r="B19" s="4" t="s">
        <v>50</v>
      </c>
      <c r="C19" s="4" t="s">
        <v>210</v>
      </c>
      <c r="D19" s="4" t="s">
        <v>137</v>
      </c>
      <c r="E19" s="4" t="s">
        <v>68</v>
      </c>
      <c r="F19" s="15"/>
      <c r="G19" s="11">
        <f>IF(E19="Dinero",Inputs!$B$71,IF(E19="Tasa",Inputs!$B$72,IF(E19="Conteo",Inputs!$B$73,Inputs!$B$74)))</f>
        <v>1</v>
      </c>
      <c r="H19" s="4">
        <f>Inputs!$C$51</f>
        <v>43</v>
      </c>
      <c r="I19" s="4">
        <f>Inputs!$C$50</f>
        <v>10</v>
      </c>
      <c r="J19" s="14"/>
    </row>
    <row r="20" spans="1:10" ht="15" customHeight="1">
      <c r="A20" s="4">
        <v>18</v>
      </c>
      <c r="B20" s="4" t="s">
        <v>50</v>
      </c>
      <c r="C20" s="4" t="s">
        <v>210</v>
      </c>
      <c r="D20" s="4" t="s">
        <v>141</v>
      </c>
      <c r="E20" s="4" t="s">
        <v>68</v>
      </c>
      <c r="F20" s="15"/>
      <c r="G20" s="11">
        <f>IF(E20="Dinero",Inputs!$B$71,IF(E20="Tasa",Inputs!$B$72,IF(E20="Conteo",Inputs!$B$73,Inputs!$B$74)))</f>
        <v>1</v>
      </c>
      <c r="H20" s="4">
        <f>Inputs!$C$51</f>
        <v>43</v>
      </c>
      <c r="I20" s="4">
        <f>Inputs!$C$50</f>
        <v>10</v>
      </c>
      <c r="J20" s="14"/>
    </row>
    <row r="21" spans="1:10" ht="15" customHeight="1">
      <c r="A21" s="4">
        <v>19</v>
      </c>
      <c r="B21" s="4" t="s">
        <v>53</v>
      </c>
      <c r="C21" s="4" t="s">
        <v>144</v>
      </c>
      <c r="D21" s="4" t="s">
        <v>211</v>
      </c>
      <c r="E21" s="4" t="s">
        <v>68</v>
      </c>
      <c r="F21" s="15"/>
      <c r="G21" s="11">
        <f>IF(E21="Dinero",Inputs!$B$71,IF(E21="Tasa",Inputs!$B$72,IF(E21="Conteo",Inputs!$B$73,Inputs!$B$74)))</f>
        <v>1</v>
      </c>
      <c r="H21" s="4">
        <f>Inputs!$C$54</f>
        <v>43</v>
      </c>
      <c r="I21" s="4">
        <f>Inputs!$C$52</f>
        <v>10</v>
      </c>
      <c r="J21" s="14"/>
    </row>
    <row r="22" spans="1:10" ht="15" customHeight="1">
      <c r="A22" s="4">
        <v>20</v>
      </c>
      <c r="B22" s="4" t="s">
        <v>53</v>
      </c>
      <c r="C22" s="4" t="s">
        <v>212</v>
      </c>
      <c r="D22" s="4" t="s">
        <v>147</v>
      </c>
      <c r="E22" s="4" t="s">
        <v>70</v>
      </c>
      <c r="F22" s="17"/>
      <c r="G22" s="13">
        <f>IF(E22="Dinero",Inputs!$B$71,IF(E22="Tasa",Inputs!$B$72,IF(E22="Conteo",Inputs!$B$73,Inputs!$B$74)))</f>
        <v>0</v>
      </c>
      <c r="H22" s="4"/>
      <c r="I22" s="4"/>
      <c r="J22" s="14"/>
    </row>
    <row r="23" spans="1:10" ht="15" customHeight="1">
      <c r="A23" s="4">
        <v>21</v>
      </c>
      <c r="B23" s="4" t="s">
        <v>53</v>
      </c>
      <c r="C23" s="4" t="s">
        <v>212</v>
      </c>
      <c r="D23" s="4" t="s">
        <v>149</v>
      </c>
      <c r="E23" s="4" t="s">
        <v>70</v>
      </c>
      <c r="F23" s="17"/>
      <c r="G23" s="13">
        <f>IF(E23="Dinero",Inputs!$B$71,IF(E23="Tasa",Inputs!$B$72,IF(E23="Conteo",Inputs!$B$73,Inputs!$B$74)))</f>
        <v>0</v>
      </c>
      <c r="H23" s="4"/>
      <c r="I23" s="4"/>
      <c r="J23" s="14"/>
    </row>
    <row r="24" spans="1:10" ht="15" customHeight="1">
      <c r="A24" s="4">
        <v>22</v>
      </c>
      <c r="B24" s="4" t="s">
        <v>57</v>
      </c>
      <c r="C24" s="4" t="s">
        <v>144</v>
      </c>
      <c r="D24" s="4" t="s">
        <v>211</v>
      </c>
      <c r="E24" s="4" t="s">
        <v>68</v>
      </c>
      <c r="F24" s="15"/>
      <c r="G24" s="11">
        <f>IF(E24="Dinero",Inputs!$B$71,IF(E24="Tasa",Inputs!$B$72,IF(E24="Conteo",Inputs!$B$73,Inputs!$B$74)))</f>
        <v>1</v>
      </c>
      <c r="H24" s="4">
        <f>Inputs!$C$57</f>
        <v>43</v>
      </c>
      <c r="I24" s="4">
        <f>Inputs!$C$55</f>
        <v>10</v>
      </c>
      <c r="J24" s="14"/>
    </row>
    <row r="25" spans="1:10" ht="15" customHeight="1">
      <c r="A25" s="4">
        <v>23</v>
      </c>
      <c r="B25" s="4" t="s">
        <v>57</v>
      </c>
      <c r="C25" s="4" t="s">
        <v>212</v>
      </c>
      <c r="D25" s="4" t="s">
        <v>110</v>
      </c>
      <c r="E25" s="4" t="s">
        <v>68</v>
      </c>
      <c r="F25" s="15"/>
      <c r="G25" s="11">
        <f>IF(E25="Dinero",Inputs!$B$71,IF(E25="Tasa",Inputs!$B$72,IF(E25="Conteo",Inputs!$B$73,Inputs!$B$74)))</f>
        <v>1</v>
      </c>
      <c r="H25" s="4">
        <f>Inputs!$C$57+1</f>
        <v>44</v>
      </c>
      <c r="I25" s="4"/>
      <c r="J25" s="14"/>
    </row>
    <row r="26" spans="1:10" ht="15" customHeight="1">
      <c r="A26" s="4">
        <v>24</v>
      </c>
      <c r="B26" s="4" t="s">
        <v>57</v>
      </c>
      <c r="C26" s="4" t="s">
        <v>204</v>
      </c>
      <c r="D26" s="4" t="s">
        <v>86</v>
      </c>
      <c r="E26" s="4" t="s">
        <v>68</v>
      </c>
      <c r="F26" s="15"/>
      <c r="G26" s="11">
        <f>IF(E26="Dinero",Inputs!$B$71,IF(E26="Tasa",Inputs!$B$72,IF(E26="Conteo",Inputs!$B$73,Inputs!$B$74)))</f>
        <v>1</v>
      </c>
      <c r="H26" s="4">
        <f>Inputs!$B$15</f>
        <v>86</v>
      </c>
      <c r="I26" s="4"/>
      <c r="J26" s="14"/>
    </row>
    <row r="27" spans="1:10" ht="15" customHeight="1">
      <c r="A27" s="4">
        <v>25</v>
      </c>
      <c r="B27" s="4" t="s">
        <v>58</v>
      </c>
      <c r="C27" s="4" t="s">
        <v>21</v>
      </c>
      <c r="D27" s="4" t="s">
        <v>161</v>
      </c>
      <c r="E27" s="4" t="s">
        <v>68</v>
      </c>
      <c r="F27" s="15"/>
      <c r="G27" s="11">
        <f>IF(E27="Dinero",Inputs!$B$71,IF(E27="Tasa",Inputs!$B$72,IF(E27="Conteo",Inputs!$B$73,Inputs!$B$74)))</f>
        <v>1</v>
      </c>
      <c r="H27" s="4">
        <f>Inputs!$C$60</f>
        <v>43</v>
      </c>
      <c r="I27" s="4">
        <f>Inputs!$C$58</f>
        <v>10</v>
      </c>
      <c r="J27" s="14"/>
    </row>
    <row r="28" spans="1:10" ht="15" customHeight="1">
      <c r="A28" s="4">
        <v>26</v>
      </c>
      <c r="B28" s="4" t="s">
        <v>58</v>
      </c>
      <c r="C28" s="4" t="s">
        <v>21</v>
      </c>
      <c r="D28" s="4" t="s">
        <v>166</v>
      </c>
      <c r="E28" s="4" t="s">
        <v>68</v>
      </c>
      <c r="F28" s="15"/>
      <c r="G28" s="11">
        <f>IF(E28="Dinero",Inputs!$B$71,IF(E28="Tasa",Inputs!$B$72,IF(E28="Conteo",Inputs!$B$73,Inputs!$B$74)))</f>
        <v>1</v>
      </c>
      <c r="H28" s="4">
        <f>Inputs!$C$60</f>
        <v>43</v>
      </c>
      <c r="I28" s="4">
        <f>Inputs!$C$58</f>
        <v>10</v>
      </c>
      <c r="J28" s="14"/>
    </row>
    <row r="29" spans="1:10" ht="15" customHeight="1">
      <c r="A29" s="4">
        <v>27</v>
      </c>
      <c r="B29" s="4" t="s">
        <v>58</v>
      </c>
      <c r="C29" s="4" t="s">
        <v>213</v>
      </c>
      <c r="D29" s="4" t="s">
        <v>159</v>
      </c>
      <c r="E29" s="4" t="s">
        <v>68</v>
      </c>
      <c r="F29" s="15"/>
      <c r="G29" s="11">
        <f>IF(E29="Dinero",Inputs!$B$71,IF(E29="Tasa",Inputs!$B$72,IF(E29="Conteo",Inputs!$B$73,Inputs!$B$74)))</f>
        <v>1</v>
      </c>
      <c r="H29" s="4">
        <f>Inputs!$C$60+1</f>
        <v>44</v>
      </c>
      <c r="I29" s="4"/>
      <c r="J29" s="14"/>
    </row>
    <row r="30" spans="1:10" ht="15" customHeight="1">
      <c r="A30" s="4">
        <v>28</v>
      </c>
      <c r="B30" s="4" t="s">
        <v>58</v>
      </c>
      <c r="C30" s="4" t="s">
        <v>212</v>
      </c>
      <c r="D30" s="4" t="s">
        <v>168</v>
      </c>
      <c r="E30" s="4" t="s">
        <v>70</v>
      </c>
      <c r="F30" s="17"/>
      <c r="G30" s="13">
        <f>IF(E30="Dinero",Inputs!$B$71,IF(E30="Tasa",Inputs!$B$72,IF(E30="Conteo",Inputs!$B$73,Inputs!$B$74)))</f>
        <v>0</v>
      </c>
      <c r="H30" s="4"/>
      <c r="I30" s="4"/>
      <c r="J30" s="14"/>
    </row>
    <row r="31" spans="1:10" ht="15" customHeight="1">
      <c r="A31" s="4">
        <v>29</v>
      </c>
      <c r="B31" s="4" t="s">
        <v>61</v>
      </c>
      <c r="C31" s="4" t="s">
        <v>214</v>
      </c>
      <c r="D31" s="4" t="s">
        <v>179</v>
      </c>
      <c r="E31" s="4" t="s">
        <v>68</v>
      </c>
      <c r="F31" s="15"/>
      <c r="G31" s="11">
        <f>IF(E31="Dinero",Inputs!$B$71,IF(E31="Tasa",Inputs!$B$72,IF(E31="Conteo",Inputs!$B$73,Inputs!$B$74)))</f>
        <v>1</v>
      </c>
      <c r="H31" s="4">
        <f>Inputs!$C$66</f>
        <v>43</v>
      </c>
      <c r="I31" s="4">
        <f>Inputs!$C$62</f>
        <v>10</v>
      </c>
      <c r="J31" s="14"/>
    </row>
    <row r="32" spans="1:10" ht="15" customHeight="1">
      <c r="A32" s="4">
        <v>30</v>
      </c>
      <c r="B32" s="4" t="s">
        <v>61</v>
      </c>
      <c r="C32" s="4" t="s">
        <v>214</v>
      </c>
      <c r="D32" s="4" t="s">
        <v>159</v>
      </c>
      <c r="E32" s="4" t="s">
        <v>68</v>
      </c>
      <c r="F32" s="15"/>
      <c r="G32" s="11">
        <f>IF(E32="Dinero",Inputs!$B$71,IF(E32="Tasa",Inputs!$B$72,IF(E32="Conteo",Inputs!$B$73,Inputs!$B$74)))</f>
        <v>1</v>
      </c>
      <c r="H32" s="4">
        <f>Inputs!$C$66</f>
        <v>43</v>
      </c>
      <c r="I32" s="4">
        <f>Inputs!$C$62</f>
        <v>10</v>
      </c>
      <c r="J32" s="14"/>
    </row>
    <row r="33" spans="1:10" ht="15" customHeight="1">
      <c r="A33" s="4">
        <v>31</v>
      </c>
      <c r="B33" s="4" t="s">
        <v>61</v>
      </c>
      <c r="C33" s="4" t="s">
        <v>214</v>
      </c>
      <c r="D33" s="4" t="s">
        <v>81</v>
      </c>
      <c r="E33" s="4" t="s">
        <v>68</v>
      </c>
      <c r="F33" s="15"/>
      <c r="G33" s="11">
        <f>IF(E33="Dinero",Inputs!$B$71,IF(E33="Tasa",Inputs!$B$72,IF(E33="Conteo",Inputs!$B$73,Inputs!$B$74)))</f>
        <v>1</v>
      </c>
      <c r="H33" s="4">
        <f>Inputs!$C$66</f>
        <v>43</v>
      </c>
      <c r="I33" s="4">
        <f>Inputs!$C$62</f>
        <v>10</v>
      </c>
      <c r="J33" s="14"/>
    </row>
    <row r="34" spans="1:10" ht="15" customHeight="1">
      <c r="A34" s="4">
        <v>32</v>
      </c>
      <c r="B34" s="4" t="s">
        <v>61</v>
      </c>
      <c r="C34" s="4" t="s">
        <v>214</v>
      </c>
      <c r="D34" s="4" t="s">
        <v>166</v>
      </c>
      <c r="E34" s="4" t="s">
        <v>68</v>
      </c>
      <c r="F34" s="15"/>
      <c r="G34" s="11">
        <f>IF(E34="Dinero",Inputs!$B$71,IF(E34="Tasa",Inputs!$B$72,IF(E34="Conteo",Inputs!$B$73,Inputs!$B$74)))</f>
        <v>1</v>
      </c>
      <c r="H34" s="4">
        <f>Inputs!$C$66</f>
        <v>43</v>
      </c>
      <c r="I34" s="4">
        <f>Inputs!$C$62</f>
        <v>10</v>
      </c>
      <c r="J34" s="14"/>
    </row>
    <row r="35" spans="1:10" ht="15" customHeight="1">
      <c r="A35" s="4">
        <v>33</v>
      </c>
      <c r="B35" s="4" t="s">
        <v>61</v>
      </c>
      <c r="C35" s="4" t="s">
        <v>215</v>
      </c>
      <c r="D35" s="4" t="s">
        <v>90</v>
      </c>
      <c r="E35" s="4" t="s">
        <v>71</v>
      </c>
      <c r="F35" s="15"/>
      <c r="G35" s="11">
        <f>IF(E35="Dinero",Inputs!$B$71,IF(E35="Tasa",Inputs!$B$72,IF(E35="Conteo",Inputs!$B$73,Inputs!$B$74)))</f>
        <v>0</v>
      </c>
      <c r="H35" s="4"/>
      <c r="I35" s="4"/>
      <c r="J35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Casos</vt:lpstr>
      <vt:lpstr>Inputs</vt:lpstr>
      <vt:lpstr>Caso1_Normal</vt:lpstr>
      <vt:lpstr>Caso2_CambioTasa</vt:lpstr>
      <vt:lpstr>Caso3_Dacion</vt:lpstr>
      <vt:lpstr>Caso4_Retoma</vt:lpstr>
      <vt:lpstr>Caso5_Prepago</vt:lpstr>
      <vt:lpstr>Caso6_MenorPlazo</vt:lpstr>
      <vt:lpstr>Caso7_MenorCuota</vt:lpstr>
      <vt:lpstr>Caso8_PagoInferior</vt:lpstr>
      <vt:lpstr>Caso9_Cobranza</vt:lpstr>
      <vt:lpstr>Validaciones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Alejandro González</cp:lastModifiedBy>
  <dcterms:created xsi:type="dcterms:W3CDTF">2026-10-06T03:28:04Z</dcterms:created>
  <dcterms:modified xsi:type="dcterms:W3CDTF">2026-10-06T22:22:46Z</dcterms:modified>
</cp:coreProperties>
</file>